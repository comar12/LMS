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Summary" sheetId="1" state="visible" r:id="rId3"/>
    <sheet name="Omar Mansour Review" sheetId="2" state="visible" r:id="rId4"/>
    <sheet name="Day over Day" sheetId="3" state="visible" r:id="rId5"/>
    <sheet name="Monthly Trend" sheetId="4" state="visible" r:id="rId6"/>
    <sheet name="Scrubber Scorecard" sheetId="5" state="visible" r:id="rId7"/>
    <sheet name="RCA Drivers" sheetId="6" state="visible" r:id="rId8"/>
    <sheet name="Repeat Agents (BPID)" sheetId="7" state="visible" r:id="rId9"/>
    <sheet name="Data" sheetId="8" state="visible" r:id="rId10"/>
  </sheets>
  <definedNames>
    <definedName function="false" hidden="true" localSheetId="7" name="_xlnm._FilterDatabase" vbProcedure="false">Data!$A$1:$P$2284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<sst xmlns="http://schemas.openxmlformats.org/spreadsheetml/2006/main" count="22795" uniqueCount="4524">
  <si>
    <t xml:space="preserve">NPS Scrubbing — Executive Summary</t>
  </si>
  <si>
    <t xml:space="preserve">VXI · Comcast · Scrub data 01-Apr → 07-Oct-2026 · 2,283 scrubs · 12 scrubbers</t>
  </si>
  <si>
    <t xml:space="preserve">Total Scrubs</t>
  </si>
  <si>
    <t xml:space="preserve">Agent Opp %</t>
  </si>
  <si>
    <t xml:space="preserve">Comcast %</t>
  </si>
  <si>
    <t xml:space="preserve">No Audio %</t>
  </si>
  <si>
    <t xml:space="preserve">Rows w/ Dup Survey ID</t>
  </si>
  <si>
    <t xml:space="preserve">Today (07-Oct)</t>
  </si>
  <si>
    <t xml:space="preserve">DoD Δ Volume</t>
  </si>
  <si>
    <t xml:space="preserve">Key Insights — Account</t>
  </si>
  <si>
    <t xml:space="preserve">1. VOLUME SPIKE: 07-Oct (110) and 06-Oct (84) are the two highest scrub days on record (prior peak 78 on 24-Aug) — backlog clearing; check whether quality held.</t>
  </si>
  <si>
    <t xml:space="preserve">2. AGENT OPPORTUNITY = 64% of all detractors. Oct MTD is 56% vs 68% in Sep: 06-Oct dipped to 46% AO (Comcast 31%), 07-Oct recovered to 65% (+18 pts DoD).</t>
  </si>
  <si>
    <t xml:space="preserve">3. "CALL HANDLING" is 41% of Agent Opp (596) — too generic to coach. Split it into specific behaviours; Communication/Soft Skills (24%) is #2, Knowledge Gap #3.</t>
  </si>
  <si>
    <t xml:space="preserve">4. CALIBRATION GAP: scrubbers range from 21% AO (Anas) to 78% AO (Eslam). Same survey type, different verdicts → affects agent QA/NPS fairness.</t>
  </si>
  <si>
    <t xml:space="preserve">5. DATA QUALITY: 260 rows share a Survey ID (133 extra copies); 36 surveys carry CONFLICTING RCAs; 36 rows with invalid BPID (numbers/typos); 81 blank Survey Dates; 6 Survey Dates in the future.</t>
  </si>
  <si>
    <t xml:space="preserve">6. NO AUDIO = 8% (187 scrubs) — scrub effort with zero insight. Escalate I3 recording gaps to WFM/IT.</t>
  </si>
  <si>
    <t xml:space="preserve">7. REPEAT DETRACTORS: bp-hawad742 (43 AO) and bp-gghane435 (42 AO) lead — top 10 BPIDs = 19% of all Agent Opp. Coaching focus for team leaders.</t>
  </si>
  <si>
    <t xml:space="preserve">8. COMCAST drivers: Technician complaints (112) and Dissatisfied with service (158) — non-controllable but shareable with client as VOC.</t>
  </si>
  <si>
    <t xml:space="preserve">Key Insights — Omar Mansour (29 scrubs)</t>
  </si>
  <si>
    <t xml:space="preserve">• RCA mix skews non-controllable: Agent Opp 38% vs 64% account; Comcast 34% vs 18%. One Comcast-tagged call (ID 2120) shows agent misinformation → likely Agent Opp.</t>
  </si>
  <si>
    <t xml:space="preserve">• Accuracy: 4 of 29 rows (14%) are a test row ("11") or duplicates — one duplicate survey has two different RCAs.</t>
  </si>
  <si>
    <t xml:space="preserve">• Strength: highest-quality comments on the account — evidence, customer quotes, clear controllability reasoning. Use as a model for other scrubbers.</t>
  </si>
  <si>
    <t xml:space="preserve">• Action: clean the 4 rows, re-review 2 tags, 1 calibration session. See "Omar Mansour Review" tab.</t>
  </si>
  <si>
    <t xml:space="preserve">Supervisor Actions (link to KPIs: QA, Repeat/aiCR, Transfer)</t>
  </si>
  <si>
    <t xml:space="preserve">▶ QA: Run weekly calibration — 5 shared surveys, all scrubbers; target ≤8 pts AO% gap vs account (see Scrubber Scorecard).</t>
  </si>
  <si>
    <t xml:space="preserve">▶ QA: Replace "Call Handling" T2 with specific behaviours (Hold/Mute, Ownership, Discovery, Expectation-setting) so TLs can coach.</t>
  </si>
  <si>
    <t xml:space="preserve">▶ Repeat (aiCR): Ownership + Incorrect/Incomplete Resolution + Knowledge Gap (~270 AO) are repeat-call drivers — pair with aiCR data per BPID.</t>
  </si>
  <si>
    <t xml:space="preserve">▶ Transfer: Wrong/Missing/Incorrect ITG (~64 AO) = transfer/routing errors — include in transfer-reduction huddles.</t>
  </si>
  <si>
    <t xml:space="preserve">▶ Team Leaders (newly promoted): each TL owns 3–4 BPIDs from "Repeat Agents" tab; 1:1 coaching logged weekly; re-check AO count in 30 days.</t>
  </si>
  <si>
    <t xml:space="preserve">▶ Data hygiene: daily dedupe on Survey ID, enforce BPID format (bp-xxxxx000), no blank Survey Date.</t>
  </si>
  <si>
    <t xml:space="preserve">Insight text written from the data at build time (07-Oct-2026); KPI tiles and all tables are live formulas on the Data tab.</t>
  </si>
  <si>
    <t xml:space="preserve">Scrubber Review — Omar Mansour</t>
  </si>
  <si>
    <t xml:space="preserve">Submitted as "Omar Ali Mohamed" · Omar.Mansour@vxi.com · 29 scrubs (29-Sep → 07-Oct-2026)</t>
  </si>
  <si>
    <t xml:space="preserve">Omar vs Account — KPIs</t>
  </si>
  <si>
    <t xml:space="preserve">KPI</t>
  </si>
  <si>
    <t xml:space="preserve">Omar</t>
  </si>
  <si>
    <t xml:space="preserve">Account</t>
  </si>
  <si>
    <t xml:space="preserve">Gap</t>
  </si>
  <si>
    <t xml:space="preserve">Read</t>
  </si>
  <si>
    <t xml:space="preserve">Total scrubs</t>
  </si>
  <si>
    <t xml:space="preserve">Low volume — joined late Sep; 27 of 29 on 6–7 Oct</t>
  </si>
  <si>
    <t xml:space="preserve">Agent Opportunity %</t>
  </si>
  <si>
    <t xml:space="preserve">Lowest AO% after Anas — leans to non-controllable</t>
  </si>
  <si>
    <t xml:space="preserve">Comcast Process/Tools %</t>
  </si>
  <si>
    <t xml:space="preserve">~2x account — validate each Comcast tag</t>
  </si>
  <si>
    <t xml:space="preserve">Customer %</t>
  </si>
  <si>
    <t xml:space="preserve">Higher; 2 are positive-feedback calls (good catch)</t>
  </si>
  <si>
    <t xml:space="preserve">Includes 1 test row + 1 duplicate</t>
  </si>
  <si>
    <t xml:space="preserve">Rows sharing a Survey ID</t>
  </si>
  <si>
    <t xml:space="preserve">2 surveys submitted twice</t>
  </si>
  <si>
    <t xml:space="preserve">Comment filled %</t>
  </si>
  <si>
    <t xml:space="preserve">All non-No-Audio rows have comments; richest narratives on account</t>
  </si>
  <si>
    <t xml:space="preserve">Omar — Day over Day</t>
  </si>
  <si>
    <t xml:space="preserve">Scrub Date</t>
  </si>
  <si>
    <t xml:space="preserve">Scrubs</t>
  </si>
  <si>
    <t xml:space="preserve">Agent Opp</t>
  </si>
  <si>
    <t xml:space="preserve">Comcast</t>
  </si>
  <si>
    <t xml:space="preserve">Customer</t>
  </si>
  <si>
    <t xml:space="preserve">No Audio</t>
  </si>
  <si>
    <t xml:space="preserve">AO %</t>
  </si>
  <si>
    <t xml:space="preserve">Audit Flags — row-level findings (QA review of Omar's 29 entries)</t>
  </si>
  <si>
    <t xml:space="preserve">Data ID</t>
  </si>
  <si>
    <t xml:space="preserve">Survey ID</t>
  </si>
  <si>
    <t xml:space="preserve">Severity</t>
  </si>
  <si>
    <t xml:space="preserve">Finding</t>
  </si>
  <si>
    <t xml:space="preserve">Recommended Action</t>
  </si>
  <si>
    <t xml:space="preserve">11</t>
  </si>
  <si>
    <t xml:space="preserve">High</t>
  </si>
  <si>
    <t xml:space="preserve">Test/junk entry: BPID = "11", Survey ID = "11".</t>
  </si>
  <si>
    <t xml:space="preserve">Delete from scrub file.</t>
  </si>
  <si>
    <t xml:space="preserve">2196171839</t>
  </si>
  <si>
    <t xml:space="preserve">Same survey scrubbed twice with CONFLICTING RCA: Comcast Restriction (07-Oct) vs Agent Opp – Knowledge Gap.</t>
  </si>
  <si>
    <t xml:space="preserve">Keep one final RCA; remove the other.</t>
  </si>
  <si>
    <t xml:space="preserve">Duplicate of above. Comment "Discovery / Identifying Customer Needs" fits "Did not ask discovery questions" better than Knowledge Gap.</t>
  </si>
  <si>
    <t xml:space="preserve">Merge with ID 2215; retag T2.</t>
  </si>
  <si>
    <t xml:space="preserve">2197808496</t>
  </si>
  <si>
    <t xml:space="preserve">Medium</t>
  </si>
  <si>
    <t xml:space="preserve">Survey submitted twice (IDs 2277 &amp; 2278), both No Audio.</t>
  </si>
  <si>
    <t xml:space="preserve">Delete one row.</t>
  </si>
  <si>
    <t xml:space="preserve">2195165826</t>
  </si>
  <si>
    <t xml:space="preserve">Tagged Comcast Outage, but comment says agent told customer "it's just you" without validating — misinformation is controllable.</t>
  </si>
  <si>
    <t xml:space="preserve">Re-review: likely Agent Opp – Incorrect/Incomplete Resolution.</t>
  </si>
  <si>
    <t xml:space="preserve">30003055651790377517</t>
  </si>
  <si>
    <t xml:space="preserve">T2 = Communication/Soft Skills but comment itself concludes "Incorrect/Incomplete Resolution". Survey ID format (20 digits) unusual.</t>
  </si>
  <si>
    <t xml:space="preserve">Align T2 to comment; verify Survey ID.</t>
  </si>
  <si>
    <t xml:space="preserve">2196814455</t>
  </si>
  <si>
    <t xml:space="preserve">Low</t>
  </si>
  <si>
    <t xml:space="preserve">BPID typo "p-aelshe876" (missing "b") — breaks agent-level reporting.</t>
  </si>
  <si>
    <t xml:space="preserve">Correct to bp-aelshe876.</t>
  </si>
  <si>
    <t xml:space="preserve">2197847600</t>
  </si>
  <si>
    <t xml:space="preserve">Comment contains paste artifact "Pasted text".</t>
  </si>
  <si>
    <t xml:space="preserve">Clean comment.</t>
  </si>
  <si>
    <t xml:space="preserve">2197495330</t>
  </si>
  <si>
    <t xml:space="preserve">Comment is a tag list only, no call evidence.</t>
  </si>
  <si>
    <t xml:space="preserve">Add 1–2 lines of evidence.</t>
  </si>
  <si>
    <t xml:space="preserve">Handle time 3 seconds; ID 2273 left open 10+ hrs — timestamps not reliable for productivity.</t>
  </si>
  <si>
    <t xml:space="preserve">Submit form per call.</t>
  </si>
  <si>
    <t xml:space="preserve">Strengths</t>
  </si>
  <si>
    <t xml:space="preserve">✔ Best-quality comments on the account: evidence-based, quotes the customer verbatim, explains WHY it is / is not controllable.</t>
  </si>
  <si>
    <t xml:space="preserve">✔ Correctly separates "Another Agent's Opportunity" and "Positive feedback" from the handling agent — protects agents from unfair detractors.</t>
  </si>
  <si>
    <t xml:space="preserve">✔ 100% Survey Date populated; all non-No-Audio rows have T2 + comment.</t>
  </si>
  <si>
    <t xml:space="preserve">Coaching Points for Omar</t>
  </si>
  <si>
    <t xml:space="preserve">1. Accuracy over volume: 4 of 29 rows (14%) are junk/duplicate — check Survey ID before submitting.</t>
  </si>
  <si>
    <t xml:space="preserve">2. Comcast tags at 34% vs 18% account: if the agent added misinformation or poor expectation-setting on top of an outage, tag Agent Opp.</t>
  </si>
  <si>
    <t xml:space="preserve">3. Make T2 match the conclusion written in the comment.</t>
  </si>
  <si>
    <t xml:space="preserve">4. Calibration session with a top-volume scrubber (e.g., Shereen Kamal) on 5 shared surveys.</t>
  </si>
  <si>
    <t xml:space="preserve">NPS Scrubbing — Day over Day (Account)</t>
  </si>
  <si>
    <t xml:space="preserve">Counts by scrub submission date · all formulas reference the Data tab</t>
  </si>
  <si>
    <t xml:space="preserve">Active Scrubbers: computed in Python (distinct count)</t>
  </si>
  <si>
    <t xml:space="preserve">VXI</t>
  </si>
  <si>
    <t xml:space="preserve">DoD Δ Agent Opp % (pts)</t>
  </si>
  <si>
    <t xml:space="preserve">Omar Scrubs</t>
  </si>
  <si>
    <t xml:space="preserve">Active Scrubbers</t>
  </si>
  <si>
    <t xml:space="preserve">NPS Scrubbing — Month over Month</t>
  </si>
  <si>
    <t xml:space="preserve">Month = scrub submission month</t>
  </si>
  <si>
    <t xml:space="preserve">Month Start</t>
  </si>
  <si>
    <t xml:space="preserve">Month End</t>
  </si>
  <si>
    <t xml:space="preserve">Total</t>
  </si>
  <si>
    <t xml:space="preserve">MoM Δ Volume</t>
  </si>
  <si>
    <t xml:space="preserve">MoM Δ AO % (pts)</t>
  </si>
  <si>
    <t xml:space="preserve">October = MTD through 07-Oct-2026 (partial month).</t>
  </si>
  <si>
    <t xml:space="preserve">Scrubber Scorecard &amp; Calibration</t>
  </si>
  <si>
    <t xml:space="preserve">RCA mix per scrubber vs account — wide gaps signal calibration need</t>
  </si>
  <si>
    <t xml:space="preserve">Scrubber</t>
  </si>
  <si>
    <t xml:space="preserve">Email</t>
  </si>
  <si>
    <t xml:space="preserve">T2 Filled % (excl. No Audio)</t>
  </si>
  <si>
    <t xml:space="preserve">Dup Survey IDs</t>
  </si>
  <si>
    <t xml:space="preserve">Bad BPID Format</t>
  </si>
  <si>
    <t xml:space="preserve">Median Min / Scrub</t>
  </si>
  <si>
    <t xml:space="preserve">AO % gap vs Account (pts)</t>
  </si>
  <si>
    <t xml:space="preserve">Calibration Flag</t>
  </si>
  <si>
    <t xml:space="preserve">Shereen Kamal</t>
  </si>
  <si>
    <t xml:space="preserve">shereen.kamal@vxi.com</t>
  </si>
  <si>
    <t xml:space="preserve">Mina Milad Khalaf Mansour</t>
  </si>
  <si>
    <t xml:space="preserve">mina.mansour@vxi.com</t>
  </si>
  <si>
    <t xml:space="preserve">Salma Ahmed</t>
  </si>
  <si>
    <t xml:space="preserve">salma.ahmed@vxi.com</t>
  </si>
  <si>
    <t xml:space="preserve">AbdelRahman Abdo</t>
  </si>
  <si>
    <t xml:space="preserve">Abdelrahman.Fouad@vxi.com</t>
  </si>
  <si>
    <t xml:space="preserve">Mohamed Ashour</t>
  </si>
  <si>
    <t xml:space="preserve">mohamed.ashour3@vxi.com</t>
  </si>
  <si>
    <t xml:space="preserve">Rahma El-Behery</t>
  </si>
  <si>
    <t xml:space="preserve">rahma.samir@vxi.com</t>
  </si>
  <si>
    <t xml:space="preserve">Eslam Mohamed Farouk</t>
  </si>
  <si>
    <t xml:space="preserve">eslam.farouk@vxi.com</t>
  </si>
  <si>
    <t xml:space="preserve">Shrouk Ahmed</t>
  </si>
  <si>
    <t xml:space="preserve">Shrouk.Hanafy@vxi.com</t>
  </si>
  <si>
    <t xml:space="preserve">Anas Sayed abdelmaksod</t>
  </si>
  <si>
    <t xml:space="preserve">Anas.Sayedabdelmaksod@vxi.com</t>
  </si>
  <si>
    <t xml:space="preserve">Kareem Abosaif</t>
  </si>
  <si>
    <t xml:space="preserve">kareem.abosaif@vxi.com</t>
  </si>
  <si>
    <t xml:space="preserve">Omar Mansour (Omar Ali Mohamed)</t>
  </si>
  <si>
    <t xml:space="preserve">Omar.Mansour@vxi.com</t>
  </si>
  <si>
    <t xml:space="preserve">Abdelrahman Mokhtar</t>
  </si>
  <si>
    <t xml:space="preserve">abdelrahman.mokhtar@vxi.com</t>
  </si>
  <si>
    <t xml:space="preserve">ACCOUNT</t>
  </si>
  <si>
    <t xml:space="preserve">Median Min/Scrub computed in Python (Completion−Start). Very low (&lt;1 min) = possible bulk/form-prefill; very high = form left open. Flag thresholds: &gt;15 pts Calibrate, &gt;8 pts Watch (assumption).</t>
  </si>
  <si>
    <t xml:space="preserve">Detractor Drivers — Tier 1 &amp; Tier 2</t>
  </si>
  <si>
    <t xml:space="preserve">What is driving detractors on the account, and where Omar differs</t>
  </si>
  <si>
    <t xml:space="preserve">Tier 1 RCA</t>
  </si>
  <si>
    <t xml:space="preserve">RCA</t>
  </si>
  <si>
    <t xml:space="preserve">Account #</t>
  </si>
  <si>
    <t xml:space="preserve">Account %</t>
  </si>
  <si>
    <t xml:space="preserve">Omar #</t>
  </si>
  <si>
    <t xml:space="preserve">Omar %</t>
  </si>
  <si>
    <t xml:space="preserve">Gap (pts)</t>
  </si>
  <si>
    <t xml:space="preserve">Account % denominator 2,283 = total rows (hardcoded from source)</t>
  </si>
  <si>
    <t xml:space="preserve">Agent Opportunity</t>
  </si>
  <si>
    <t xml:space="preserve">Comcast Process/Tools</t>
  </si>
  <si>
    <t xml:space="preserve">No Audio Found on I3</t>
  </si>
  <si>
    <t xml:space="preserve">VXI Process/Tools</t>
  </si>
  <si>
    <t xml:space="preserve">Tier 2 — Agent Opportunity</t>
  </si>
  <si>
    <t xml:space="preserve">RCA T2</t>
  </si>
  <si>
    <t xml:space="preserve">% of Agent Opportunity</t>
  </si>
  <si>
    <t xml:space="preserve">Cumulative %</t>
  </si>
  <si>
    <t xml:space="preserve">Call Handling</t>
  </si>
  <si>
    <t xml:space="preserve">Communication / Soft Skills</t>
  </si>
  <si>
    <t xml:space="preserve">Knowledge Gap</t>
  </si>
  <si>
    <t xml:space="preserve">Excessive Hold/Mute</t>
  </si>
  <si>
    <t xml:space="preserve">Incorrect/ Incomplete Resolution</t>
  </si>
  <si>
    <t xml:space="preserve">Ownership</t>
  </si>
  <si>
    <t xml:space="preserve">Tone - Pace</t>
  </si>
  <si>
    <t xml:space="preserve">Wrong ITG</t>
  </si>
  <si>
    <t xml:space="preserve">Incorrect/Incomplete ITG</t>
  </si>
  <si>
    <t xml:space="preserve">Customer Education - Setting Expectations</t>
  </si>
  <si>
    <t xml:space="preserve">Did not ask discovery questions</t>
  </si>
  <si>
    <t xml:space="preserve">Missing ITG</t>
  </si>
  <si>
    <t xml:space="preserve">Language Proficiency</t>
  </si>
  <si>
    <t xml:space="preserve">Tools Navigation/Utilization</t>
  </si>
  <si>
    <t xml:space="preserve">Tier 2 — Comcast Process/Tools</t>
  </si>
  <si>
    <t xml:space="preserve">% of Comcast Process/Tools</t>
  </si>
  <si>
    <t xml:space="preserve">Dissatisfied with service</t>
  </si>
  <si>
    <t xml:space="preserve">Complaints about the technician</t>
  </si>
  <si>
    <t xml:space="preserve">Outage</t>
  </si>
  <si>
    <t xml:space="preserve">IVR / Routing</t>
  </si>
  <si>
    <t xml:space="preserve">Comcast Restriction</t>
  </si>
  <si>
    <t xml:space="preserve">Comcast Restriction  (add on the comment which Restriction)</t>
  </si>
  <si>
    <t xml:space="preserve">Comcast Tools Outage or update</t>
  </si>
  <si>
    <t xml:space="preserve">Tier 2 — Customer</t>
  </si>
  <si>
    <t xml:space="preserve">% of Customer</t>
  </si>
  <si>
    <t xml:space="preserve">Another Agent's Opportunity</t>
  </si>
  <si>
    <t xml:space="preserve">Customer Provided the agent positive feedback</t>
  </si>
  <si>
    <t xml:space="preserve">Customer Demanded for a US Rep</t>
  </si>
  <si>
    <t xml:space="preserve">Customer Preferred to speak to the previous agent</t>
  </si>
  <si>
    <t xml:space="preserve">Tier 2 — VXI Process/Tools</t>
  </si>
  <si>
    <t xml:space="preserve">% of VXI Process/Tools</t>
  </si>
  <si>
    <t xml:space="preserve">Avaya issue</t>
  </si>
  <si>
    <t xml:space="preserve">ONE CTI down</t>
  </si>
  <si>
    <t xml:space="preserve">Headset Issue</t>
  </si>
  <si>
    <t xml:space="preserve">Global Protect / Connectivity</t>
  </si>
  <si>
    <t xml:space="preserve">Repeat Detractor Agents — Top 25 BPIDs by Agent Opportunity</t>
  </si>
  <si>
    <t xml:space="preserve">Coaching priority list for team leaders</t>
  </si>
  <si>
    <t xml:space="preserve">BPID</t>
  </si>
  <si>
    <t xml:space="preserve">Agent Opp #</t>
  </si>
  <si>
    <t xml:space="preserve">Top T2 Driver</t>
  </si>
  <si>
    <t xml:space="preserve">Top T2 #</t>
  </si>
  <si>
    <t xml:space="preserve">Last Scrub Date</t>
  </si>
  <si>
    <t xml:space="preserve">Last 30 Days AO #</t>
  </si>
  <si>
    <t xml:space="preserve">bp-hawad742</t>
  </si>
  <si>
    <t xml:space="preserve">bp-gghane435</t>
  </si>
  <si>
    <t xml:space="preserve">bp-watta702</t>
  </si>
  <si>
    <t xml:space="preserve">bp-anail804</t>
  </si>
  <si>
    <t xml:space="preserve">bp-jhaana620</t>
  </si>
  <si>
    <t xml:space="preserve">bp-amorsy796</t>
  </si>
  <si>
    <t xml:space="preserve">bp-asakr617</t>
  </si>
  <si>
    <t xml:space="preserve">bp-dmadbo843</t>
  </si>
  <si>
    <t xml:space="preserve">bp-aetman106</t>
  </si>
  <si>
    <t xml:space="preserve">bp-ygawda039</t>
  </si>
  <si>
    <t xml:space="preserve">bp-onabwy363</t>
  </si>
  <si>
    <t xml:space="preserve">bp-ehazem048</t>
  </si>
  <si>
    <t xml:space="preserve">bp-mhassa707</t>
  </si>
  <si>
    <t xml:space="preserve">bp-mabdee047</t>
  </si>
  <si>
    <t xml:space="preserve">bp-aelkad843</t>
  </si>
  <si>
    <t xml:space="preserve">bp-freda576</t>
  </si>
  <si>
    <t xml:space="preserve">bp-welmag588</t>
  </si>
  <si>
    <t xml:space="preserve">bp-sahmed797</t>
  </si>
  <si>
    <t xml:space="preserve">bp-maleel832</t>
  </si>
  <si>
    <t xml:space="preserve">bp-mmahmo518</t>
  </si>
  <si>
    <t xml:space="preserve">bp-aabdel744</t>
  </si>
  <si>
    <t xml:space="preserve">bp-hsalem481</t>
  </si>
  <si>
    <t xml:space="preserve">bp-myouni554</t>
  </si>
  <si>
    <t xml:space="preserve">bp-eelsaw072</t>
  </si>
  <si>
    <t xml:space="preserve">bp-mhalee702</t>
  </si>
  <si>
    <t xml:space="preserve">Top T2 Driver &amp; Last Scrub Date computed in Python. Last 30 days = scrubs on/after 07-Sep-2026. Red = 3+ AO detractors in last 30 days → active coaching.</t>
  </si>
  <si>
    <t xml:space="preserve">ID</t>
  </si>
  <si>
    <t xml:space="preserve">Survey Date</t>
  </si>
  <si>
    <t xml:space="preserve">RCA (Clean)</t>
  </si>
  <si>
    <t xml:space="preserve">RCA T2 (Clean)</t>
  </si>
  <si>
    <t xml:space="preserve">Comment</t>
  </si>
  <si>
    <t xml:space="preserve">Handle Min</t>
  </si>
  <si>
    <t xml:space="preserve">Dup Survey ID</t>
  </si>
  <si>
    <t xml:space="preserve">BPID Format OK</t>
  </si>
  <si>
    <t xml:space="preserve">Original RCA</t>
  </si>
  <si>
    <t xml:space="preserve">Start time</t>
  </si>
  <si>
    <t xml:space="preserve">Completion time</t>
  </si>
  <si>
    <t xml:space="preserve">Notes</t>
  </si>
  <si>
    <t xml:space="preserve">bp-mashou692</t>
  </si>
  <si>
    <t xml:space="preserve">2133806148</t>
  </si>
  <si>
    <t xml:space="preserve">lack of empathy and very long mute</t>
  </si>
  <si>
    <t xml:space="preserve">Y</t>
  </si>
  <si>
    <t xml:space="preserve">Source: NPS_Scrubbing1-2283.xlsx (uploaded by user), 2,283 rows.</t>
  </si>
  <si>
    <t xml:space="preserve">2132948976</t>
  </si>
  <si>
    <t xml:space="preserve">customer dissatisfied with the bill </t>
  </si>
  <si>
    <t xml:space="preserve">N</t>
  </si>
  <si>
    <t xml:space="preserve">Comcast Process or Tools</t>
  </si>
  <si>
    <t xml:space="preserve">Scrub Date = date of "Start time" (when the scrub was submitted).</t>
  </si>
  <si>
    <t xml:space="preserve">2133427132</t>
  </si>
  <si>
    <t xml:space="preserve">RCA (Clean) merges label variants: "Comcast Policy/Process or Tools"+"Comcast Process or Tools" -&gt; Comcast Process/Tools; same for VXI.</t>
  </si>
  <si>
    <t xml:space="preserve">long silence gap, lack of empathy </t>
  </si>
  <si>
    <t xml:space="preserve">RCA T2 (Clean) = first filled T2 column (Agent/Customer/Comcast/VXI), label variants merged.</t>
  </si>
  <si>
    <t xml:space="preserve">silence gap and lack of empathy </t>
  </si>
  <si>
    <t xml:space="preserve">Handle Min = Completion time - Start time (minutes). Dup Survey ID / BPID Format computed in Python at build time.</t>
  </si>
  <si>
    <t xml:space="preserve">2135586426</t>
  </si>
  <si>
    <t xml:space="preserve">customer is satisfied from Ashour dissatisfied with the service and the previous agent, he didn't call after Ashour </t>
  </si>
  <si>
    <t xml:space="preserve">Omar Mansour submits under display name "Omar Ali Mohamed" (Omar.Mansour@vxi.com).</t>
  </si>
  <si>
    <t xml:space="preserve">10009054011774557093</t>
  </si>
  <si>
    <t xml:space="preserve">Point of Improv: -Tone of Voice (Not willing to help) -Monotonic -Active listening -Guessing instead of understand the issue  -Attitude  -Got the wrong case and arguing  -talking with high pitch comes with attitude  **Saying whisperly at 4:28 (How am I supposed to do this? ) - didn't own the issue  **At 5:22 (I don't understand why i'm doing this?) which is not professional and reflect for the poor skills ** the cx asked for a manger at 6:40 followed by dead air from the agent till 6:52 Followed by Hold Without Permission ** 9 Hold without permission or refreshing (the agent refreshed the cx with dead air) **7 Silence Gap bettwen each hold instead of refreshing the cx  - not using any soft skills to handel the customer even while offering an alternative </t>
  </si>
  <si>
    <t xml:space="preserve">10005025441774634266</t>
  </si>
  <si>
    <t xml:space="preserve">- the agent shoulden't confirm or disclose the full account number as the caller not account holder   - the agent is driking somthing and the sound so obvious (3:09 ---3:25----3:29---3:40 )  - 5:29 the agent said ""So what would you like to do right now just to know"-  "I just said that there is an amount needs to be paid so I'm not gonna be able to activate it " at 5:47</t>
  </si>
  <si>
    <t xml:space="preserve">10007041571774637269</t>
  </si>
  <si>
    <t xml:space="preserve">- the agent is not active which leads to misunderstanding and bad expriance to the cx - havey breath which looks as an attitude  - the agent needs to let the cx confirm the info instead of saying it  - obvious histation  - the agent understood somthing else which lead to the customer furstration  - A lot of silence Gap without hold and refreshing the hold with Silence Gap</t>
  </si>
  <si>
    <t xml:space="preserve">2134496418</t>
  </si>
  <si>
    <t xml:space="preserve">2136093869</t>
  </si>
  <si>
    <t xml:space="preserve">the other agent cancelled the service to make GSR, the agent Assem tried to get the service back but he faced an error on ASCR so he transferred the call to New sales department  </t>
  </si>
  <si>
    <t xml:space="preserve">bp-gshohd151</t>
  </si>
  <si>
    <t xml:space="preserve">2134142395</t>
  </si>
  <si>
    <t xml:space="preserve">very very long mute and tried to pitch at the begining of the call </t>
  </si>
  <si>
    <t xml:space="preserve">2136003868</t>
  </si>
  <si>
    <t xml:space="preserve">very long mute, we don't say the name of the account holder while we are verifying </t>
  </si>
  <si>
    <t xml:space="preserve">bp-ysaeed642</t>
  </si>
  <si>
    <t xml:space="preserve">10006002121775133282</t>
  </si>
  <si>
    <t xml:space="preserve">agent and SME handling skills </t>
  </si>
  <si>
    <t xml:space="preserve">100059960</t>
  </si>
  <si>
    <t xml:space="preserve">22005153331775063497</t>
  </si>
  <si>
    <t xml:space="preserve">poor system navigation , mute and hold as well , confidence issues </t>
  </si>
  <si>
    <t xml:space="preserve">100067085</t>
  </si>
  <si>
    <t xml:space="preserve">10003126061775065527</t>
  </si>
  <si>
    <t xml:space="preserve">mute and hold , some knowledge gaps due to the tenurity  </t>
  </si>
  <si>
    <t xml:space="preserve">13005009141775478483</t>
  </si>
  <si>
    <t xml:space="preserve">agent was more focused on the sale not on fixing the issue (login issue )</t>
  </si>
  <si>
    <t xml:space="preserve">10004019911775232164</t>
  </si>
  <si>
    <t xml:space="preserve">setting expectation part on how to check his payment history on line </t>
  </si>
  <si>
    <t xml:space="preserve">10008019881775492372</t>
  </si>
  <si>
    <t xml:space="preserve">agent has very weak handling skills , severe inturruptions </t>
  </si>
  <si>
    <t xml:space="preserve">bp-yattal222</t>
  </si>
  <si>
    <t xml:space="preserve">10002038831775499233</t>
  </si>
  <si>
    <t xml:space="preserve">setting expectation part about the outage// isolation</t>
  </si>
  <si>
    <t xml:space="preserve">10011006371775481135</t>
  </si>
  <si>
    <t xml:space="preserve">poor handling skills // mute and hold // setting expectation </t>
  </si>
  <si>
    <t xml:space="preserve">bp-mnasse693</t>
  </si>
  <si>
    <t xml:space="preserve">2136693129</t>
  </si>
  <si>
    <t xml:space="preserve">need to start with the video ITG to handle the TV issue before the internet issue as it routed to TC</t>
  </si>
  <si>
    <t xml:space="preserve">bp-sadel794</t>
  </si>
  <si>
    <t xml:space="preserve">2136718399</t>
  </si>
  <si>
    <t xml:space="preserve">2136794658</t>
  </si>
  <si>
    <t xml:space="preserve">agent didn't inform the cst that we can send him the cell phone and we cannot check the mobile inventory of the store</t>
  </si>
  <si>
    <t xml:space="preserve">bp-waboue567</t>
  </si>
  <si>
    <t xml:space="preserve">2133029909</t>
  </si>
  <si>
    <t xml:space="preserve">agent could elaborate to the cst the reason for the steps and TC</t>
  </si>
  <si>
    <t xml:space="preserve">17006166081775506951</t>
  </si>
  <si>
    <t xml:space="preserve">lack of understanding the issue , expressed frustration at the cx , lack of empathy , poor communication skills </t>
  </si>
  <si>
    <t xml:space="preserve">bp-sshady806</t>
  </si>
  <si>
    <t xml:space="preserve">22003069031775508551</t>
  </si>
  <si>
    <t xml:space="preserve">hold and mute , setting clear expectations in details as the cx is skeptical, so SHO would have saved us from that detractor on paramount  </t>
  </si>
  <si>
    <t xml:space="preserve">2134134164</t>
  </si>
  <si>
    <t xml:space="preserve">agent should confirm to the cst to make sure all subscription with the same email to enjoy the promo</t>
  </si>
  <si>
    <t xml:space="preserve">bp-mmuham703</t>
  </si>
  <si>
    <t xml:space="preserve">10005002061775565138</t>
  </si>
  <si>
    <t xml:space="preserve">the cxc was false promised by the previous rep </t>
  </si>
  <si>
    <t xml:space="preserve">2137998837</t>
  </si>
  <si>
    <t xml:space="preserve">we should have educated the cx instead of the transfer about the reason why she has to pay the $25 to avoid the disconnection so the elaboration part wasn't enough </t>
  </si>
  <si>
    <t xml:space="preserve">2137915041</t>
  </si>
  <si>
    <t xml:space="preserve">call got escalated from the beginning of the call // no appropriate deescalation </t>
  </si>
  <si>
    <t xml:space="preserve">bp-ghenry172</t>
  </si>
  <si>
    <t xml:space="preserve">10006010591775478835</t>
  </si>
  <si>
    <t xml:space="preserve">Dead Air / Excessive mutes / Not setting expectations regarding the credit that was put </t>
  </si>
  <si>
    <t xml:space="preserve">10006026361775492705</t>
  </si>
  <si>
    <t xml:space="preserve">CUSTOMER WAS VEEEEEEEERY FUNNY AND CHEERFUL, yet agent was so stale, tone of voice was flat, customer had a problem with her TV, agent started talking about lowering the bill, and steered the conversation to that</t>
  </si>
  <si>
    <t xml:space="preserve">bp-mmorsy511</t>
  </si>
  <si>
    <t xml:space="preserve">10004035001775502097</t>
  </si>
  <si>
    <t xml:space="preserve">agent was struggling to get the customer to pass auth, agent tone of voice is too bad to the point that customer got confused about what the agent was saying, agent remained silent on call trying to change customer's plan, call ended after agent silence for 8 Mins</t>
  </si>
  <si>
    <t xml:space="preserve">10009012181775484142</t>
  </si>
  <si>
    <t xml:space="preserve">CX wasn't satisfied with our current prices and promotions, Even though the agent did his best and gave him a promotion.</t>
  </si>
  <si>
    <t xml:space="preserve">10002010491775485995</t>
  </si>
  <si>
    <t xml:space="preserve">CX was having a hanging wire outside and had to call us and book a tech for 4 times and was never solved and the agent manage to get her a tech same day from 7-10.</t>
  </si>
  <si>
    <t xml:space="preserve">bp-htaha363</t>
  </si>
  <si>
    <t xml:space="preserve">10008030741775494422</t>
  </si>
  <si>
    <t xml:space="preserve">CX came in asking for the disconnection department and wanted to be transferred immediately the agent didn't probe the reason for the disconnection and just processed with the verification and then transferred the call.</t>
  </si>
  <si>
    <t xml:space="preserve">10009007851775484277</t>
  </si>
  <si>
    <t xml:space="preserve">Agent did troubleshoot and referred the cx to the store to swap the modem but the agen was a sales centered even before building trust/ rapport or even resolving the main customer concern pitched multiple times without any kind of resolution</t>
  </si>
  <si>
    <t xml:space="preserve">bp-dcamar500</t>
  </si>
  <si>
    <t xml:space="preserve">13004009281775478427</t>
  </si>
  <si>
    <t xml:space="preserve">CX wasn't satisfied about the new change of the TV contract and the fact that some of the channels aren't available anymore to watch anymore and undelivered watch order which caused frustrations</t>
  </si>
  <si>
    <t xml:space="preserve">bp-hkamal443</t>
  </si>
  <si>
    <t xml:space="preserve">13002007261775564045</t>
  </si>
  <si>
    <t xml:space="preserve">Agent didn't manage to give the customer a call back.</t>
  </si>
  <si>
    <t xml:space="preserve">2137902389</t>
  </si>
  <si>
    <t xml:space="preserve">agent was aggressive and couldn't handle the cst frustration</t>
  </si>
  <si>
    <t xml:space="preserve">2138114618</t>
  </si>
  <si>
    <t xml:space="preserve">The customer called regarding a TV in their apartment that could not change channels, while the other two TVs were functioning properly. The agent requested the customer's address and confirmed the account details before running diagnostics on the TV box in the second bedroom. The call ended with the customer expressing concern about the long wait time without communication from the agent.</t>
  </si>
  <si>
    <t xml:space="preserve">2138091714</t>
  </si>
  <si>
    <t xml:space="preserve">knowledge gab, system navigation, BBC is a local channel, never sell before solving, handling skills . hold and mute , lack of proper education </t>
  </si>
  <si>
    <t xml:space="preserve">2137905319</t>
  </si>
  <si>
    <t xml:space="preserve">agent promised customer a call back to schedule a tech, agent failed to call customer back, the process on call ended with a SHO</t>
  </si>
  <si>
    <t xml:space="preserve">2138113692</t>
  </si>
  <si>
    <t xml:space="preserve">The customer contacted the agent regarding a trade-in issue with an iPhone 14 Pro that was rejected and sent back. The customer expressed frustration over not receiving credit or the phone back after 4 months. The agent confirmed the trade-in details and opened a ticket with the trade-in department, promising to follow up within 72 hours with an update on the trade-in value and options for the customer. The customer requested to be contacted back if the trade-in value was not satisfactory.// it is a previous agent issue as the elaboration wasnt clear </t>
  </si>
  <si>
    <t xml:space="preserve">2138327257</t>
  </si>
  <si>
    <t xml:space="preserve">should have walked the cx through how to check on the tech visit from her end , but it is not entirely on the agent to be fair // the call details were very good , agent did build a rapport and the cx was thankful through out the conversation //The customer called to inquire about the arrival time of their technician, who was supposed to arrive with a mobile boom truck. The agent confirmed that the technician is scheduled to arrive between 12 PM and 2:30 PM, with a possibility of a delay of up to 30 minutes. The agent also mentioned that they do not have real-time tracking information for the technician. The customer thanked the agent before ending the call.</t>
  </si>
  <si>
    <t xml:space="preserve">2138281795</t>
  </si>
  <si>
    <t xml:space="preserve">poor commiunication skills ,vage delivery and clarity // missed offer , no AER statment , frustrated tone of voice </t>
  </si>
  <si>
    <t xml:space="preserve">2138330463</t>
  </si>
  <si>
    <t xml:space="preserve">mute and offering alternative to the cx for the outage , yet  the agent communication skills are getting better </t>
  </si>
  <si>
    <t xml:space="preserve">bp-mabdel482</t>
  </si>
  <si>
    <t xml:space="preserve">2137934136</t>
  </si>
  <si>
    <t xml:space="preserve">no empathy, customer had a problem with his line, he thinks the line was a scam, agent advised customer to return the devices, no reassurance was done</t>
  </si>
  <si>
    <t xml:space="preserve">bp-gahmed950</t>
  </si>
  <si>
    <t xml:space="preserve">2137914448</t>
  </si>
  <si>
    <t xml:space="preserve">delivery and clarity for the case , agent spoke complicated technicality with the cx  , over pitching </t>
  </si>
  <si>
    <t xml:space="preserve">bp-gahmed918</t>
  </si>
  <si>
    <t xml:space="preserve">2138064497</t>
  </si>
  <si>
    <t xml:space="preserve">delivery and clarity for the case , agent spoke complicated technicality with the cx  </t>
  </si>
  <si>
    <t xml:space="preserve">bp-skaram164</t>
  </si>
  <si>
    <t xml:space="preserve">2137992715</t>
  </si>
  <si>
    <t xml:space="preserve">customer called in with his TV buffering on Disney and hulu, agent immediatly transferred the call to Disney support, camped the call for 40 min even after the agent from disney told her to hang up, agent still remained on the line</t>
  </si>
  <si>
    <t xml:space="preserve">lack of empathy, didnt try to apply credit or find a work around to help the cx </t>
  </si>
  <si>
    <t xml:space="preserve">bp-lwael290</t>
  </si>
  <si>
    <t xml:space="preserve">2138448306</t>
  </si>
  <si>
    <t xml:space="preserve">excessive hold, no effort was exerted to get customer satisfied, call ended with a Tech visit after failing to troubleshoot the case properly</t>
  </si>
  <si>
    <t xml:space="preserve">2138480972</t>
  </si>
  <si>
    <t xml:space="preserve">poor handling skills // frustrated intonation // lack of empathy,  no sense of urgency </t>
  </si>
  <si>
    <t xml:space="preserve">22004091221775566564</t>
  </si>
  <si>
    <t xml:space="preserve">10003021071775579082</t>
  </si>
  <si>
    <t xml:space="preserve">Didn't quiet understand what the customer was trying to communicate at the middle of the call so the agent couldn't really pick up the clues the current issue that the customer had therefore couldn't try to resolve it , Didn't probe properly as well</t>
  </si>
  <si>
    <t xml:space="preserve">2138647688</t>
  </si>
  <si>
    <t xml:space="preserve">isolation // cx is dissatisfied about the previous rep </t>
  </si>
  <si>
    <t xml:space="preserve">cx were dissatisfied about the other agent who took over the call after the transfer to disconnect </t>
  </si>
  <si>
    <t xml:space="preserve">2138110868</t>
  </si>
  <si>
    <t xml:space="preserve">Invalid transfer, customer's internet is down, agent refused to help customer since she didn't accept his sales offer</t>
  </si>
  <si>
    <t xml:space="preserve">2138454094</t>
  </si>
  <si>
    <t xml:space="preserve">agent mispelled customer's name, customer corrected that, agent mispelled customer's name again about 20 times during the call, 3AYL MOSTAFEEEEEZ</t>
  </si>
  <si>
    <t xml:space="preserve">possible call avoidance, 4min silence, customer dropped the call, agent called back</t>
  </si>
  <si>
    <t xml:space="preserve">2138697451</t>
  </si>
  <si>
    <t xml:space="preserve">customer wanted to know the address of the nearest store, agent provided the address customer ended the call hapily</t>
  </si>
  <si>
    <t xml:space="preserve">10008024241775581515</t>
  </si>
  <si>
    <t xml:space="preserve">Agent tools outage / system issues and couldn't communicate and cx hanged up </t>
  </si>
  <si>
    <t xml:space="preserve">bp-mhesha950</t>
  </si>
  <si>
    <t xml:space="preserve">13005002321775645321</t>
  </si>
  <si>
    <t xml:space="preserve">CX had a multiple tech visits and wanted to get to a supervisor first thing in the call the agent tried to handle the call but her situation was urgent and wanted a tech today and a supervisor aswell.</t>
  </si>
  <si>
    <t xml:space="preserve">bp-mahmed740</t>
  </si>
  <si>
    <t xml:space="preserve">2137911768</t>
  </si>
  <si>
    <t xml:space="preserve">there was a very long mute and the customer kept saying Hello hello, the issue didn't get resolved and the customer called back twice </t>
  </si>
  <si>
    <t xml:space="preserve">2138064115</t>
  </si>
  <si>
    <t xml:space="preserve">Peacock issue as the Peacock account couldn't be activated many times</t>
  </si>
  <si>
    <t xml:space="preserve">2136713238</t>
  </si>
  <si>
    <t xml:space="preserve">missed channels , no way to retrievbe them , agent did empathize , acknowlege the cx feelings , gave him credit and offered alternatives , cx is still not happy but no other option can be provided </t>
  </si>
  <si>
    <t xml:space="preserve">bp-mehab439</t>
  </si>
  <si>
    <t xml:space="preserve">2138115463</t>
  </si>
  <si>
    <t xml:space="preserve">2138263734</t>
  </si>
  <si>
    <t xml:space="preserve">customer is frustrated because of the channels that was removed from the plan, there is no hold, agent tried to explain and handle however his handling strategy was so weak and he attacked the company and this is very wrong</t>
  </si>
  <si>
    <t xml:space="preserve">2138303201</t>
  </si>
  <si>
    <t xml:space="preserve">she needs to open ITG slow connectivity to know the root cause analysis, the extender could be sent with a modem as a one package so you could say it as let me send you another modem with an extender to enhance your service.</t>
  </si>
  <si>
    <t xml:space="preserve">bp-aamin484</t>
  </si>
  <si>
    <t xml:space="preserve">2138359373</t>
  </si>
  <si>
    <t xml:space="preserve">customer has an issue with his mobile he was very rude to the agent as he is from Egypt</t>
  </si>
  <si>
    <t xml:space="preserve">bp-gshohd15</t>
  </si>
  <si>
    <t xml:space="preserve">2138700634</t>
  </si>
  <si>
    <t xml:space="preserve">agent sorted the issue and the customer showed appreciation to her however she was very frustrated from the service </t>
  </si>
  <si>
    <t xml:space="preserve">bp-omahmo657</t>
  </si>
  <si>
    <t xml:space="preserve">2138737944</t>
  </si>
  <si>
    <t xml:space="preserve">very unneeded silence gap which made the customer very frustrated and called us back </t>
  </si>
  <si>
    <t xml:space="preserve">2138476917</t>
  </si>
  <si>
    <t xml:space="preserve">customer had a problem with her mobile, agent did troubleshoot the issue, the reason of the detractor is the excessive hold</t>
  </si>
  <si>
    <t xml:space="preserve">2136822004</t>
  </si>
  <si>
    <t xml:space="preserve">Excessive mute , pitching before resolution </t>
  </si>
  <si>
    <t xml:space="preserve">2138819846</t>
  </si>
  <si>
    <t xml:space="preserve">worst time to put the cs on hold , hold policy , over authentication , acknowledgment and assurance , active listening and proper questioning </t>
  </si>
  <si>
    <t xml:space="preserve">2139052767</t>
  </si>
  <si>
    <t xml:space="preserve">the long time of handling the call , cs was already frustrated, tech related , mute exceeding </t>
  </si>
  <si>
    <t xml:space="preserve">2139009839</t>
  </si>
  <si>
    <t xml:space="preserve">cs got transferred to Samsung , non related comcast issue  , mute exceeding though</t>
  </si>
  <si>
    <t xml:space="preserve">2138704464</t>
  </si>
  <si>
    <t xml:space="preserve">cst was dissatisfied from the packaging prices</t>
  </si>
  <si>
    <t xml:space="preserve">2138705446</t>
  </si>
  <si>
    <t xml:space="preserve">cst cannot handle the cst's frustration</t>
  </si>
  <si>
    <t xml:space="preserve">2139231790</t>
  </si>
  <si>
    <t xml:space="preserve">-</t>
  </si>
  <si>
    <t xml:space="preserve">bp-mhafez261</t>
  </si>
  <si>
    <t xml:space="preserve">2139009243</t>
  </si>
  <si>
    <t xml:space="preserve">lack of empathy and tone of not willing to help the cst</t>
  </si>
  <si>
    <t xml:space="preserve">bp-rhassa212</t>
  </si>
  <si>
    <t xml:space="preserve">2138615906</t>
  </si>
  <si>
    <t xml:space="preserve">cst is dissatisfied with the service and IVR long waiting time</t>
  </si>
  <si>
    <t xml:space="preserve">2138995886</t>
  </si>
  <si>
    <t xml:space="preserve">bp-aaliaa108</t>
  </si>
  <si>
    <t xml:space="preserve">2138738331</t>
  </si>
  <si>
    <t xml:space="preserve">2138826368</t>
  </si>
  <si>
    <t xml:space="preserve">cst needed service outside of the support </t>
  </si>
  <si>
    <t xml:space="preserve">2139031431</t>
  </si>
  <si>
    <t xml:space="preserve">long mute, no empathy</t>
  </si>
  <si>
    <t xml:space="preserve">2139082770</t>
  </si>
  <si>
    <t xml:space="preserve">over 30 mins mute!!!! agent got actioned </t>
  </si>
  <si>
    <t xml:space="preserve">2139842591</t>
  </si>
  <si>
    <t xml:space="preserve">dissatisfied with the channels that were removed from comcast</t>
  </si>
  <si>
    <t xml:space="preserve">by bp-yyehia213</t>
  </si>
  <si>
    <t xml:space="preserve">2139844659</t>
  </si>
  <si>
    <t xml:space="preserve">previous agent downgraded the unlimited line for the customer without telling her anything</t>
  </si>
  <si>
    <t xml:space="preserve">bp-oaboza433</t>
  </si>
  <si>
    <t xml:space="preserve">22005020231775822521</t>
  </si>
  <si>
    <t xml:space="preserve">CX had 2 concerns the agent addressed the first one and cx agreed to visit the store and for the second concern agent was lazy to even open an ITG for the second one and told him at the store they will be helping you for that one as well.</t>
  </si>
  <si>
    <t xml:space="preserve">2139930793</t>
  </si>
  <si>
    <t xml:space="preserve">The customer called because their service was shut off for non-payment, and one of their TVs was not working despite making a payment. After confirming the customer's identity and performing troubleshooting steps, the agent was able to restore the signal to the TV. The customer confirmed that the issue was resolved and expressed gratitude before ending the call. , mute exceeding , the agent missed to tell  the SLA for the cs for the services to come back on , needed to set expactaions</t>
  </si>
  <si>
    <t xml:space="preserve">2139024632</t>
  </si>
  <si>
    <t xml:space="preserve">CX wasn't happy about the ongoing channel outage situation.</t>
  </si>
  <si>
    <t xml:space="preserve">2139050611</t>
  </si>
  <si>
    <t xml:space="preserve">CX wasn't satisfied about the new placement of her internet modem that the last tech placed and couldn't connect to her remote work after then, Overall the CX was happy about the interaction but not with what happened previously with the tech and the agent did book her a tech to fix what happened. </t>
  </si>
  <si>
    <t xml:space="preserve">bp-malsha213</t>
  </si>
  <si>
    <t xml:space="preserve">2139879392</t>
  </si>
  <si>
    <t xml:space="preserve">ghost call the call dropped , they called back but no respond , left a vm and on the sec time he already reached another agent </t>
  </si>
  <si>
    <t xml:space="preserve">VXI Process or Tools</t>
  </si>
  <si>
    <t xml:space="preserve">2138876589</t>
  </si>
  <si>
    <t xml:space="preserve">customer called after being false promised of a battery and a free xfi pod, agent advised customer of the truth, no empathy or handling was done</t>
  </si>
  <si>
    <t xml:space="preserve">2139006162</t>
  </si>
  <si>
    <t xml:space="preserve">customer had an outage, agent advised customer of that, no handling was done after that, didn't try to let customer know that we appreciate their patience while we upgrade our network, agent just told customer about the resolution and call ended there</t>
  </si>
  <si>
    <t xml:space="preserve">2139079209</t>
  </si>
  <si>
    <t xml:space="preserve">the call is 1 sec, not sure if it is audio issue, or customer insta dropped the call, but the call shows customer is the one disconnecting the call </t>
  </si>
  <si>
    <t xml:space="preserve">2139230562</t>
  </si>
  <si>
    <t xml:space="preserve">The customer called to inquire about their Internet service, stating they had not received their equipment after ordering it over a week ago. They expressed frustration about the lack of communication and the need for installation, which they believed was unnecessary. The agent acknowledged the issue and attempted to assist by checking on the equipment status and scheduling a technician visit. However, the call ended with the customer feeling dissatisfied and angry due to the prolonged wait and lack of clear answers. languages barriers , very long time to handle the cs , excessive mute </t>
  </si>
  <si>
    <t xml:space="preserve">bp-srazee826</t>
  </si>
  <si>
    <t xml:space="preserve">2139167657</t>
  </si>
  <si>
    <t xml:space="preserve">customer had a question about if he can return the equipment to a nearby store, agent struggled to answer customer's issue, the call is exactly 1 min of agent asking customer questions about an easy case that made it complicated</t>
  </si>
  <si>
    <t xml:space="preserve">2139140593</t>
  </si>
  <si>
    <t xml:space="preserve">CX was really happy about the over all interaction and it was a sale call but once the cx heard " you have 30 days to port in and u can do it at the store he didn't hesitate and said i will be doing it at the store then" and persisted to do it at the store and the interaction ended by thanking the agent for his help.</t>
  </si>
  <si>
    <t xml:space="preserve">bp-helnab710</t>
  </si>
  <si>
    <t xml:space="preserve">2139050916</t>
  </si>
  <si>
    <t xml:space="preserve">cs hang up the line before letting the agent verifiy the account , call lasted 51 sec , didn't respond when he called back </t>
  </si>
  <si>
    <t xml:space="preserve">2140091831</t>
  </si>
  <si>
    <t xml:space="preserve">bp-amahmo172</t>
  </si>
  <si>
    <t xml:space="preserve">2139842605</t>
  </si>
  <si>
    <t xml:space="preserve">agent didn't show empathy and has an issue in the active listening and didn't follow the LOQs</t>
  </si>
  <si>
    <t xml:space="preserve">2140035505</t>
  </si>
  <si>
    <t xml:space="preserve">the customer asked the agent about the bill and she was satisfied with the agent and the new bill with the discount (passive)</t>
  </si>
  <si>
    <t xml:space="preserve">The customer contacted the agent regarding ongoing Internet issues,  slow speeds and frequent drops over &lt;DATE_TIME&gt;. The agent performed troubleshooting steps, including checking the modem and running speed tests, which showed speeds lower than expected. After confirming the issues, the agent scheduled a technician appointment for &lt;DATE_TIME&gt; from &lt;DATE_TIME&gt; to further investigate the problem. The customer was also informed about potential upgrades to their service but declined any additional offers. The call concluded with the customer expressing satisfaction with the assistance provided. , call took too long to get a resloution , mute exceeding , pitching when the cs still </t>
  </si>
  <si>
    <t xml:space="preserve">2140194301</t>
  </si>
  <si>
    <t xml:space="preserve">Disconnected account that was overcharged future dated (Got charged for a payment on the 18th and the call was on the 14th), Agent tried to handle the customer but it made no sense for the customer and hanged up.</t>
  </si>
  <si>
    <t xml:space="preserve">bp-mmahdi703</t>
  </si>
  <si>
    <t xml:space="preserve">17004018601775222298</t>
  </si>
  <si>
    <t xml:space="preserve">10004007801775827171</t>
  </si>
  <si>
    <t xml:space="preserve"> hold and mute , delivery and clarity   The customer called because their service was out, displaying a message that a channel would be available shortly. The agent confirmed there was an outage affecting the service and informed the customer that it would be resolved by approximately 12:20 PM Eastern time. The agent performed troubleshooting and reassured the customer throughout the call. The customer expressed understanding and appreciation for the assistance provided.</t>
  </si>
  <si>
    <t xml:space="preserve">2139858452</t>
  </si>
  <si>
    <t xml:space="preserve">the supervisor did the wrong action , instead of offering to upgrade the plan to be eligible for the swap after 60 days as a work around the agent did say that there is no way to return the device back , yet the agent also got a knowledge gap in the same topic and he will be coached on it </t>
  </si>
  <si>
    <t xml:space="preserve">2139029224</t>
  </si>
  <si>
    <t xml:space="preserve">The customer, Lisa, called to activate service at her new apartment after moving from a larger home. She mentioned that the new apartment complex already has the modem installed and requested assistance in turning on the service. The agent was in the process of verifying the account and gathering necessary information, including the MAC address of the modem. The customer expressed some frustration during the call due to the complexities of the move and service transfer. cs was frustrated as she couldn't verify the account </t>
  </si>
  <si>
    <t xml:space="preserve">bp-aomar509</t>
  </si>
  <si>
    <t xml:space="preserve">2139009214</t>
  </si>
  <si>
    <t xml:space="preserve">The customer called to inquire about the status of their 4K box, which they had not received despite being told it would be mailed. The agent confirmed that the box was not active on the account and raised a ticket to the shipping department to investigate the issue. The customer expressed frustration over previous incorrect box deliveries and charges. The agent assured the customer that they would follow up and confirmed the order for the correct box, offering express shipping at no charge. The agent also planned to check in with the customer the following Monday to ensure the issue was resolved. mute exceeding , lack of empathy , anagry customer call handelling </t>
  </si>
  <si>
    <t xml:space="preserve">2139009673</t>
  </si>
  <si>
    <t xml:space="preserve">cs wanted to speak a manager, excessive mute </t>
  </si>
  <si>
    <t xml:space="preserve">bp-mabdel894[</t>
  </si>
  <si>
    <t xml:space="preserve">2139854532</t>
  </si>
  <si>
    <t xml:space="preserve">agent promised to call back but he never did</t>
  </si>
  <si>
    <t xml:space="preserve">2139845463</t>
  </si>
  <si>
    <t xml:space="preserve">lack of empathy, constant interruption for the cx , poor handling skills intolerable showing frustration at the cx </t>
  </si>
  <si>
    <t xml:space="preserve">2138992998</t>
  </si>
  <si>
    <t xml:space="preserve">2139901799</t>
  </si>
  <si>
    <t xml:space="preserve">2139871805</t>
  </si>
  <si>
    <t xml:space="preserve">the charges are valid , as much as we hate to admit but the charges arevalid giving the cx false hope that the charges will be waived and raising  a ticket is no the correct course of action , we should have told her the truth completely and try to find an alternative to lower her bill </t>
  </si>
  <si>
    <t xml:space="preserve">10008011121776090025</t>
  </si>
  <si>
    <t xml:space="preserve">2139871805 .. shady the charges are valid , as much as we hate to admit but the charges arevalid giving the cx false hope that the charges will be waived and raising  a ticket is no the correct course of action , we should have told her the truth completely and try to find an alternative to lower her bill </t>
  </si>
  <si>
    <t xml:space="preserve">2139877260</t>
  </si>
  <si>
    <t xml:space="preserve">agent skipped the LOQs and didn't provide the accurate feedback, excessive hold</t>
  </si>
  <si>
    <t xml:space="preserve">2139875551</t>
  </si>
  <si>
    <t xml:space="preserve">agent performed the required ITG and then proceeded with the correct ITG and routed him to tc due to wrong ITG</t>
  </si>
  <si>
    <t xml:space="preserve">2140232711</t>
  </si>
  <si>
    <t xml:space="preserve">customer was satisfied</t>
  </si>
  <si>
    <t xml:space="preserve">2139856679</t>
  </si>
  <si>
    <t xml:space="preserve">customer had an outage and agent used the XMline as the resolution, agent didn't attempt to handle customer's issue, meaning that customer felt like he is getting the alt resolution right away</t>
  </si>
  <si>
    <t xml:space="preserve">2139871887</t>
  </si>
  <si>
    <t xml:space="preserve">customer had a new line, customer had to wait to get her phone activated since the activation date is not due yet, customer didn't understand and gave a negative feedback</t>
  </si>
  <si>
    <t xml:space="preserve">2139954621</t>
  </si>
  <si>
    <t xml:space="preserve">customer had a simple requirement, internet was down, agent struggled to find customer's account number due to customer being frustrated, then agent came back and advised customer of an outage, call went on Hold, customer hung up, agent called customer back and connected it to a supervisor</t>
  </si>
  <si>
    <t xml:space="preserve">2140032331</t>
  </si>
  <si>
    <t xml:space="preserve">2140570316</t>
  </si>
  <si>
    <t xml:space="preserve">poor handling skills , intonation , tonality is very monotonic , when the cx displayed frustration at the service agent showed frustration back </t>
  </si>
  <si>
    <t xml:space="preserve">bp-aelshe805</t>
  </si>
  <si>
    <t xml:space="preserve">2140201342</t>
  </si>
  <si>
    <t xml:space="preserve">Agent didn't even create a ticket for the customer's concern this is considered as a knowledge gap and lack of tools utilization.</t>
  </si>
  <si>
    <t xml:space="preserve">2140195247</t>
  </si>
  <si>
    <t xml:space="preserve">Didn't manage to inform the customer about the current ticket for the same concern that it was open and we are currently working on the situation and tried to create a duplicate itg/ticket and sent a tech and 13 mins of silent gaps over a 33 mins call. </t>
  </si>
  <si>
    <t xml:space="preserve">2140236486</t>
  </si>
  <si>
    <t xml:space="preserve">excessive hold (Agent Actioned), agent didn't show empathy to the cst</t>
  </si>
  <si>
    <t xml:space="preserve">2140202243</t>
  </si>
  <si>
    <t xml:space="preserve">cst got outages since the 13th</t>
  </si>
  <si>
    <t xml:space="preserve">2140424036</t>
  </si>
  <si>
    <t xml:space="preserve">Agent didn't understand the CX's query therefore there was no resolution, Was interrupting the customer a lot and slept in the middle of the call.</t>
  </si>
  <si>
    <t xml:space="preserve">2140424704</t>
  </si>
  <si>
    <t xml:space="preserve">Tech didn't show up and the agent managed to tell her that the tech will be arriving soon and the cx left a note on the detractor that no one showed up.</t>
  </si>
  <si>
    <t xml:space="preserve">2140284704</t>
  </si>
  <si>
    <t xml:space="preserve">CX's concern was resloved but there was an excessive mute time (~13 mins) out of a 26 mins call 50%  of the time customer was put on mute.</t>
  </si>
  <si>
    <t xml:space="preserve">bp-aezzat806</t>
  </si>
  <si>
    <t xml:space="preserve">2140399812</t>
  </si>
  <si>
    <t xml:space="preserve">Agent didn't resolve on the call and the cx was in a rush, Huge amounts of mutes 11 mins out of a 27 mins call , lost ownership once he said this call might be transferred to a higher department team or u will be sent a tech.</t>
  </si>
  <si>
    <t xml:space="preserve">agent takes too long to provide a resolution , mute exceeding </t>
  </si>
  <si>
    <t xml:space="preserve">2140643124</t>
  </si>
  <si>
    <t xml:space="preserve">customer was complianing of hold, customer dropped every call whenever agent puts customer on hold he allows 2 min then drops the call </t>
  </si>
  <si>
    <t xml:space="preserve">bp-amoham137</t>
  </si>
  <si>
    <t xml:space="preserve">2140234899</t>
  </si>
  <si>
    <t xml:space="preserve">customer was a new customer, had no service, agent tried to troubleshoot the issue, agent did get to the point that customer needs to get a new HDMI cable and will call the customer back</t>
  </si>
  <si>
    <t xml:space="preserve">2140394180</t>
  </si>
  <si>
    <t xml:space="preserve">customer had a problem with his TV, agent confirmed that the problem was not from the cable box or TV as customer explains, the case was an outage, customer requested a credit , agent refused, customer hung up but before he did he told agent that he will be calling back and he will get it </t>
  </si>
  <si>
    <t xml:space="preserve">2140557963</t>
  </si>
  <si>
    <t xml:space="preserve">Agent is wordy/verbose and his delivery of information isn't clear at all, Inefficient in resolution delivery and caused the sale not to be closed even tho the cx called to get a free mobile line, Lack of ownership and handling skills</t>
  </si>
  <si>
    <t xml:space="preserve">2140570284</t>
  </si>
  <si>
    <t xml:space="preserve">call was handled perfectly when it comes to knowledge, agent did place a very long mute that drove the detractor</t>
  </si>
  <si>
    <t xml:space="preserve">2140211296</t>
  </si>
  <si>
    <t xml:space="preserve">there was a notification on the account stating that the hold is because of the weather and there was an Article number stated how to handle the customers asking about the drop burry hold</t>
  </si>
  <si>
    <t xml:space="preserve">2140591600</t>
  </si>
  <si>
    <t xml:space="preserve">poor explaination for why the verification took so long , as the cx was the husband of the acc holder and the agent had to reach the acc holder to give him the permission to be a manager on the acc , we could have said things like , i hope my level of service today is up to yr level of satisfaction , also if u sensed hesitation we could have seeked me or one of the SMEs to avoid the detractor ,ask him what i could do from my end to make u a happy camper with the company once again ... the cx said the guy doesnt know what he doesnt know what he was doing  -------------------------------------- 10005016471776183361 ucid , khaled attia  2140283747 survey id  agent didnt attempt to lower the bill while the cx wanna cut some of her expenses , mute and hold were severe , aent didnt fix the issue with the internet as well </t>
  </si>
  <si>
    <t xml:space="preserve">bp-kattia483</t>
  </si>
  <si>
    <t xml:space="preserve">2140283747</t>
  </si>
  <si>
    <t xml:space="preserve">agent didnt attempt to lower the bill while the cx wanna cut some of her expenses , mute and hold were severe , aent didnt fix the issue with the internet as well </t>
  </si>
  <si>
    <t xml:space="preserve">2140774498</t>
  </si>
  <si>
    <t xml:space="preserve">agent didnt fix the issue , scheduled a tech visit instead of following the correct itg , not to mention that the agent didnt have any sort of empathy over the call </t>
  </si>
  <si>
    <t xml:space="preserve">bp-labass925</t>
  </si>
  <si>
    <t xml:space="preserve">2140587256</t>
  </si>
  <si>
    <t xml:space="preserve">Excessive amount of mute the call is 6 mins 4 mins of them were on mute and there was no resolution provided in the call and the call dropped.</t>
  </si>
  <si>
    <t xml:space="preserve">2140776150</t>
  </si>
  <si>
    <t xml:space="preserve">no resolution was provided , npt following the call structure that we have agreed on , lack of empathy , frustrated tonality </t>
  </si>
  <si>
    <t xml:space="preserve">bp-melbar191</t>
  </si>
  <si>
    <t xml:space="preserve">2140556226</t>
  </si>
  <si>
    <t xml:space="preserve">the call dropped due to long unneeded silence gap, the agent should do the correct trouble shooting as the agent after him was successfully able to connect to the wifi without any need for a tech </t>
  </si>
  <si>
    <t xml:space="preserve">2140569132</t>
  </si>
  <si>
    <t xml:space="preserve">Customer couldn't verify and didn't even want to give the reason of the call and told the agent " Figure it out yourself " and it was a 2 mins call and the customer hanged up the call.</t>
  </si>
  <si>
    <t xml:space="preserve">2140670098</t>
  </si>
  <si>
    <t xml:space="preserve">Excessive amount of mutes agent put 5 mins of mute in a 10 mins call and lacked building rapport or engaging at all with the customer.</t>
  </si>
  <si>
    <t xml:space="preserve">2140733832</t>
  </si>
  <si>
    <t xml:space="preserve">Agent guided the customer but there was no resolution for the Peacock/Hulu activation within the call and customer was frustrated and It was the customer's second call for the same concern without a resolution.</t>
  </si>
  <si>
    <t xml:space="preserve">2140606898</t>
  </si>
  <si>
    <t xml:space="preserve">there was an intermittent connectivity and the agent did the troubleshooting and there was a maintenance  in his neighborhood. </t>
  </si>
  <si>
    <t xml:space="preserve">2140591339</t>
  </si>
  <si>
    <t xml:space="preserve">very long mute call avoidance</t>
  </si>
  <si>
    <t xml:space="preserve">2140734151</t>
  </si>
  <si>
    <t xml:space="preserve">agent should troubleshoot the internet first, then he supposed to engage actively with the customer and tell him step by step what he is doing, he needs to be more understanding, and his closure was very weak</t>
  </si>
  <si>
    <t xml:space="preserve">agent didnt fix the issue , scheduled a tech visit instead of following the correct itg , not to mention that the agent didnt have any sort of empathy over the call and did have poor hanling skills severly bad</t>
  </si>
  <si>
    <t xml:space="preserve">2140930390</t>
  </si>
  <si>
    <t xml:space="preserve"> called the cx back  because  no resolution was provided by tthe agent that is why the cx were dissatisfied // hold and mute was massive </t>
  </si>
  <si>
    <t xml:space="preserve">bp-meid447</t>
  </si>
  <si>
    <t xml:space="preserve">2140643862</t>
  </si>
  <si>
    <t xml:space="preserve">call ended abruptly, agent called back, long hold resulted in costumer hanging the call again since he thought that "i will check and i will be back" means that he will hang up the line </t>
  </si>
  <si>
    <t xml:space="preserve">2140930233</t>
  </si>
  <si>
    <t xml:space="preserve">there were many techs visited the customer for the past 2 months and the issue still the same, customer called back twice 1st time as the tech told him that the issue resolved, second one was about the channels that are no longer with us</t>
  </si>
  <si>
    <t xml:space="preserve">2141029423</t>
  </si>
  <si>
    <t xml:space="preserve">agent could earch with first and last name and the zip code to be able to find the account as there are some duplicate accounts with different or same address.</t>
  </si>
  <si>
    <t xml:space="preserve">bp-mabdel894</t>
  </si>
  <si>
    <t xml:space="preserve">2140726552</t>
  </si>
  <si>
    <t xml:space="preserve">2141176284</t>
  </si>
  <si>
    <t xml:space="preserve">call dropped, agent didn't call her back then she called again complaining about the same issue</t>
  </si>
  <si>
    <t xml:space="preserve">2141116129</t>
  </si>
  <si>
    <t xml:space="preserve">dissatisfied with Peacock as she is not able to access it </t>
  </si>
  <si>
    <t xml:space="preserve">2141289632</t>
  </si>
  <si>
    <t xml:space="preserve">didn't resolve the issue </t>
  </si>
  <si>
    <t xml:space="preserve">2140641452</t>
  </si>
  <si>
    <t xml:space="preserve">mute exceeding , language barrier , excessive mute , knowledge gap , hesitation , wrong resolution , over pitching before The customer called to report that their Wi-Fi connection was down due to utility work by the water company. After verifying the customer's account information, the agent scheduled a technician appointment for the 17th between 1 and 3 PM. The customer expressed concern about being home for the appointment and discussed the possibility of using a temporary hotspot. The agent offered to assist with connecting to the internet until the technician arrived. The customer was appreciative of the assistance provided. </t>
  </si>
  <si>
    <t xml:space="preserve">2140646612</t>
  </si>
  <si>
    <t xml:space="preserve">2140673950</t>
  </si>
  <si>
    <t xml:space="preserve">The customer called to report that a technician did not show up for a scheduled installation. They mentioned having paid $100 for the service. The agent confirmed the technician's absence and scheduled a new appointment at no extra cost. The customer requested confirmation of the refund for the initial payment. The agent also offered a mobile service, but the customer declined, expressing frustration with the ongoing issues. The new appointment was set for April 21st from 8 to 10 AM. , agent was mad about the 100 dollars fees</t>
  </si>
  <si>
    <t xml:space="preserve">2140640854</t>
  </si>
  <si>
    <t xml:space="preserve">2140945734</t>
  </si>
  <si>
    <t xml:space="preserve">cst is not satisfied with the authentication process</t>
  </si>
  <si>
    <t xml:space="preserve">2140945083</t>
  </si>
  <si>
    <t xml:space="preserve">2140396066</t>
  </si>
  <si>
    <t xml:space="preserve">The customer called to inquire about a service technician who was supposed to arrive between 1 and 3 PM but had not shown up. They expressed frustration over waiting and mentioned that all services were down since the previous day. The agent checked the system but could not confirm a technician was scheduled to come out. The customer was upset about the lack of service and communication. the cs was promised by a technician but there was no tech , call avoidance mute exceeding  </t>
  </si>
  <si>
    <t xml:space="preserve">2140250565</t>
  </si>
  <si>
    <t xml:space="preserve">The customer called to report pixelation issues with their TVs, stating that the problem started in the bedroom and then affected the living room. They expressed frustration over having to wait until Friday for a technician appointment. The agent acknowledged the issue, scheduled the appointment, and offered to check for earlier availability and potential credit for the inconvenience. The customer declined a streaming service offer and expressed dissatisfaction with the service overall. call avoidance behavior , mute exceeding , over authentication while it's tech issue </t>
  </si>
  <si>
    <t xml:space="preserve">2140950621</t>
  </si>
  <si>
    <t xml:space="preserve">customer was happy, his service was reconnected, customer was happy, yet he left a note on the detractor that it was because of him thinking that the agent was AI</t>
  </si>
  <si>
    <t xml:space="preserve">2141001757</t>
  </si>
  <si>
    <t xml:space="preserve">customer should have been transferred to disconnection yet agent asked customer to hold while he gets an agent from disconnection team's side to answer the call, call was placed on hold for 5 mins after that and customer disconnected the call</t>
  </si>
  <si>
    <t xml:space="preserve">2141000002</t>
  </si>
  <si>
    <t xml:space="preserve">call was fine, no hold no silence, yet customer provided a negative feedback due to him thinking he has been talking to IVR</t>
  </si>
  <si>
    <t xml:space="preserve">2140443032</t>
  </si>
  <si>
    <t xml:space="preserve">escalation taken by ghada</t>
  </si>
  <si>
    <t xml:space="preserve">2141376890</t>
  </si>
  <si>
    <t xml:space="preserve">didn't engage with the customer very long unnecesary hold </t>
  </si>
  <si>
    <t xml:space="preserve">2141461525</t>
  </si>
  <si>
    <t xml:space="preserve">poor handling skills , tonality , no empathy </t>
  </si>
  <si>
    <t xml:space="preserve">2141378968</t>
  </si>
  <si>
    <t xml:space="preserve">poor handling skills, lack of empathy, no addressing for the cx concern about the $100 fee for the tech visit </t>
  </si>
  <si>
    <t xml:space="preserve">2141301880</t>
  </si>
  <si>
    <t xml:space="preserve">poor explanation for the bill, bas handling through out the call , lack of empathy </t>
  </si>
  <si>
    <t xml:space="preserve">2140914596</t>
  </si>
  <si>
    <t xml:space="preserve">cx calling wasn't the account holder and agent wanted to speak to the account holder to schedule a tech but the caller refused and said i will call back and the agent tried to schedule a call back to resolve the concern instead of calling us back but refused as well.</t>
  </si>
  <si>
    <t xml:space="preserve">2140952571</t>
  </si>
  <si>
    <t xml:space="preserve">2140976609</t>
  </si>
  <si>
    <t xml:space="preserve">CX was supposed to be getting a $700 Trade-In credit and the shipment was Stolen-In-Transit and credit was cancelled and the phone is lost as well a dead end case.</t>
  </si>
  <si>
    <t xml:space="preserve">2141458231</t>
  </si>
  <si>
    <t xml:space="preserve">tone of voice and speed, lack of empathy</t>
  </si>
  <si>
    <t xml:space="preserve">2141436579</t>
  </si>
  <si>
    <t xml:space="preserve">agent didn't recognize the outage in the area and proceeded with the ITG and TS steps and then promised the cst with TC and surprised with the outage</t>
  </si>
  <si>
    <t xml:space="preserve">2141282748</t>
  </si>
  <si>
    <t xml:space="preserve">cst needed Spanish line and agent transferred the call and he couldn't reach the agent</t>
  </si>
  <si>
    <t xml:space="preserve">2141377597</t>
  </si>
  <si>
    <t xml:space="preserve">required iTG routed the agent to TC while the issue needed another ITG</t>
  </si>
  <si>
    <t xml:space="preserve">2141381481</t>
  </si>
  <si>
    <t xml:space="preserve">2140915363</t>
  </si>
  <si>
    <t xml:space="preserve">customer called with an internet issue, customer was expecting a tech and wanted to know date and time for their arrival, agent provided the required info, customer ended the call happily, yet provided a negative feedback</t>
  </si>
  <si>
    <t xml:space="preserve">2141455996</t>
  </si>
  <si>
    <t xml:space="preserve">agent was doing a sale, was waiting for customer's approval, somehow the call was disconnected while she was getting her a verbal approval, I3 shows that agent disconnected the call</t>
  </si>
  <si>
    <t xml:space="preserve">2141405638</t>
  </si>
  <si>
    <t xml:space="preserve">Wafik was the reason for the detractor, agent was doing something on the system, forgot to use hold, Wafik was talking in the background, and customer hung up the line</t>
  </si>
  <si>
    <t xml:space="preserve">bp-bmoham515</t>
  </si>
  <si>
    <t xml:space="preserve">2141461398</t>
  </si>
  <si>
    <t xml:space="preserve">2141380397</t>
  </si>
  <si>
    <t xml:space="preserve">2141306294</t>
  </si>
  <si>
    <t xml:space="preserve">The customer called to report a lack of cable and Internet service for five days. The agent verified the account and informed the customer of a general outage in their area, which was causing the disruption. The agent assured the customer that they would be compensated for the downtime. The customer expressed frustration about the situation but appreciated the information provided. The call ended with the customer satisfied with the agent's assistance</t>
  </si>
  <si>
    <t xml:space="preserve">2141123907</t>
  </si>
  <si>
    <t xml:space="preserve">2140972214</t>
  </si>
  <si>
    <t xml:space="preserve">over authentication , he could of troubleshoot without verifying the account , agent had trouble explain the policy for the cs </t>
  </si>
  <si>
    <t xml:space="preserve">2142195308</t>
  </si>
  <si>
    <t xml:space="preserve">customer was satisfied from the agent, but was frustrated that the tech date is the next day </t>
  </si>
  <si>
    <t xml:space="preserve">2142221389</t>
  </si>
  <si>
    <t xml:space="preserve">fraud case new account was created to restore the service (which is invalid)</t>
  </si>
  <si>
    <t xml:space="preserve">2142357406</t>
  </si>
  <si>
    <t xml:space="preserve">SRO takes time and was on hold due to weather </t>
  </si>
  <si>
    <t xml:space="preserve">bp-hhussi694</t>
  </si>
  <si>
    <t xml:space="preserve">2142214626</t>
  </si>
  <si>
    <t xml:space="preserve">2142550358</t>
  </si>
  <si>
    <t xml:space="preserve">SRO and it takes time customer frustrated from the timing</t>
  </si>
  <si>
    <t xml:space="preserve">2142384944</t>
  </si>
  <si>
    <t xml:space="preserve">wrong transfer instead of running the correct itg , mute was very high as well</t>
  </si>
  <si>
    <t xml:space="preserve">2142417719</t>
  </si>
  <si>
    <t xml:space="preserve">The customer contacted the agent regarding issues with a new modem that was sent to upgrade their internet speed. The customer explained that the new modem operates at 5 GHz, which is &lt;US_DRIVER_LICENSE&gt; with their TV that requires a 2.4 GHz connection. The agent attempted to assist the customer in connecting the new modem and troubleshooting the issue through the XFINITY app and website. After several attempts to resolve the connectivity problems, the agent ultimately scheduled a technician visit to address the issues. The customer expressed frustration with the process and the need for immediate connectivity for work purposes. cs wan't satfisted with the resolution </t>
  </si>
  <si>
    <t xml:space="preserve">2142196009</t>
  </si>
  <si>
    <t xml:space="preserve">agent used a weird tone of voice that caused customer to accuse agent of being rude, when in fact agent was really dull on call with 0 personal interaction</t>
  </si>
  <si>
    <t xml:space="preserve">2142270639</t>
  </si>
  <si>
    <t xml:space="preserve">agent took 35min to fix customer's very simple issue, 20 min of those were pure silence, yet he came back fixed the issue and advised customer of what to do next, customer was not frustrated by the end of the call</t>
  </si>
  <si>
    <t xml:space="preserve">2142280899</t>
  </si>
  <si>
    <t xml:space="preserve">2142362452</t>
  </si>
  <si>
    <t xml:space="preserve">2142391627</t>
  </si>
  <si>
    <t xml:space="preserve">customer was getting the help she needed, agent did actually help customer for the first time of his life, yet customer dropped the call once agent provided customer with the resolution</t>
  </si>
  <si>
    <t xml:space="preserve">2142386982</t>
  </si>
  <si>
    <t xml:space="preserve">agent was helping customer with the issue, agent was laughing as a way to take the call lightly, there was a noise in the background where others were laughing as well, customer felt like he was being under appreciated and hung up the call</t>
  </si>
  <si>
    <t xml:space="preserve">2142409756</t>
  </si>
  <si>
    <t xml:space="preserve">customer had a problem with her setup that was done by the new sales team when they gave her a false date and agent transferred the call to movers team from which point customer LITERALLY took a tour around all xfinity's departments and the issue was not resolved after all of that </t>
  </si>
  <si>
    <t xml:space="preserve">2142557805</t>
  </si>
  <si>
    <t xml:space="preserve">mute // setting expectation part could have been done in a better way </t>
  </si>
  <si>
    <t xml:space="preserve">2142916055</t>
  </si>
  <si>
    <t xml:space="preserve">outage and the customer said that she is satisfied with the agent, however there was too many outages in her area</t>
  </si>
  <si>
    <t xml:space="preserve">2142886797</t>
  </si>
  <si>
    <t xml:space="preserve">Internet Outage the agent couldn't hear the customer, and cx answered the survey before the follow up call from the agent once the outage ended.</t>
  </si>
  <si>
    <t xml:space="preserve">2142912662</t>
  </si>
  <si>
    <t xml:space="preserve">CX couldn't verify the account and had a mobile concern and agent tried to verify the account to help and the customer hanged up.</t>
  </si>
  <si>
    <t xml:space="preserve">2142886386</t>
  </si>
  <si>
    <t xml:space="preserve">Didn't properly probe to get a good understanding of the concern and referred the customer to the manufacturer and gave her the number and the customer rated 6. </t>
  </si>
  <si>
    <t xml:space="preserve">2142899803</t>
  </si>
  <si>
    <t xml:space="preserve">There is no paraphrasing on the customer’s concern at all, No empathy at all, No assurance or ownership what so ever.</t>
  </si>
  <si>
    <t xml:space="preserve">2142753060</t>
  </si>
  <si>
    <t xml:space="preserve">2142752933</t>
  </si>
  <si>
    <t xml:space="preserve">CX wanted to switch devices on XM360 but the device wasn’t unlocked from the carrier and cx was referred to contact the other carrier to unlock and then we will be able to switch it. </t>
  </si>
  <si>
    <t xml:space="preserve">2142698631</t>
  </si>
  <si>
    <t xml:space="preserve">customer asked a simple question about the date of his tech visit, agent took 4min on hold to let customer know about the date when customer already came in authrized </t>
  </si>
  <si>
    <t xml:space="preserve">2142718779</t>
  </si>
  <si>
    <t xml:space="preserve">customer called in about rescheduling the tech visit, agent did help customer with the case after pushing a bit for a sale, agent asked customer to hold the line , customer dropped the line instead</t>
  </si>
  <si>
    <t xml:space="preserve">2142753172</t>
  </si>
  <si>
    <t xml:space="preserve">customer called in with an issue, for some reason the call should be 28min yet it shows as 1 min on i3, the call shows the agent sometimes laughing and talking to customer who is not even responding</t>
  </si>
  <si>
    <t xml:space="preserve">2143056744</t>
  </si>
  <si>
    <t xml:space="preserve">called the cx back , handled the situation , cx was mad at the agent being so slow and fake promised an appoitment which was never made </t>
  </si>
  <si>
    <t xml:space="preserve">2142722981</t>
  </si>
  <si>
    <t xml:space="preserve">Previous agent lied to the customer about the change of service and the tech as well. </t>
  </si>
  <si>
    <t xml:space="preserve">2142724043</t>
  </si>
  <si>
    <t xml:space="preserve">Lack of empathy / Showing Attitude and behavior / No resolution or trying even, just referred the customer to the store</t>
  </si>
  <si>
    <t xml:space="preserve">2142360535</t>
  </si>
  <si>
    <t xml:space="preserve">CX came shouting that there is a call back from a sup that was scheduled and wanted the sup call and refused to speak or talk and was shouting really high and agent managed to be professional throughout the call. </t>
  </si>
  <si>
    <t xml:space="preserve">2141323164</t>
  </si>
  <si>
    <t xml:space="preserve">CX was calling about when is the tech will be coming agent assisted the customer and remained professional and customer was happy at the end of the call.</t>
  </si>
  <si>
    <t xml:space="preserve">bp-aabdel966</t>
  </si>
  <si>
    <t xml:space="preserve">2142390188</t>
  </si>
  <si>
    <t xml:space="preserve">Not engaging actively on the call or listening actively  excessive dead air and mutes background noises not using sanas and there is no resolution on the call.</t>
  </si>
  <si>
    <t xml:space="preserve">2142945122</t>
  </si>
  <si>
    <t xml:space="preserve">customer had a problem to watch his NBA, customer called in and the call dropped so agent called back, heared the problem then placed the call on a 19min mute where customer kept on calling for them, nobody answered, so customer dropped the line and gave us a detractor, call has been flagged to Quality team to validate and escalate it further</t>
  </si>
  <si>
    <t xml:space="preserve">2142897728</t>
  </si>
  <si>
    <t xml:space="preserve">customer had a payment concern, agent provided customer with the details required, in depth, agent provided a very good answer with enough details and handled all customers' questions, no hold or mute was observed, customer was just dissatisfied about the process it self</t>
  </si>
  <si>
    <t xml:space="preserve">2143080332</t>
  </si>
  <si>
    <t xml:space="preserve">customer was looking for a tech who is supposed to visit to get the drop bury done, customer refused to listen and hung up the line</t>
  </si>
  <si>
    <t xml:space="preserve">2143524816</t>
  </si>
  <si>
    <t xml:space="preserve">lack of empathy , setting expectations part about the new changes in the package , mute </t>
  </si>
  <si>
    <t xml:space="preserve">2143654015</t>
  </si>
  <si>
    <t xml:space="preserve">empathy , handling could have ben better , dont be affected by the cx frustration , differenciate between empathy and sympathy , offer courtsy credit </t>
  </si>
  <si>
    <t xml:space="preserve">by bp-aamin484</t>
  </si>
  <si>
    <t xml:space="preserve">2143529560</t>
  </si>
  <si>
    <t xml:space="preserve">2143812426</t>
  </si>
  <si>
    <t xml:space="preserve">there is no any call handling 30 mins of silence and the customer kept saying hello</t>
  </si>
  <si>
    <t xml:space="preserve">2143894216</t>
  </si>
  <si>
    <t xml:space="preserve">dissatisfied with TV channels issue</t>
  </si>
  <si>
    <t xml:space="preserve">2143753562</t>
  </si>
  <si>
    <t xml:space="preserve">ended the call without a resolution and promised to call back </t>
  </si>
  <si>
    <t xml:space="preserve">2144645120</t>
  </si>
  <si>
    <t xml:space="preserve">couldn't verify </t>
  </si>
  <si>
    <t xml:space="preserve">2144568383</t>
  </si>
  <si>
    <t xml:space="preserve">2144652938</t>
  </si>
  <si>
    <t xml:space="preserve">2144603769</t>
  </si>
  <si>
    <t xml:space="preserve">setting expectations part was not clear enough , mute </t>
  </si>
  <si>
    <t xml:space="preserve">2144524635</t>
  </si>
  <si>
    <t xml:space="preserve">intonation , monotonic</t>
  </si>
  <si>
    <t xml:space="preserve">2144603055</t>
  </si>
  <si>
    <t xml:space="preserve">SHO , mute , setting expectations </t>
  </si>
  <si>
    <t xml:space="preserve">2143657012</t>
  </si>
  <si>
    <t xml:space="preserve">agent handeled the call flawlessly, yet customer was angry due to a blind transfer that was done to him </t>
  </si>
  <si>
    <t xml:space="preserve">2144898193</t>
  </si>
  <si>
    <t xml:space="preserve">mute , company restrictionThe customer contacted the agent regarding two issues: a delay in marking their Internet line for fence construction and an unauthorized plan upgrade. The agent confirmed the customer's concerns and scheduled a technician to visit the customer's home today between 1 PM and 3 PM to mark the line. The customer expressed frustration over the delay but was satisfied with the scheduled appointment.</t>
  </si>
  <si>
    <t xml:space="preserve">2144848067</t>
  </si>
  <si>
    <t xml:space="preserve">over pitching // mute The customer contacted the agent because their Internet service was out since the previous afternoon, affecting their ability to work from home. The agent confirmed an outage in the area and scheduled a technician visit for the following day between 1 PM and 3 PM. The customer declined an offer for a temporary Internet line, preferring to wait for the technician. The agent assured the customer that the issue would be resolved soon and thanked them for their patience.</t>
  </si>
  <si>
    <t xml:space="preserve">2145609430</t>
  </si>
  <si>
    <t xml:space="preserve">setting expectations </t>
  </si>
  <si>
    <t xml:space="preserve">hazem salem</t>
  </si>
  <si>
    <t xml:space="preserve">wrong rating , The customer called to discuss their bill, expressing frustration over a $20 loyalty discount that was supposed to lower their bill but instead resulted in a higher charge. After verifying the customer's account and discussing the details, the agent confirmed that the discount had been applied but that other charges had increased the total. To resolve the issue, the agent offered a $20 credit to the customer's account, which the customer accepted. The agent also informed the customer about a potential free mobile service offer due to their loyalty. The call ended with the customer feeling satisfied with the resolution.</t>
  </si>
  <si>
    <t xml:space="preserve">2146254083</t>
  </si>
  <si>
    <t xml:space="preserve">mute , setting expectations about hbo ,  lack of SHO </t>
  </si>
  <si>
    <t xml:space="preserve">2145784217</t>
  </si>
  <si>
    <t xml:space="preserve">mute , delivery and clarity about the expiration date of the loyalty discount , offering alternative to cut some of the cx experience </t>
  </si>
  <si>
    <t xml:space="preserve">2146172921</t>
  </si>
  <si>
    <t xml:space="preserve">handling skills , way of explaining  </t>
  </si>
  <si>
    <t xml:space="preserve">2146173209</t>
  </si>
  <si>
    <t xml:space="preserve">we should have explained the nfl situation in a clearer more transparent way without letting the company be the blamed one for the nfl loss , , should also offered alternative aside from the compensation </t>
  </si>
  <si>
    <t xml:space="preserve">2146204583</t>
  </si>
  <si>
    <t xml:space="preserve">mute , setting expectations about the icloud issue is not part of our services </t>
  </si>
  <si>
    <t xml:space="preserve">2146920063</t>
  </si>
  <si>
    <t xml:space="preserve">mute , hold , delivery and clarity </t>
  </si>
  <si>
    <t xml:space="preserve">2146916505</t>
  </si>
  <si>
    <t xml:space="preserve">over pitching , solve then sell concept has to be implemented</t>
  </si>
  <si>
    <t xml:space="preserve">2147078254</t>
  </si>
  <si>
    <t xml:space="preserve">no available dates on the system suitable with the cx work conditions , agent did his best over the call . </t>
  </si>
  <si>
    <t xml:space="preserve">2146905081</t>
  </si>
  <si>
    <t xml:space="preserve">agent is not engaging with the customer of what he is doing</t>
  </si>
  <si>
    <t xml:space="preserve">2146905287</t>
  </si>
  <si>
    <t xml:space="preserve">customer's issue is resolved however he is frustrated from the IVR</t>
  </si>
  <si>
    <t xml:space="preserve">bp-maly103</t>
  </si>
  <si>
    <t xml:space="preserve">2147029295</t>
  </si>
  <si>
    <t xml:space="preserve">call dropped due to outage and the call was cutting out </t>
  </si>
  <si>
    <t xml:space="preserve">2147167800</t>
  </si>
  <si>
    <t xml:space="preserve">agent should schedule trouble call instead of SRO, customer called back to make a trouble call </t>
  </si>
  <si>
    <t xml:space="preserve">2147111989</t>
  </si>
  <si>
    <t xml:space="preserve">Customer wanted to talk to his boyfriend and was drunk.</t>
  </si>
  <si>
    <t xml:space="preserve">2146933232</t>
  </si>
  <si>
    <t xml:space="preserve">Customer was calling requesting to cancel the service and get refunded due to having three tech appointments to install and activate the service but it wasn't successful and service was never activated and agent advised the caller that the account holder is the one who should be disconnecting the account and referred her to the store as well.</t>
  </si>
  <si>
    <t xml:space="preserve">2147074489</t>
  </si>
  <si>
    <t xml:space="preserve">Agent used mute for so long, even with the refreshing, stil hold is toooooo long to the point that customer provided a negative feedback</t>
  </si>
  <si>
    <t xml:space="preserve">2147282518</t>
  </si>
  <si>
    <t xml:space="preserve">there was an outage, sup call then the customer wanted US rep</t>
  </si>
  <si>
    <t xml:space="preserve">2147453702</t>
  </si>
  <si>
    <t xml:space="preserve">2146920858</t>
  </si>
  <si>
    <t xml:space="preserve">Customer was asking about the free peacock sub and for how long it was and the agent managed to answer him, tried to guide him to activate but she didn't guide him on how to de-activate his current paid sub with peacock and he was driving and he said he is gonna do it on his own and she sent the article, agent can go the extra mile to make sure it's a promoter and not an AICR hit</t>
  </si>
  <si>
    <t xml:space="preserve">2147133273</t>
  </si>
  <si>
    <t xml:space="preserve">Agent poorly handled the call, Excessive amount of mute 7 mins and made the customer irritated because of the lack of active listening.</t>
  </si>
  <si>
    <t xml:space="preserve">2147161344</t>
  </si>
  <si>
    <t xml:space="preserve">Customer was calling about having a poor download speed that cannot run her workstation, Agent did troubleshoot and offered a better plan for the internet but the customer refused and got her a tech.</t>
  </si>
  <si>
    <t xml:space="preserve">2147110660</t>
  </si>
  <si>
    <t xml:space="preserve">Excessive mute , not following ITG LOQs and called dropped after huge amount of mute</t>
  </si>
  <si>
    <t xml:space="preserve">2147284633</t>
  </si>
  <si>
    <t xml:space="preserve">Poor handling skills and lack of structure and empathy and re-assurance and ownership and Excessive mutes and a tech was sent. </t>
  </si>
  <si>
    <t xml:space="preserve">bp-emoham749</t>
  </si>
  <si>
    <t xml:space="preserve">2146106387</t>
  </si>
  <si>
    <t xml:space="preserve">cutting the cs off , over pitching </t>
  </si>
  <si>
    <t xml:space="preserve">2146114493</t>
  </si>
  <si>
    <t xml:space="preserve">The customer called to inquire why they were not receiving the same channels on their upstairs cable box as they were on the downstairs box. The agent explained that the upstairs box was an adapter and not a TV box, which limited its channel access. The agent initiated a process to change the upstairs box to a TV box and offered a $10 discount on the bill. The customer was informed that the update process could take &lt;DATE_TIME&gt;, and the agent provided guidance on how to proceed with the setup.</t>
  </si>
  <si>
    <t xml:space="preserve">2146260053</t>
  </si>
  <si>
    <t xml:space="preserve">mute , long time before resoultion </t>
  </si>
  <si>
    <t xml:space="preserve">2146079225</t>
  </si>
  <si>
    <t xml:space="preserve">pitching before resolution </t>
  </si>
  <si>
    <t xml:space="preserve">2146085264</t>
  </si>
  <si>
    <t xml:space="preserve">empathy , mute exceeding </t>
  </si>
  <si>
    <t xml:space="preserve">2146055006</t>
  </si>
  <si>
    <t xml:space="preserve">it compliancs , handling the angry cs , mute </t>
  </si>
  <si>
    <t xml:space="preserve">2145985280</t>
  </si>
  <si>
    <t xml:space="preserve">mute exceeding </t>
  </si>
  <si>
    <t xml:space="preserve">2147455274</t>
  </si>
  <si>
    <t xml:space="preserve">itg complains , pitching before resolution </t>
  </si>
  <si>
    <t xml:space="preserve">2147341773</t>
  </si>
  <si>
    <t xml:space="preserve">mute , yet the cx wasn't aggrevated over the call , wrong rating </t>
  </si>
  <si>
    <t xml:space="preserve">2147458294</t>
  </si>
  <si>
    <t xml:space="preserve">delayed greeting , wrong resolution , supervisor esclation</t>
  </si>
  <si>
    <t xml:space="preserve">2147386846</t>
  </si>
  <si>
    <t xml:space="preserve">mute exceeding , delayed greeting , The customer called to report frequent Internet disconnections, which affected their ability to work from home. The agent verified the customer's information and scheduled a technician visit for &lt;DATE_TIME&gt;. Additionally, the agent offered a temporary mobile line solution that provides unlimited features for &lt;DATE_TIME&gt;, which the customer accepted. The agent assured the customer that any fees for the technician's visit would be covered by XFINITY. The customer expressed appreciation for the assistance provided.</t>
  </si>
  <si>
    <t xml:space="preserve">2147317184</t>
  </si>
  <si>
    <t xml:space="preserve">2147273079</t>
  </si>
  <si>
    <t xml:space="preserve">drop issue </t>
  </si>
  <si>
    <t xml:space="preserve">2147319612</t>
  </si>
  <si>
    <t xml:space="preserve">Customer was really hard to understand and the agent stayed for 1h trying to assist her, and then he scheduled a call back because he had lunch and wanted to go out on time, and once he came back tried to contact her but it went to a voicemail so it hit the AICR and NPS</t>
  </si>
  <si>
    <t xml:space="preserve">2147312830</t>
  </si>
  <si>
    <t xml:space="preserve">huge amount of dead air and poor handling skills even though the issue was resolved.</t>
  </si>
  <si>
    <t xml:space="preserve">2147386681</t>
  </si>
  <si>
    <t xml:space="preserve">Issue was resloved but poor handling skills, Excessive mute time 5 mins in a 14 mins call.</t>
  </si>
  <si>
    <t xml:space="preserve">2147273250</t>
  </si>
  <si>
    <t xml:space="preserve">Issue wasn't resolved and had to book a tech, Poor handling skills huge amount of mute.</t>
  </si>
  <si>
    <t xml:space="preserve">2147529206</t>
  </si>
  <si>
    <t xml:space="preserve">CX was transferred from retention and was promised of a restoration of the service and yet the customer had a soft disconnect and had to pay the amount and wanted the service back without paying. </t>
  </si>
  <si>
    <t xml:space="preserve">2147539687</t>
  </si>
  <si>
    <t xml:space="preserve">CX' service was all out, Main line was down and agent booked a tech for tmrw and applied credit from the itg as well.</t>
  </si>
  <si>
    <t xml:space="preserve">2147300925</t>
  </si>
  <si>
    <t xml:space="preserve">There is no call structure and recapping of the customer's concern no empathy and probing and excessive amount of mutes and went on a self heal at the end.</t>
  </si>
  <si>
    <t xml:space="preserve">2147295165</t>
  </si>
  <si>
    <t xml:space="preserve">customer had a TV issue, agent put the call on hold for 20min STRAIGHT, then let customer know that she will be calling back, everything that was done on that call is a violation</t>
  </si>
  <si>
    <t xml:space="preserve">2147483386</t>
  </si>
  <si>
    <t xml:space="preserve">agent offered the line by the beg of the call, for some reason agent was unable to provide it when customer was to attached to the offer, agent let customer know that customer could get it through the store but he has to let his son pay for the full phone in a store which customer was disappointed because of how he was attached to the line</t>
  </si>
  <si>
    <t xml:space="preserve">2147875768</t>
  </si>
  <si>
    <t xml:space="preserve">Agent tried to assist the customer and ran the ITG and it went to a tech appointment and even the agent offered the free line but cx declined at the SSN part.</t>
  </si>
  <si>
    <t xml:space="preserve">2146913939</t>
  </si>
  <si>
    <t xml:space="preserve">2147314180</t>
  </si>
  <si>
    <t xml:space="preserve">Tone of Voice</t>
  </si>
  <si>
    <t xml:space="preserve">2147453530</t>
  </si>
  <si>
    <t xml:space="preserve">NFL</t>
  </si>
  <si>
    <t xml:space="preserve">2147454615</t>
  </si>
  <si>
    <t xml:space="preserve">2146897379</t>
  </si>
  <si>
    <t xml:space="preserve">2146934617</t>
  </si>
  <si>
    <t xml:space="preserve">2147675962</t>
  </si>
  <si>
    <t xml:space="preserve">excessive hold</t>
  </si>
  <si>
    <t xml:space="preserve">bp-efawzy719</t>
  </si>
  <si>
    <t xml:space="preserve">2147532614</t>
  </si>
  <si>
    <t xml:space="preserve">cst needed arrangement while it is not available</t>
  </si>
  <si>
    <t xml:space="preserve">2146988724</t>
  </si>
  <si>
    <t xml:space="preserve">+</t>
  </si>
  <si>
    <t xml:space="preserve">2146964401</t>
  </si>
  <si>
    <t xml:space="preserve">2147501813</t>
  </si>
  <si>
    <t xml:space="preserve">2146995850</t>
  </si>
  <si>
    <t xml:space="preserve">2147849553</t>
  </si>
  <si>
    <t xml:space="preserve">cx was mad about the tech appointment , agent did quota support , gave him an alternative option a line , sat expectations , used the SHO </t>
  </si>
  <si>
    <t xml:space="preserve">2147645473</t>
  </si>
  <si>
    <t xml:space="preserve">the cx verbatim was the customer service agent wasn't pleasant and did not try to assist me with my issue. he was reluctant in his responses and clearly frustrated with his work., agent was rude , case will be reffered to HR </t>
  </si>
  <si>
    <t xml:space="preserve">2147644461</t>
  </si>
  <si>
    <t xml:space="preserve">cutting the cx a lot , no empathy </t>
  </si>
  <si>
    <t xml:space="preserve">2147677784</t>
  </si>
  <si>
    <t xml:space="preserve">very long silence gap, lack of empathy, need to recap and need to not mention the word incorrect, he could say that he will  reschedule it instead </t>
  </si>
  <si>
    <t xml:space="preserve">2147815341</t>
  </si>
  <si>
    <t xml:space="preserve">empathy an recap </t>
  </si>
  <si>
    <t xml:space="preserve">2147279633</t>
  </si>
  <si>
    <t xml:space="preserve">cannot deliver the correct phrase to the cst regarding the issue</t>
  </si>
  <si>
    <t xml:space="preserve">2147506811</t>
  </si>
  <si>
    <t xml:space="preserve">incorrect and missing ITG</t>
  </si>
  <si>
    <t xml:space="preserve">2147513454</t>
  </si>
  <si>
    <t xml:space="preserve">2147843452</t>
  </si>
  <si>
    <t xml:space="preserve">agent didn't recap and confirm to the cst the actions done</t>
  </si>
  <si>
    <t xml:space="preserve">2147877260</t>
  </si>
  <si>
    <t xml:space="preserve">2147894825</t>
  </si>
  <si>
    <t xml:space="preserve">The customer called to disconnect their service due to frustration with increased billing and ongoing service issues. They expressed dissatisfaction with the service quality after being a customer for &lt;DATE_TIME&gt;. The agent attempted to troubleshoot the internet connectivity issues and offered to check available promotions, but the customer was not interested and decided to end the call, stating they would call back later. The customer also mentioned experiencing physical pain during the call, which contributed to their frustration. overpitching , no attempt for resolution , </t>
  </si>
  <si>
    <t xml:space="preserve">2147843966</t>
  </si>
  <si>
    <t xml:space="preserve">The customer contacted the agent to escalate an unresolved issue regarding an upgrade to a higher speed internet service. They expressed frustration over a lack of follow-up from a previous &lt;US_DRIVER_LICENSE&gt; and confusion about equipment &lt;US_DRIVER_LICENSE&gt;. The agent confirmed that the desired equipment was not available for shipping but scheduled an appointment for the customer to pick it up at a nearby store. The appointment was set for and the customer was provided with a confirmation code and instructions for the equipment swap. dissociation from the company </t>
  </si>
  <si>
    <t xml:space="preserve">2147821321</t>
  </si>
  <si>
    <t xml:space="preserve">cs was fustrated about the new package she had , mute exceeding </t>
  </si>
  <si>
    <t xml:space="preserve">2147701378</t>
  </si>
  <si>
    <t xml:space="preserve">delayed greeting , mute exceeding </t>
  </si>
  <si>
    <t xml:space="preserve">2147680012</t>
  </si>
  <si>
    <t xml:space="preserve">The customer called to check on their landline service, which was not working. They expressed frustration over a missed technician appointment and the lack of internet and cable service for &lt;DATE_TIME&gt;. The agent acknowledged the issues and attempted to reschedule a technician visit. The customer was upset about the delays and threatened to cancel their service if the situation was not resolved promptly. wrong resolution , exceeded mute </t>
  </si>
  <si>
    <t xml:space="preserve">2147876607</t>
  </si>
  <si>
    <t xml:space="preserve">Service was out, and agent confirmed with the cx that there is an outage and set expectations when the outage is going to end and offered the free line but the customer hanged up.</t>
  </si>
  <si>
    <t xml:space="preserve">2147644666</t>
  </si>
  <si>
    <t xml:space="preserve">TV issue, outage case, agent blamed it on the government, customer asked to speak to someone from the US, agent replied " you're talking to egyptian one"</t>
  </si>
  <si>
    <t xml:space="preserve">2147843390</t>
  </si>
  <si>
    <t xml:space="preserve">customer had a problem with his internet, agent advised customer that the problem is coming from the modem, agent advised customer that they will replace the modem, agent placed the customer on hold to do the process for a new modem, customer dropped the line after 5 min exactly of wait</t>
  </si>
  <si>
    <t xml:space="preserve">bp-ezahra032</t>
  </si>
  <si>
    <t xml:space="preserve">2147874841</t>
  </si>
  <si>
    <t xml:space="preserve">New hire agent, Not really understanding the customer's concern and not following a structured call flow and didn't resolve the customer's concern.</t>
  </si>
  <si>
    <t xml:space="preserve">2147844992</t>
  </si>
  <si>
    <t xml:space="preserve">huge amount of dead air and there was no resolution provided</t>
  </si>
  <si>
    <t xml:space="preserve">2147824803</t>
  </si>
  <si>
    <t xml:space="preserve">Email concern agent tried everything but with no success and called dropped with no outbound</t>
  </si>
  <si>
    <t xml:space="preserve">2148254315</t>
  </si>
  <si>
    <t xml:space="preserve">communication skills  agent got isolation ( im good , company is not ), severe mute </t>
  </si>
  <si>
    <t xml:space="preserve">2147644755</t>
  </si>
  <si>
    <t xml:space="preserve">Agent gave all the information about the tech appointment and cx was happy at the end.</t>
  </si>
  <si>
    <t xml:space="preserve">2148131402</t>
  </si>
  <si>
    <t xml:space="preserve">lack of empathy , mute , no sho </t>
  </si>
  <si>
    <t xml:space="preserve">2148093053</t>
  </si>
  <si>
    <t xml:space="preserve">setting expectations wasn't clear enough , mute </t>
  </si>
  <si>
    <t xml:space="preserve">2147646018</t>
  </si>
  <si>
    <t xml:space="preserve">Poor handling skills, huge amount of mute and didn't manage to resolve and sent a tech.</t>
  </si>
  <si>
    <t xml:space="preserve">2148050353</t>
  </si>
  <si>
    <t xml:space="preserve">poor call handling , tonality is worst you can hear , no call structure </t>
  </si>
  <si>
    <t xml:space="preserve">2148028306</t>
  </si>
  <si>
    <t xml:space="preserve">agent did arrange a callback , called the cx , she didnt respond  upon her request , issue is resolved</t>
  </si>
  <si>
    <t xml:space="preserve">wrong rating</t>
  </si>
  <si>
    <t xml:space="preserve">2148045699</t>
  </si>
  <si>
    <t xml:space="preserve">no LOQs, wrong ITG</t>
  </si>
  <si>
    <t xml:space="preserve">2148070403</t>
  </si>
  <si>
    <t xml:space="preserve">recap and reassurance </t>
  </si>
  <si>
    <t xml:space="preserve">2148401594</t>
  </si>
  <si>
    <t xml:space="preserve">cst had issue in the authentication process</t>
  </si>
  <si>
    <t xml:space="preserve">not engaging the customer, LOQs</t>
  </si>
  <si>
    <t xml:space="preserve">should ask if the internet is working or not </t>
  </si>
  <si>
    <t xml:space="preserve">2149182670</t>
  </si>
  <si>
    <t xml:space="preserve">false promise that you will call him after a while and never called </t>
  </si>
  <si>
    <t xml:space="preserve">2148378400</t>
  </si>
  <si>
    <t xml:space="preserve">Sleepy tone of voice / Lack of energy / Agent wasn't wearing the headset before getting the call / zero probing about the cx's concern.</t>
  </si>
  <si>
    <t xml:space="preserve">2148447313</t>
  </si>
  <si>
    <t xml:space="preserve">TV activation concern ( Now TV ), CX was trying to activate the tv service and was stuck on the screen and said I will call back and the agent even offered to wait until everything is fixed but the customer insisted to call back, however the agent didn't probe at all and offered to resolution </t>
  </si>
  <si>
    <t xml:space="preserve">2148067875</t>
  </si>
  <si>
    <t xml:space="preserve">Huge amount of mute ( 15 mins mute out of 19 mins call ) / Fiber optics outside of home installation and sent out a normal tech, wrong resolution </t>
  </si>
  <si>
    <t xml:space="preserve">2148582831</t>
  </si>
  <si>
    <t xml:space="preserve">Internet connectivity concern, agent was actively listening and engaging and ran the itg and got the cx a tech and built a great rapport and customer was happy at the end of the call</t>
  </si>
  <si>
    <t xml:space="preserve">2148385890</t>
  </si>
  <si>
    <t xml:space="preserve">mute , hold , skipped ITG , jumped to scheduling a tech visit which is against the policy </t>
  </si>
  <si>
    <t xml:space="preserve">2148591048</t>
  </si>
  <si>
    <t xml:space="preserve">customer had 17 outage in the past month, agent didn't manage to re-assure or show empathy and sent a tech right away and offered a line without a resolution</t>
  </si>
  <si>
    <t xml:space="preserve">2148425779</t>
  </si>
  <si>
    <t xml:space="preserve">poor handling skills , constant interruption </t>
  </si>
  <si>
    <t xml:space="preserve">2148416246</t>
  </si>
  <si>
    <t xml:space="preserve">mute , hold , lack of SHO </t>
  </si>
  <si>
    <t xml:space="preserve">2148609226</t>
  </si>
  <si>
    <t xml:space="preserve">mute , hold , knowledge gab (peacock )</t>
  </si>
  <si>
    <t xml:space="preserve">2148613102</t>
  </si>
  <si>
    <t xml:space="preserve">mute , poor handling skills </t>
  </si>
  <si>
    <t xml:space="preserve">2149172937</t>
  </si>
  <si>
    <t xml:space="preserve"> poor handling skills //mute , hold </t>
  </si>
  <si>
    <t xml:space="preserve">2149330911</t>
  </si>
  <si>
    <t xml:space="preserve">skipping loqs , isolation , mute</t>
  </si>
  <si>
    <t xml:space="preserve">2148196116</t>
  </si>
  <si>
    <t xml:space="preserve">mute gap. Bill Inquiry it got higher and agent was trying to help reducing it by making a GSR and wasn't successful couldn't remove any kind of service and transferred him to disconnection department </t>
  </si>
  <si>
    <t xml:space="preserve">2148611583</t>
  </si>
  <si>
    <t xml:space="preserve">customer kept on calling about her TV freezing, customer was instructed by a prev agent that she needs to talk to advanced tech team, which is something we don't have, agent ran a couple of steps and told customer that problem was resolved, yet this case would be a tech visit if agent followed LOQs correctly, skipping LOQs lead to detractor, i was able to call customer back and give her a tech visit which lead to customer feeling so happy and thanking me for 5 min straigh</t>
  </si>
  <si>
    <t xml:space="preserve">2148508994</t>
  </si>
  <si>
    <t xml:space="preserve">2148401662</t>
  </si>
  <si>
    <t xml:space="preserve">customer expressed frustration at the beg of the call of the IVR, agent empathized with customer, and apologized, customer was angry with our agent taking the job from their job market along with AI,agent was doing fine, call is not complete on I3 </t>
  </si>
  <si>
    <t xml:space="preserve">2149230074</t>
  </si>
  <si>
    <t xml:space="preserve">Burried line concern and multiple visit didn't reslove the concern, got him a another appointment , silent hold.</t>
  </si>
  <si>
    <t xml:space="preserve">poor handling skills // inturruption </t>
  </si>
  <si>
    <t xml:space="preserve">2149222411</t>
  </si>
  <si>
    <t xml:space="preserve">lack of empathy , rapport </t>
  </si>
  <si>
    <t xml:space="preserve">no rapport , delivery and clarity </t>
  </si>
  <si>
    <t xml:space="preserve">2149325613</t>
  </si>
  <si>
    <t xml:space="preserve">soft skills issue , mute </t>
  </si>
  <si>
    <t xml:space="preserve">2149884338</t>
  </si>
  <si>
    <t xml:space="preserve">mute , delivery and clarity </t>
  </si>
  <si>
    <t xml:space="preserve">2149578767</t>
  </si>
  <si>
    <t xml:space="preserve">2149287255</t>
  </si>
  <si>
    <t xml:space="preserve">customer had internet issue, agent asked if customer was home, customer was not, so agent asked customer to call back when she is home "maybe it is an outage or so" agent could have checked, yet agent didn't leading to a detractor with AICR hit</t>
  </si>
  <si>
    <t xml:space="preserve">2149225926</t>
  </si>
  <si>
    <t xml:space="preserve">CX Wanted to get 2 land line numbers and was just transferred from another agent who didn't successfully at the second one , Agent knowledge gap didn't know about adding another landline number </t>
  </si>
  <si>
    <t xml:space="preserve">2149576148</t>
  </si>
  <si>
    <t xml:space="preserve">Lack of understanding and active listening.</t>
  </si>
  <si>
    <t xml:space="preserve">2149632873</t>
  </si>
  <si>
    <t xml:space="preserve">agent transferred the call to another department</t>
  </si>
  <si>
    <t xml:space="preserve">2149598238</t>
  </si>
  <si>
    <t xml:space="preserve">2149185191</t>
  </si>
  <si>
    <t xml:space="preserve">cst needed 2K refund</t>
  </si>
  <si>
    <t xml:space="preserve">2149334096</t>
  </si>
  <si>
    <t xml:space="preserve">2149739912</t>
  </si>
  <si>
    <t xml:space="preserve">there is an outage at the customer's area , agent sat a clear expectations and the customer's voice was cutting out</t>
  </si>
  <si>
    <t xml:space="preserve">2149950651</t>
  </si>
  <si>
    <t xml:space="preserve">Call was transferred, When i called the customer it was because of the 2nd interaction that lost connection and the other agent didn't reach out again.</t>
  </si>
  <si>
    <t xml:space="preserve">2149520004</t>
  </si>
  <si>
    <t xml:space="preserve">Drop bury request that took so long, as a way of handling agent said that he put costumer on top priority list to get his line done, yet customer still didn't get his problem resolved</t>
  </si>
  <si>
    <t xml:space="preserve">2149520376</t>
  </si>
  <si>
    <t xml:space="preserve">customer called with a drop bury request, agent took 16min to create the ticket, out of which was 10min of hold, with refresher every 3 min</t>
  </si>
  <si>
    <t xml:space="preserve">2149548074</t>
  </si>
  <si>
    <t xml:space="preserve">customer got multiple text messages about her tech visit and she was suspicious that it was cancelled, agent confirmed that there was a tech visit, confirmed the date and time and informed customer that she will try to see if it can be today, customer was grateful, thanked agent and hung up, there is no reason for the detractor</t>
  </si>
  <si>
    <t xml:space="preserve">2149572468</t>
  </si>
  <si>
    <t xml:space="preserve">customer had a problem with his Echo device, agent did explain that if this is the only issue he has then Wifi is working fine in the house and the problem is comming from Echo it self, agent didn't run ITG, no propping questios. no empathy, agent didn't even pass the intial screen of the customer's account, call was 1min 33 sec overall</t>
  </si>
  <si>
    <t xml:space="preserve">2149551765</t>
  </si>
  <si>
    <t xml:space="preserve">2149608261</t>
  </si>
  <si>
    <t xml:space="preserve">agents takes a long time on the line with no resloution </t>
  </si>
  <si>
    <t xml:space="preserve">2149888924</t>
  </si>
  <si>
    <t xml:space="preserve">NOW Mobile concern wasn't able to resolve and referred the customer to visit the NOW portal website to get proper help, 6 mins mute out of 10 mins call poor call hygiene </t>
  </si>
  <si>
    <t xml:space="preserve">2149886235</t>
  </si>
  <si>
    <t xml:space="preserve">Poor handling customer was calling about TV concern and agent found an internet ITG that led to a tech and focused on the internet concern even tho the customer said am not talking about the internet its working perfectly fine and there was no resolution on the call and still sent a tech , poor handling skills and lack of active listening</t>
  </si>
  <si>
    <t xml:space="preserve">2149905634</t>
  </si>
  <si>
    <t xml:space="preserve">Customer failed to verify and agent stated that to set expectations with the customer and went with the troubleshooting and wasn't able to probe properly </t>
  </si>
  <si>
    <t xml:space="preserve">2149550714</t>
  </si>
  <si>
    <t xml:space="preserve">The customer contacted the agent regarding a recent bill of $115, which was a significant increase from their previous $55 bill. The agent explained that the increase was due to the expiration of a promotion and provided details about the customer's mobile and internet plans. The agent then applied a new promotion, reducing the customer's bill to $56. The customer expressed gratitude for the assistance and clarification provided during the call. i find it very frustrating that my bill more than doubled overnight without warning and upon calling found out that a promo period ended. the agent advised he could put me on a new program to bring my charges back to where they were. why do i need to call to find this out? why don't you reward loyalty and just do it automatically</t>
  </si>
  <si>
    <t xml:space="preserve">2150127524</t>
  </si>
  <si>
    <t xml:space="preserve">bp-smoham555</t>
  </si>
  <si>
    <t xml:space="preserve">2149911913</t>
  </si>
  <si>
    <t xml:space="preserve">NFL channel </t>
  </si>
  <si>
    <t xml:space="preserve">2149959942</t>
  </si>
  <si>
    <t xml:space="preserve">customer was satisfied and called back confirm the same information, + Sanas sucks </t>
  </si>
  <si>
    <t xml:space="preserve">mohamed mahdi</t>
  </si>
  <si>
    <t xml:space="preserve">2149953135</t>
  </si>
  <si>
    <t xml:space="preserve">bp-tabdel253</t>
  </si>
  <si>
    <t xml:space="preserve">2149983202</t>
  </si>
  <si>
    <t xml:space="preserve">AER , lack of empathy </t>
  </si>
  <si>
    <t xml:space="preserve">2149991237</t>
  </si>
  <si>
    <t xml:space="preserve">setting expectation part </t>
  </si>
  <si>
    <t xml:space="preserve">2150070702</t>
  </si>
  <si>
    <t xml:space="preserve">setting expectations // connection part</t>
  </si>
  <si>
    <t xml:space="preserve">2149887269</t>
  </si>
  <si>
    <t xml:space="preserve">extensive mute usage</t>
  </si>
  <si>
    <t xml:space="preserve">2149990845</t>
  </si>
  <si>
    <t xml:space="preserve">The customer contacted the agent regarding a Wi-Fi issue after rebooting the modem multiple times without success. The agent determined that the modem was likely malfunctioning and recommended a technician visit. However, the customer faced difficulties in being recognized as an authorized user on the account, leading to frustration. The customer expressed dissatisfaction with the service and ended the call without resolution.</t>
  </si>
  <si>
    <t xml:space="preserve">2149955067</t>
  </si>
  <si>
    <t xml:space="preserve">mute exceeding , couldn't understand the cs issue</t>
  </si>
  <si>
    <t xml:space="preserve">2149907449</t>
  </si>
  <si>
    <t xml:space="preserve">overpitching </t>
  </si>
  <si>
    <t xml:space="preserve">2149956261</t>
  </si>
  <si>
    <t xml:space="preserve">customer wanted the lost channels</t>
  </si>
  <si>
    <t xml:space="preserve">2150074362</t>
  </si>
  <si>
    <t xml:space="preserve">Agent placed the call on hold for so long to the point that customer slept on call and was SNORING! "No joke"</t>
  </si>
  <si>
    <t xml:space="preserve">2150312794</t>
  </si>
  <si>
    <t xml:space="preserve">Late greeting, No resolution on the call and call dropped without following up.</t>
  </si>
  <si>
    <t xml:space="preserve">2150319656</t>
  </si>
  <si>
    <t xml:space="preserve">CX had an outage 2 mins ago, agent sent expectation and even stated the upcoming outages and customer was asking about credit and agent stated as well that auto credit will be applied for each outage.</t>
  </si>
  <si>
    <t xml:space="preserve">2150404307</t>
  </si>
  <si>
    <t xml:space="preserve">2150066103</t>
  </si>
  <si>
    <t xml:space="preserve">delivery and clarity // mute </t>
  </si>
  <si>
    <t xml:space="preserve">2150343711</t>
  </si>
  <si>
    <t xml:space="preserve">mute , setting expectation </t>
  </si>
  <si>
    <t xml:space="preserve">2150461254</t>
  </si>
  <si>
    <t xml:space="preserve">mute , way of explanation wasn't clear enough </t>
  </si>
  <si>
    <t xml:space="preserve">2150068209</t>
  </si>
  <si>
    <t xml:space="preserve">bad timing for pitching , language barriers , mute </t>
  </si>
  <si>
    <t xml:space="preserve">language barrier , cs said " extremely hard to understand the people you have working, a standard question deserves a standard answer " , </t>
  </si>
  <si>
    <t xml:space="preserve">2149911437</t>
  </si>
  <si>
    <t xml:space="preserve">promised to call back and never did </t>
  </si>
  <si>
    <t xml:space="preserve">2150243110</t>
  </si>
  <si>
    <t xml:space="preserve">there is an outage, however the agent should conform the customer that they will need to unplug the devices and plug them back in once the service is back</t>
  </si>
  <si>
    <t xml:space="preserve">2150265559</t>
  </si>
  <si>
    <t xml:space="preserve">he was confirming that the tech will come to his home</t>
  </si>
  <si>
    <t xml:space="preserve">2150640337</t>
  </si>
  <si>
    <t xml:space="preserve">CX had a tech that it was cancelled before the call and cx called to see where is the tech and agent tried to get a sooner tech but customer wasn't satisfied about the new appointment.</t>
  </si>
  <si>
    <t xml:space="preserve">2150695286</t>
  </si>
  <si>
    <t xml:space="preserve">2150290680</t>
  </si>
  <si>
    <t xml:space="preserve">call was perfect, except for the part when customer got angry and agent lost his control over the call completly, customer was dominant over the call while agent was stuttering, which lead to customer disconnecting the call</t>
  </si>
  <si>
    <t xml:space="preserve">2150402180</t>
  </si>
  <si>
    <t xml:space="preserve">customer had a problem with his internet and TV, agent ran ITG and got to a tech visit, they offered a tech visit, customer refused, demanded an immediate resolution, agent tried to fix tv instead, customer refused his assistance and said "i will call back to get a different agent" agent tried to stop him with apology but couldn't</t>
  </si>
  <si>
    <t xml:space="preserve">2150287278</t>
  </si>
  <si>
    <t xml:space="preserve">customer was complaining about her bill going higher, agent tried to calm customer down with offering a 75$ plan, agent showed 0 empathy to the point that she was straight out rude on call, when customer said that she was not happy with that, agent said then we can transfer you to the retention team and transferred the call immediately when customer said "yes"</t>
  </si>
  <si>
    <t xml:space="preserve">2150635898</t>
  </si>
  <si>
    <t xml:space="preserve">customer called with a drop bury request. customer claims that there was a property damage, agent said that Xfinity will cover the damage and created an SRO for customer and advised customer of the outcome, customer is mad with the company </t>
  </si>
  <si>
    <t xml:space="preserve">2150842104</t>
  </si>
  <si>
    <t xml:space="preserve">Was a great call but the customer wasn't really happy about how long it takes for the process of porting his landline to a cell phone number </t>
  </si>
  <si>
    <t xml:space="preserve">2150785345</t>
  </si>
  <si>
    <t xml:space="preserve">mute , isolation</t>
  </si>
  <si>
    <t xml:space="preserve">2150805395</t>
  </si>
  <si>
    <t xml:space="preserve">setting expectations , mute </t>
  </si>
  <si>
    <t xml:space="preserve">2150697848</t>
  </si>
  <si>
    <t xml:space="preserve">mute , sho </t>
  </si>
  <si>
    <t xml:space="preserve">2150670150</t>
  </si>
  <si>
    <t xml:space="preserve">poor handling skills </t>
  </si>
  <si>
    <t xml:space="preserve">2150661321</t>
  </si>
  <si>
    <t xml:space="preserve">2150621071</t>
  </si>
  <si>
    <t xml:space="preserve">mute , hold </t>
  </si>
  <si>
    <t xml:space="preserve">2150619030</t>
  </si>
  <si>
    <t xml:space="preserve">cutting cx , mute , delivery and clarity </t>
  </si>
  <si>
    <t xml:space="preserve">2150430939</t>
  </si>
  <si>
    <t xml:space="preserve">agent failed to reach the cs as he promised to call back the cs to to finalize the troubleshooting process</t>
  </si>
  <si>
    <t xml:space="preserve">2150395440</t>
  </si>
  <si>
    <t xml:space="preserve">The customer called to verify their new service order and the qualifications for a promotion they signed up for. They inquired about the $55 &lt;DATE_TIME&gt; payment, a $25 deposit, and the $200 Amazon gift card promotion. The agent confirmed that there were no additional fees and clarified that the account must be activated to qualify for the gift card. The customer expressed frustration over the lack of clear information regarding the promotion and activation requirements. The call ended without a resolution to the customer's concerns about the promotion. the agent struggled to answer the cs questions and mislead the cs </t>
  </si>
  <si>
    <t xml:space="preserve">2150347919</t>
  </si>
  <si>
    <t xml:space="preserve">The customer called regarding a sound issue with their TV, stating that the sound keeps going in and out and inquiring about reimbursement for a previous outage. The agent verified the account and performed troubleshooting steps, including sending a one-time access code and guiding the customer through resetting their audio settings. After completing the troubleshooting, the sound issue was resolved. The customer also inquired about billing but could not receive assistance due to security checks. The agent advised the customer to have the account holder call back for billing inquiries.</t>
  </si>
  <si>
    <t xml:space="preserve">2150263855</t>
  </si>
  <si>
    <t xml:space="preserve">active listening ,  passive aggresion , lack of empathy , interrupting the cs , no resolution </t>
  </si>
  <si>
    <t xml:space="preserve">2150833977</t>
  </si>
  <si>
    <t xml:space="preserve">The customer contacted technical support because they were unable to use their mobile phone services after paying their bill. The agent attempted to verify the customer's account but faced challenges due to the customer's phone being offline. After confirming the customer's address and working with the back office team, the agent restored the E SIM. The customer confirmed that their phone was working again after receiving a text message from the agent.</t>
  </si>
  <si>
    <t xml:space="preserve">2150671013</t>
  </si>
  <si>
    <t xml:space="preserve">The customer, John, called to report that their Internet was not working. After verifying their account, the agent checked the service and confirmed the customer had the highest Internet speed package. The agent attempted to troubleshoot the issue but ultimately decided to schedule a technician visit. The customer requested expedited service due to their family's needs, and the agent assured them they would do their best to accommodate. The agent also offered a new modem and extenders for better coverage, which the customer agreed to. The order was processed, and the customer was informed they would receive the equipment soon.</t>
  </si>
  <si>
    <t xml:space="preserve">2151555901</t>
  </si>
  <si>
    <t xml:space="preserve">Internet was going in and out most of the time and there was no resolution on the call a tech was booked.</t>
  </si>
  <si>
    <t xml:space="preserve">2150720674</t>
  </si>
  <si>
    <t xml:space="preserve">customer had a problem with his signal. agent offered Xpro, customer agreed, call ended on approval</t>
  </si>
  <si>
    <t xml:space="preserve">2150724087</t>
  </si>
  <si>
    <t xml:space="preserve">customer called with a problem outside, customer was 100% sure that the problem is from outside and he claims that he did check it, customer claims that he is a network engineer and he knows what he was talking about, agent kept on saying that the tech has to check outside and inside, customer dropped the line and didn't answer the call backs  </t>
  </si>
  <si>
    <t xml:space="preserve">2150644355</t>
  </si>
  <si>
    <t xml:space="preserve">prev agent gave customer a plan for the tv and internet for latinos when customer doesn't speak spanish, customer was very confused of that since he doesn't know anyone who speaks spanish and his name is Robert</t>
  </si>
  <si>
    <t xml:space="preserve">2151628032</t>
  </si>
  <si>
    <t xml:space="preserve">handling skills , empathy wasnt done in the correct way to match the cx frustration </t>
  </si>
  <si>
    <t xml:space="preserve">2151606122</t>
  </si>
  <si>
    <t xml:space="preserve">invalid transfer, transferred to loyalty </t>
  </si>
  <si>
    <t xml:space="preserve">2151601032</t>
  </si>
  <si>
    <t xml:space="preserve">agent did his best and booked he tech appointment , empathized , cx still not happy with the tech visit </t>
  </si>
  <si>
    <t xml:space="preserve">2151876907</t>
  </si>
  <si>
    <t xml:space="preserve">cs was happy and satisfied about the agent's performance by the end of the call, but the agent had some excessive mute behavior</t>
  </si>
  <si>
    <t xml:space="preserve">2151630808</t>
  </si>
  <si>
    <t xml:space="preserve">LOQs</t>
  </si>
  <si>
    <t xml:space="preserve">2151812797</t>
  </si>
  <si>
    <t xml:space="preserve">LOQs, there wasn't an outage in the area so there is no resolution provided </t>
  </si>
  <si>
    <t xml:space="preserve">2151811521</t>
  </si>
  <si>
    <t xml:space="preserve">very long mute, no closure, no empathy </t>
  </si>
  <si>
    <t xml:space="preserve">2151999607</t>
  </si>
  <si>
    <t xml:space="preserve">call dropped, </t>
  </si>
  <si>
    <t xml:space="preserve">2151997608</t>
  </si>
  <si>
    <t xml:space="preserve">should set up a tech </t>
  </si>
  <si>
    <t xml:space="preserve">2152025844</t>
  </si>
  <si>
    <t xml:space="preserve">2152025375</t>
  </si>
  <si>
    <t xml:space="preserve">long hold </t>
  </si>
  <si>
    <t xml:space="preserve">2151801474</t>
  </si>
  <si>
    <t xml:space="preserve">hesitant , empathy </t>
  </si>
  <si>
    <t xml:space="preserve">2152166598</t>
  </si>
  <si>
    <t xml:space="preserve">handling skills </t>
  </si>
  <si>
    <t xml:space="preserve">2152025872</t>
  </si>
  <si>
    <t xml:space="preserve">customer didn't know what she want</t>
  </si>
  <si>
    <t xml:space="preserve">2152034239</t>
  </si>
  <si>
    <t xml:space="preserve">2151881060</t>
  </si>
  <si>
    <t xml:space="preserve">CX got his issues resolved on the agent's call and verbally said that is all i wanna know and there was a tech for the customer same day. </t>
  </si>
  <si>
    <t xml:space="preserve">2152034397</t>
  </si>
  <si>
    <t xml:space="preserve">Agent managed to get all of the customer concerns resolved on the call and customer provided positive feedback for the agent by the end of the call</t>
  </si>
  <si>
    <t xml:space="preserve">2152167937</t>
  </si>
  <si>
    <t xml:space="preserve">2152167725</t>
  </si>
  <si>
    <t xml:space="preserve">mute , recap</t>
  </si>
  <si>
    <t xml:space="preserve">2152220350</t>
  </si>
  <si>
    <t xml:space="preserve">talking over the cx </t>
  </si>
  <si>
    <t xml:space="preserve">10005009241779278481</t>
  </si>
  <si>
    <t xml:space="preserve">delivery and clarity </t>
  </si>
  <si>
    <t xml:space="preserve">2152379066</t>
  </si>
  <si>
    <t xml:space="preserve">agent was not listening actively to the query </t>
  </si>
  <si>
    <t xml:space="preserve">New customer and service was never active on the account and wanted to cancel but agent handled the situation and retained and got her a tech appointment</t>
  </si>
  <si>
    <t xml:space="preserve">2152248550</t>
  </si>
  <si>
    <t xml:space="preserve">CX was having a slow internet issue and agent ran ITG and tried to fix but there was no resolution and promised to give the customer a call back in 30 mins and broke the promise.</t>
  </si>
  <si>
    <t xml:space="preserve">2152249339</t>
  </si>
  <si>
    <t xml:space="preserve">CX had a disconnected services and a balance to be paid and cx didn't want to pay agent transferred the call to disconnection dep</t>
  </si>
  <si>
    <t xml:space="preserve">2152372687</t>
  </si>
  <si>
    <t xml:space="preserve">Customer called to get a credit directly because she had an outage and was still ongoing but agent didn't show empathy nor active listening and customer hanged up.</t>
  </si>
  <si>
    <t xml:space="preserve">2152425123</t>
  </si>
  <si>
    <t xml:space="preserve">Poor verification process which led to getting into the correct account in 6th min out of an 8 mins call, mutes as well and after getting the correct address transferred the call. </t>
  </si>
  <si>
    <t xml:space="preserve">2152570643</t>
  </si>
  <si>
    <t xml:space="preserve">Offered a GSR without even resolving the customer's concern and customer hanged up, the call started in a good way but once pitched the sale it went horrible </t>
  </si>
  <si>
    <t xml:space="preserve">2152592393</t>
  </si>
  <si>
    <t xml:space="preserve">it was a transferred call and agent managed to get the resolution for the customer and got her the tech she wanted and the interaction ended on a good note. </t>
  </si>
  <si>
    <t xml:space="preserve">2152626681</t>
  </si>
  <si>
    <t xml:space="preserve">Dead end mobile billing case and had no resolution, Agent managed to refer the customer to the store for a solution.</t>
  </si>
  <si>
    <t xml:space="preserve">2152735453</t>
  </si>
  <si>
    <t xml:space="preserve">CX was dissatisfied with the pricing and agent tried to lower the bill but couldn't find any better offer so the customer decided to cancel the service and drop the equipment at the store</t>
  </si>
  <si>
    <t xml:space="preserve">2152659062</t>
  </si>
  <si>
    <t xml:space="preserve">Poor handling skills and mutes, no resolution on the call and no call back after the call dropped</t>
  </si>
  <si>
    <t xml:space="preserve">2152765450</t>
  </si>
  <si>
    <t xml:space="preserve">2152653581</t>
  </si>
  <si>
    <t xml:space="preserve">poor handling skills, mutes , no resolution </t>
  </si>
  <si>
    <t xml:space="preserve">2152575212</t>
  </si>
  <si>
    <t xml:space="preserve">agent tried to avoid mute or deadair with mumbling with irritated the cst</t>
  </si>
  <si>
    <t xml:space="preserve">2152345562</t>
  </si>
  <si>
    <t xml:space="preserve">agent got several outages and cst is working from home </t>
  </si>
  <si>
    <t xml:space="preserve">2146027984</t>
  </si>
  <si>
    <t xml:space="preserve">cst needed to downgrade the bill and thought the service is too expensive</t>
  </si>
  <si>
    <t xml:space="preserve">2144982435</t>
  </si>
  <si>
    <t xml:space="preserve">loss if channels</t>
  </si>
  <si>
    <t xml:space="preserve">2144646978</t>
  </si>
  <si>
    <t xml:space="preserve">agent couldn't handle the cst frustration from the previous agent and blamed the agent</t>
  </si>
  <si>
    <t xml:space="preserve">2150400343</t>
  </si>
  <si>
    <t xml:space="preserve">2143700228</t>
  </si>
  <si>
    <t xml:space="preserve">outage and failed to call back </t>
  </si>
  <si>
    <t xml:space="preserve">2143839286</t>
  </si>
  <si>
    <t xml:space="preserve">cst needed to end of contraced for her dad who passed away</t>
  </si>
  <si>
    <t xml:space="preserve">2143442993</t>
  </si>
  <si>
    <t xml:space="preserve">agent got a gap that cst need to create new account on peacock with the xfinity registered email before using the service with the discount</t>
  </si>
  <si>
    <t xml:space="preserve">2143352829</t>
  </si>
  <si>
    <t xml:space="preserve">cst got issue that TC wasn't done and more than a week for a drop issue</t>
  </si>
  <si>
    <t xml:space="preserve">2152008545</t>
  </si>
  <si>
    <t xml:space="preserve">agent should handle the cst that we are internet service provide and cannot support in dark web issues </t>
  </si>
  <si>
    <t xml:space="preserve">2142914738</t>
  </si>
  <si>
    <t xml:space="preserve">2145256759</t>
  </si>
  <si>
    <t xml:space="preserve">lost of channels</t>
  </si>
  <si>
    <t xml:space="preserve">2150640739</t>
  </si>
  <si>
    <t xml:space="preserve">2150400486</t>
  </si>
  <si>
    <t xml:space="preserve">cst got issue for the drop issue and fire department routed them to us after specific accident</t>
  </si>
  <si>
    <t xml:space="preserve">2152574383</t>
  </si>
  <si>
    <t xml:space="preserve">take your time</t>
  </si>
  <si>
    <t xml:space="preserve">2143439278</t>
  </si>
  <si>
    <t xml:space="preserve">cst was tech savvy while agent is not</t>
  </si>
  <si>
    <t xml:space="preserve">2144980450</t>
  </si>
  <si>
    <t xml:space="preserve">authentication process</t>
  </si>
  <si>
    <t xml:space="preserve">2150489829</t>
  </si>
  <si>
    <t xml:space="preserve">proration</t>
  </si>
  <si>
    <t xml:space="preserve">2144501469</t>
  </si>
  <si>
    <t xml:space="preserve">VPN</t>
  </si>
  <si>
    <t xml:space="preserve">2150246459</t>
  </si>
  <si>
    <t xml:space="preserve">=-</t>
  </si>
  <si>
    <t xml:space="preserve">2147762797</t>
  </si>
  <si>
    <t xml:space="preserve">missing ITG</t>
  </si>
  <si>
    <t xml:space="preserve">2143817056</t>
  </si>
  <si>
    <t xml:space="preserve">2152165309</t>
  </si>
  <si>
    <t xml:space="preserve">2.4G and 5 G home sec</t>
  </si>
  <si>
    <t xml:space="preserve">2146045999</t>
  </si>
  <si>
    <t xml:space="preserve">not only articles</t>
  </si>
  <si>
    <t xml:space="preserve">2152539454</t>
  </si>
  <si>
    <t xml:space="preserve">prices &amp; Discounts</t>
  </si>
  <si>
    <t xml:space="preserve">2148026661</t>
  </si>
  <si>
    <t xml:space="preserve">ECM for TC</t>
  </si>
  <si>
    <t xml:space="preserve">2144489473</t>
  </si>
  <si>
    <t xml:space="preserve">should be transferred to new line of business</t>
  </si>
  <si>
    <t xml:space="preserve">2152601594</t>
  </si>
  <si>
    <t xml:space="preserve">over pitching </t>
  </si>
  <si>
    <t xml:space="preserve">2152257326</t>
  </si>
  <si>
    <t xml:space="preserve">incorrect pitching </t>
  </si>
  <si>
    <t xml:space="preserve">2152025701</t>
  </si>
  <si>
    <t xml:space="preserve">recap</t>
  </si>
  <si>
    <t xml:space="preserve">2144883825</t>
  </si>
  <si>
    <t xml:space="preserve">2145840762</t>
  </si>
  <si>
    <t xml:space="preserve">hold</t>
  </si>
  <si>
    <t xml:space="preserve">2144850694</t>
  </si>
  <si>
    <t xml:space="preserve">channels</t>
  </si>
  <si>
    <t xml:space="preserve">2145232838</t>
  </si>
  <si>
    <t xml:space="preserve">live</t>
  </si>
  <si>
    <t xml:space="preserve">2144714305</t>
  </si>
  <si>
    <t xml:space="preserve">=</t>
  </si>
  <si>
    <t xml:space="preserve">2152619431</t>
  </si>
  <si>
    <t xml:space="preserve">should have been transferred</t>
  </si>
  <si>
    <t xml:space="preserve">2144597206</t>
  </si>
  <si>
    <t xml:space="preserve">2145984921</t>
  </si>
  <si>
    <t xml:space="preserve">2145234822</t>
  </si>
  <si>
    <t xml:space="preserve">2145612863</t>
  </si>
  <si>
    <t xml:space="preserve">2145839206</t>
  </si>
  <si>
    <t xml:space="preserve">2145746650</t>
  </si>
  <si>
    <t xml:space="preserve">2142888027</t>
  </si>
  <si>
    <t xml:space="preserve">2142898954</t>
  </si>
  <si>
    <t xml:space="preserve">2151438838</t>
  </si>
  <si>
    <t xml:space="preserve">Hold</t>
  </si>
  <si>
    <t xml:space="preserve">2152937503</t>
  </si>
  <si>
    <t xml:space="preserve">call got escalated to a supervisor , poor deescaltion technique </t>
  </si>
  <si>
    <t xml:space="preserve">2152940720</t>
  </si>
  <si>
    <t xml:space="preserve">mute , no resolution </t>
  </si>
  <si>
    <t xml:space="preserve">2152991251</t>
  </si>
  <si>
    <t xml:space="preserve">mdn swap wasnt completed ( no resolution )</t>
  </si>
  <si>
    <t xml:space="preserve">2153029637</t>
  </si>
  <si>
    <t xml:space="preserve">lack of empathy </t>
  </si>
  <si>
    <t xml:space="preserve">2152964540</t>
  </si>
  <si>
    <t xml:space="preserve">Customer wanted to cancel the service due to high pricing - agent tried to ask the customer for the reason yet the cst asked to cancel due to high pricing as per the notes the called again and another agent explained the services that he has, offered lowering the mobile bill - issue resolved --- Agent missed propping questions and negotiation for the bill</t>
  </si>
  <si>
    <t xml:space="preserve">bp-feslam156</t>
  </si>
  <si>
    <t xml:space="preserve">2152711666</t>
  </si>
  <si>
    <t xml:space="preserve">customer took too long to find her data to pass security on her account, agent tried to fix the problem but couldn't, so he sent a tech visit for the next day, customer was satisfied by the end of the call</t>
  </si>
  <si>
    <t xml:space="preserve">100068345</t>
  </si>
  <si>
    <t xml:space="preserve">2152986110</t>
  </si>
  <si>
    <t xml:space="preserve">the prev agent mocked customer and made fun of her, customer mentioned that she was ok with the sec guy, but the first one was the reason why she is mad</t>
  </si>
  <si>
    <t xml:space="preserve">2153077747</t>
  </si>
  <si>
    <t xml:space="preserve">2153157114</t>
  </si>
  <si>
    <t xml:space="preserve">2153103791</t>
  </si>
  <si>
    <t xml:space="preserve">excessive mute </t>
  </si>
  <si>
    <t xml:space="preserve">2152995085</t>
  </si>
  <si>
    <t xml:space="preserve">he's talking to himself in the call with no mute and was worried about the AC instead of the cs issue , unprofessionalism , breathing heavy on the call , stayed on the line unnecessary for a min. , didn't fix the issue and the cs said that the internet might of got disconnected again , he said " let's hope it won't " instead of acknowledging his valid concerances</t>
  </si>
  <si>
    <t xml:space="preserve">2152907532</t>
  </si>
  <si>
    <t xml:space="preserve">background voices ,  call on hold to refresh the signals and promised to return to the customer.</t>
  </si>
  <si>
    <t xml:space="preserve">2152909740</t>
  </si>
  <si>
    <t xml:space="preserve">customer called as she has wires hanging out of the house - no tech available - agent told her he can add her to waiting list - Min 10 - Not the right approache "neighbors has no right to complain" instead needed to show the cst empathy and ensurance working on her issue - bad timing for offering new services - cst mentioned she will call back tomorrow. "Failing AICR"</t>
  </si>
  <si>
    <t xml:space="preserve">2153881089</t>
  </si>
  <si>
    <t xml:space="preserve">Careless call handling, zero call structure or even branding.</t>
  </si>
  <si>
    <t xml:space="preserve">2153943849</t>
  </si>
  <si>
    <t xml:space="preserve">CX was lied to by a previous agent and my agent tried to explain everything and still was angry and hanged up </t>
  </si>
  <si>
    <t xml:space="preserve">2153941129</t>
  </si>
  <si>
    <t xml:space="preserve">Agent managed to answer all the customer concerns and confirmed today's appointment to the customer and cx provided positive feedback by the end of the call</t>
  </si>
  <si>
    <t xml:space="preserve">2153935716</t>
  </si>
  <si>
    <t xml:space="preserve">Careless handling of the call, excessive amount of mute and was focused on selling not on the resolution.</t>
  </si>
  <si>
    <t xml:space="preserve">2153937067</t>
  </si>
  <si>
    <t xml:space="preserve">over pitching , more focused on sales not helping the cx </t>
  </si>
  <si>
    <t xml:space="preserve">2153838999</t>
  </si>
  <si>
    <t xml:space="preserve">hold// mute </t>
  </si>
  <si>
    <t xml:space="preserve">no resolution , inaccurate ITG </t>
  </si>
  <si>
    <t xml:space="preserve">2153860354</t>
  </si>
  <si>
    <t xml:space="preserve">monotonic , lack of empathy // call dropped , tried to reach the cx back , left a vm </t>
  </si>
  <si>
    <t xml:space="preserve">2153998426</t>
  </si>
  <si>
    <t xml:space="preserve">cutting cx off a lot during talking </t>
  </si>
  <si>
    <t xml:space="preserve">email issues</t>
  </si>
  <si>
    <t xml:space="preserve">2153815627</t>
  </si>
  <si>
    <t xml:space="preserve">customer cannot get her phone working - land line and she is not getting dial tone - offered a new sale for the customer tryied to get it done and reached the agrement part yet the cst mentione she is not interested as it is not free as he told her at the begaining of the call -back to the issue and cst confirmed it is working -Need to focus more on the customer issue and show ownership to gain the customer trust </t>
  </si>
  <si>
    <t xml:space="preserve">2152924263</t>
  </si>
  <si>
    <t xml:space="preserve">did not fix the problem.  was on the phone for over an hour.  was suppose to call back within an hour, no call as of yet, been over an hour.</t>
  </si>
  <si>
    <t xml:space="preserve">2153820312</t>
  </si>
  <si>
    <t xml:space="preserve">The customer called to inquire about of the port, Murray Road store on Memorial Day. The agent confirmed that the store is open until &lt;DATE_TIME&gt;. The customer expressed concern about not being able to reach the store by phone, and the agent clarified that the store does not handle calls directly. The conversation ended with the customer thanking the agent.</t>
  </si>
  <si>
    <t xml:space="preserve">2153838580</t>
  </si>
  <si>
    <t xml:space="preserve">customer expressed frustration with the service delays but appreciated the agent's efforts.</t>
  </si>
  <si>
    <t xml:space="preserve">2153804990</t>
  </si>
  <si>
    <t xml:space="preserve">the headset mic has an issue , mute , no resolution &amp; misleading </t>
  </si>
  <si>
    <t xml:space="preserve">2153856257</t>
  </si>
  <si>
    <t xml:space="preserve">agents hasn't utilize the itg and got a tech immediately , language barrier  </t>
  </si>
  <si>
    <t xml:space="preserve">2153823209</t>
  </si>
  <si>
    <t xml:space="preserve">customer had a problem with his internet, didn't have enough time for the TS, agent tried to help an TS the issue, issue still remained, customer said thanks and dropped the line </t>
  </si>
  <si>
    <t xml:space="preserve">2153860337</t>
  </si>
  <si>
    <t xml:space="preserve">agent did try to build rapport at the beg of the call, customer shut him down, customer wanted her services installed, agent sent a tech, customer was ok by the end of the call, customer sent a negative feedback due to their frustration with us after what already happened </t>
  </si>
  <si>
    <t xml:space="preserve">2153942800</t>
  </si>
  <si>
    <t xml:space="preserve">paramount case, agent did an amazing call, yet he gave a very offensive example by the end of the call, agent told customer" if you're being asked to deliver money between 2 people, would you be asked about how much or why?, customer asked what is that example, agent replied: can you just keep up with me?"</t>
  </si>
  <si>
    <t xml:space="preserve">2154034009</t>
  </si>
  <si>
    <t xml:space="preserve">30Min Call, out of which are 6 min of TT, agent has been coached on spot</t>
  </si>
  <si>
    <t xml:space="preserve">2486728710</t>
  </si>
  <si>
    <t xml:space="preserve">customer called in with an internet problem, agent created a tech ticket, customer was ok, yet customer provided a negative feedback</t>
  </si>
  <si>
    <t xml:space="preserve">2154267701</t>
  </si>
  <si>
    <t xml:space="preserve">Excessive mutes how ever the customer was satisfied with the resolution by the end of the call.</t>
  </si>
  <si>
    <t xml:space="preserve">2154317315</t>
  </si>
  <si>
    <t xml:space="preserve">careless call handling</t>
  </si>
  <si>
    <t xml:space="preserve">2154283072</t>
  </si>
  <si>
    <t xml:space="preserve">Careless call handling, excessive mute without a resolution about the Disney outage.</t>
  </si>
  <si>
    <t xml:space="preserve">Agent didn't resolve on the call and offered a call back and didn't call back the customer.</t>
  </si>
  <si>
    <t xml:space="preserve">2154289321</t>
  </si>
  <si>
    <t xml:space="preserve">Careless handling, Excessive mute.</t>
  </si>
  <si>
    <t xml:space="preserve">2153816654</t>
  </si>
  <si>
    <t xml:space="preserve">CST complaint from the internet that it was gone and she just confirmed it got back active again-tried to offer better Modem -cst was not interested -hanged up the call - did not perform healthceck with the customer to ensure everything is working fine to avoid the cst calling back</t>
  </si>
  <si>
    <t xml:space="preserve">2153882521</t>
  </si>
  <si>
    <t xml:space="preserve">CST was waiting for tech and he got txt message that it was cancelled -  agent checked and he found note that the phone number was incorrect - yet the cst mentioned he talked with the tech yet he already left - agent showed the cst attitude by the end of the call</t>
  </si>
  <si>
    <t xml:space="preserve">2154240278</t>
  </si>
  <si>
    <t xml:space="preserve">mute // handling skills </t>
  </si>
  <si>
    <t xml:space="preserve">4p </t>
  </si>
  <si>
    <t xml:space="preserve">2154321904</t>
  </si>
  <si>
    <t xml:space="preserve">empathy</t>
  </si>
  <si>
    <t xml:space="preserve">2154347914</t>
  </si>
  <si>
    <t xml:space="preserve">took 2 long to reach the agent </t>
  </si>
  <si>
    <t xml:space="preserve">2154465954</t>
  </si>
  <si>
    <t xml:space="preserve">2153907558</t>
  </si>
  <si>
    <t xml:space="preserve">Custmer was calling to check when his equipement should be delivered -cst was asking for now services and he did not recieve the tracking message - agent told the cst he need to wait for 3-5 days- agent told the cst to check through the app over the chat - agent should direct the customer to internet prepaid</t>
  </si>
  <si>
    <t xml:space="preserve">2154068766</t>
  </si>
  <si>
    <t xml:space="preserve">Customer had an order for a phone suppose to be shiped yet the order was cancelle without any reason - after checking the account found that the order failed verification - sup took the call tried to follow the proccess for the trade in yet it was not eligable then tried to add as new phone yet the cst mentioned she is not intersted as she was told that the device installment should be 25$ not 30 $ </t>
  </si>
  <si>
    <t xml:space="preserve">2154440790</t>
  </si>
  <si>
    <t xml:space="preserve">agent trash talked prev agents on the expense of getting him self praised, needless to say, customer gave a detractor for the company "how would you recommend xfinity"</t>
  </si>
  <si>
    <t xml:space="preserve">2154475228</t>
  </si>
  <si>
    <t xml:space="preserve">customer got scammed by a prev agent </t>
  </si>
  <si>
    <t xml:space="preserve">2154417245</t>
  </si>
  <si>
    <t xml:space="preserve">2154601742</t>
  </si>
  <si>
    <t xml:space="preserve">Agent managed to deliver resolution but the cx wasn't really happy about the whole process and resolution itself.</t>
  </si>
  <si>
    <t xml:space="preserve">2154720493</t>
  </si>
  <si>
    <t xml:space="preserve">Need to follow LOQs more and show empathy and stay engaged with the customers.</t>
  </si>
  <si>
    <t xml:space="preserve">Call dropped and previous agent didn't call back customer was frustrated and was misled by the previous agent to get a 60$ promo and my agent didn't get the same deal and was dis-satisfied</t>
  </si>
  <si>
    <t xml:space="preserve">2154905979</t>
  </si>
  <si>
    <t xml:space="preserve">mute, isolation </t>
  </si>
  <si>
    <t xml:space="preserve">hazem  salem 8</t>
  </si>
  <si>
    <t xml:space="preserve">2154911588</t>
  </si>
  <si>
    <t xml:space="preserve">get aggrevated at the cx , being easily offended </t>
  </si>
  <si>
    <t xml:space="preserve">2154877584</t>
  </si>
  <si>
    <t xml:space="preserve">supervisor call , cx is satisfied with matt </t>
  </si>
  <si>
    <t xml:space="preserve">lack of empathy , struggle to build a connection with the cx </t>
  </si>
  <si>
    <t xml:space="preserve">2154653218</t>
  </si>
  <si>
    <t xml:space="preserve">agent lied to the cx , there was no way to save that detractor</t>
  </si>
  <si>
    <t xml:space="preserve">john haana</t>
  </si>
  <si>
    <t xml:space="preserve">2155930487</t>
  </si>
  <si>
    <t xml:space="preserve">2153889147</t>
  </si>
  <si>
    <t xml:space="preserve">H</t>
  </si>
  <si>
    <t xml:space="preserve">2153842708</t>
  </si>
  <si>
    <t xml:space="preserve">2154764376</t>
  </si>
  <si>
    <t xml:space="preserve">no notification for TC</t>
  </si>
  <si>
    <t xml:space="preserve">2154721478</t>
  </si>
  <si>
    <t xml:space="preserve">No bill generated</t>
  </si>
  <si>
    <t xml:space="preserve">2154649745</t>
  </si>
  <si>
    <t xml:space="preserve">call</t>
  </si>
  <si>
    <t xml:space="preserve">2154652445</t>
  </si>
  <si>
    <t xml:space="preserve">cst need new number</t>
  </si>
  <si>
    <t xml:space="preserve">2153829796</t>
  </si>
  <si>
    <t xml:space="preserve">SPV</t>
  </si>
  <si>
    <t xml:space="preserve">2152940130</t>
  </si>
  <si>
    <t xml:space="preserve">The agent confirmed that a technician appointment was initially scheduled for &lt;DATE_TIME&gt;, which the customer found &lt;US_DRIVER_LICENSE&gt;. After checking, the agent was able to reschedule the appointment for &lt;DATE_TIME&gt; &lt;DATE_TIME&gt; and placed the customer on a waiting list for any sooner openings. The customer expressed frustration with the service delays but appreciated the agent's efforts.</t>
  </si>
  <si>
    <t xml:space="preserve">2153025435</t>
  </si>
  <si>
    <t xml:space="preserve">Headset</t>
  </si>
  <si>
    <t xml:space="preserve">2154117992</t>
  </si>
  <si>
    <t xml:space="preserve">overpitching , no ITG untilzation</t>
  </si>
  <si>
    <t xml:space="preserve">2153858494</t>
  </si>
  <si>
    <t xml:space="preserve">IVR</t>
  </si>
  <si>
    <t xml:space="preserve">2154114960</t>
  </si>
  <si>
    <t xml:space="preserve">customer called in with internet issue, agent asked customer if they can troubleshoot the problem, customer said she was outside, agnet asked her to call back when she is home, that lead to agent getting detractor for the call and AICR was hit because of it as well, no hold or mute was noticed </t>
  </si>
  <si>
    <t xml:space="preserve">2154696248</t>
  </si>
  <si>
    <t xml:space="preserve">customer failed to pass auth, by the end of the 1H call he passed auth, once he passed, agent put the call on hold for 14 min looking for a solution for his card issue, customer kept on saying hello and dropped the line and gave a negative feedback</t>
  </si>
  <si>
    <t xml:space="preserve">2155142122</t>
  </si>
  <si>
    <t xml:space="preserve">2154288923</t>
  </si>
  <si>
    <t xml:space="preserve">peacock outage</t>
  </si>
  <si>
    <t xml:space="preserve">2155268799</t>
  </si>
  <si>
    <t xml:space="preserve">CX was calling about a cancelled tech appointment, there was a mis-understanding on the customer's part and agent managed to tell her that the tech on track  </t>
  </si>
  <si>
    <t xml:space="preserve">2155238451</t>
  </si>
  <si>
    <t xml:space="preserve">Call avoidance delayed greeting by 42 seconds and dropped and there was an outbound ( https://i3management.comcast.net/I3/interaction-explorer/9AC3FBC92A7843 ) listen to this please xd</t>
  </si>
  <si>
    <t xml:space="preserve">2155144773</t>
  </si>
  <si>
    <t xml:space="preserve">Streaming issue and there is a knowledge gap the agent didn't manage to resolve, and was mainly focused on the sales instead of resolving</t>
  </si>
  <si>
    <t xml:space="preserve">2153823242</t>
  </si>
  <si>
    <t xml:space="preserve">"TV not working -cst was waiting for tech and he asked for tech on the same day - cst was very fraustrated and he kept asking for tech - agent tried to offer line as compensation so the cst can use it for internet - cst refused - tried to guied the cst to use the streaming app yet the cst couldn't - agent ended the call with the cst telling him Tech will contact him once there is availability  could've ask propping questions to check what is the issue with the TV and use ITG to try to solve it "</t>
  </si>
  <si>
    <t xml:space="preserve">2154444672</t>
  </si>
  <si>
    <t xml:space="preserve">" The customer called to report issues logging into their XFINITY account, stating that their account was not recognizing their credentials. After verifying the customer's information, the agent discovered that the account was not active yet. The agent initiated a request for a technical visit to check the modem and confirmed the addition of the customer's mobile number to the account. "</t>
  </si>
  <si>
    <t xml:space="preserve">2154677049</t>
  </si>
  <si>
    <t xml:space="preserve">2155268339</t>
  </si>
  <si>
    <t xml:space="preserve">2156085978</t>
  </si>
  <si>
    <t xml:space="preserve">late greeting 7 secs, Excessive amount of mute 13.5mins of mute out of a 17.5 mins call, Agent managed to resolve and sent a tech, but has poor call handling </t>
  </si>
  <si>
    <t xml:space="preserve">2156076328</t>
  </si>
  <si>
    <t xml:space="preserve">Agent handled the call pretty well and got the customer a tech, but was pushy on the sale at the end of the call and customer was in a hurry and hanged up on the CC Part.</t>
  </si>
  <si>
    <t xml:space="preserve">2155947143</t>
  </si>
  <si>
    <t xml:space="preserve">Not asking probing questions about the concern, and heads to the sales part right away without even trying to resolve the main concern.</t>
  </si>
  <si>
    <t xml:space="preserve">2155969502</t>
  </si>
  <si>
    <t xml:space="preserve">mute , empathy </t>
  </si>
  <si>
    <t xml:space="preserve">2155037542</t>
  </si>
  <si>
    <t xml:space="preserve">2156170321</t>
  </si>
  <si>
    <t xml:space="preserve">Internet Speed outage, cx wasn't getting the proper speed that they signed up for</t>
  </si>
  <si>
    <t xml:space="preserve">10007031801780081133</t>
  </si>
  <si>
    <t xml:space="preserve">2156178570</t>
  </si>
  <si>
    <t xml:space="preserve">No call flow structure, no probing just sent a tech at the 3rd minute of the interaction.</t>
  </si>
  <si>
    <t xml:space="preserve">2156179559</t>
  </si>
  <si>
    <t xml:space="preserve">wrong rating </t>
  </si>
  <si>
    <t xml:space="preserve">2156082114</t>
  </si>
  <si>
    <t xml:space="preserve">2154350212</t>
  </si>
  <si>
    <t xml:space="preserve">The customer contacted the agent regarding an unexpected cancellation of their Paramount Plus subscription, which they did not initiate. They expressed frustration over the inability to resolve the issue after contacting both Xfinity and Paramount Plus. The agent provided options, including resubscribing or waiting for a technical resolution, but the customer was adamant about not wanting to pay for the service twice. The conversation was marked by communication difficulties, leading to increased frustration from the customer.</t>
  </si>
  <si>
    <t xml:space="preserve">2154419748</t>
  </si>
  <si>
    <t xml:space="preserve">The customer called to report a service outage that began , despite receiving a text indicating service was restored. The agent confirmed a  outage and attempted to troubleshoot the issue but was unsuccessful. They scheduled a technician to visit the customer's location, aiming for &lt;DATE_TIME&gt; service. The agent assured the customer that they would not be charged for the outage and discussed potential credits for the inconvenience. The customer expressed appreciation for the assistance provided.</t>
  </si>
  <si>
    <t xml:space="preserve">2154442097</t>
  </si>
  <si>
    <t xml:space="preserve">tech was avalible after 1 week</t>
  </si>
  <si>
    <t xml:space="preserve">2154623452</t>
  </si>
  <si>
    <t xml:space="preserve">self heal that didn't fix the issue , cs called back</t>
  </si>
  <si>
    <t xml:space="preserve">2154649767</t>
  </si>
  <si>
    <t xml:space="preserve">Mute exceeding </t>
  </si>
  <si>
    <t xml:space="preserve">2154728425</t>
  </si>
  <si>
    <t xml:space="preserve">cs wanted the tech earlier yet he couldn't get it , he's asked to call him back and the agent said he will if it's needed</t>
  </si>
  <si>
    <t xml:space="preserve">2155042483</t>
  </si>
  <si>
    <t xml:space="preserve">the call went well and the cs was satisfied by the end of the call </t>
  </si>
  <si>
    <t xml:space="preserve">2155293369</t>
  </si>
  <si>
    <t xml:space="preserve">2155962131</t>
  </si>
  <si>
    <t xml:space="preserve">call dropped</t>
  </si>
  <si>
    <t xml:space="preserve">2156342245</t>
  </si>
  <si>
    <t xml:space="preserve">tremendous mute </t>
  </si>
  <si>
    <t xml:space="preserve">2156115330</t>
  </si>
  <si>
    <t xml:space="preserve">handling skills , cutting cx off </t>
  </si>
  <si>
    <t xml:space="preserve">2156358193</t>
  </si>
  <si>
    <t xml:space="preserve">2156542429</t>
  </si>
  <si>
    <t xml:space="preserve">2156726627</t>
  </si>
  <si>
    <t xml:space="preserve">another agent abused for GSR and sup call</t>
  </si>
  <si>
    <t xml:space="preserve">2156329957</t>
  </si>
  <si>
    <t xml:space="preserve">LOQ</t>
  </si>
  <si>
    <t xml:space="preserve">2156166179</t>
  </si>
  <si>
    <t xml:space="preserve">2156342491</t>
  </si>
  <si>
    <t xml:space="preserve">"CST called complaint from the internet issue - two internet wireless network appears  - agent tried the check with the cst the issue with the internet - cst complaint that everyday he need to rechoose the network -  yet the cst was complaining from the agent interrupting him -  cst wanted to change the network name - agent followed IT and it asked to send the cst text message - agent guided the cst how to recieve msgs -</t>
  </si>
  <si>
    <t xml:space="preserve">2154677318</t>
  </si>
  <si>
    <t xml:space="preserve">CST was waiting for tech -he was told that he is on the first line of the waiting list - cst was super fraustrated yet the agent was unable to absorb the customer anger due to the medical situation of his wife and he needed to sort out the issue for the internet -tried to offer smart watch for the cst -cst did not want it -call ended by the cst waiting for the tec</t>
  </si>
  <si>
    <t xml:space="preserve">2154763542</t>
  </si>
  <si>
    <t xml:space="preserve">"cst called complinaing from the internet unstabiity -agent checked and told the cst that the issue is with the router -tried to guied the cst through the troubleshooting - tried to tell the cst to use xfinity router as the main and to avoid the extender router - tried to offer a line and the cst though that it is a scam -  "</t>
  </si>
  <si>
    <t xml:space="preserve">2156783553</t>
  </si>
  <si>
    <t xml:space="preserve">Over pitching </t>
  </si>
  <si>
    <t xml:space="preserve">2156820150</t>
  </si>
  <si>
    <t xml:space="preserve">Poor call handling, Excessive mutes and hold agent slept on the call.</t>
  </si>
  <si>
    <t xml:space="preserve">2156852901</t>
  </si>
  <si>
    <t xml:space="preserve">We don't have a way to generate and send the customers a return so they can return their equipment and the sso process is a bit hard for the customers to follow.</t>
  </si>
  <si>
    <t xml:space="preserve">2156978226</t>
  </si>
  <si>
    <t xml:space="preserve">Agent wasn't focused at all and was sleeping on the call, mute mute mute mute mute </t>
  </si>
  <si>
    <t xml:space="preserve">2156988147</t>
  </si>
  <si>
    <t xml:space="preserve">CST called complining that she left town for couple of days yet her internet service, tv,landline were all down. came back at the day of the call and  still not everything not working - the agent tried to compensate her by increase her internet speed- tried to mentioned to her that this issue is with the whole neighborhood - </t>
  </si>
  <si>
    <t xml:space="preserve">2156736027</t>
  </si>
  <si>
    <t xml:space="preserve">isolation , mute ( im good , not the company )</t>
  </si>
  <si>
    <t xml:space="preserve">2156861466</t>
  </si>
  <si>
    <t xml:space="preserve">over pitching , drifted from the the cx concern and more focused on sales </t>
  </si>
  <si>
    <t xml:space="preserve">2155263435</t>
  </si>
  <si>
    <t xml:space="preserve">customer had an outage, agent didn't handle the current situation, instead he advised of another one that is planned and she will have no internet for even longer</t>
  </si>
  <si>
    <t xml:space="preserve">2155929184</t>
  </si>
  <si>
    <t xml:space="preserve">2155945657</t>
  </si>
  <si>
    <t xml:space="preserve">internet is down, agent transferred call to Bulk, no TS was done, no handling was done</t>
  </si>
  <si>
    <t xml:space="preserve">2155931946</t>
  </si>
  <si>
    <t xml:space="preserve">customer called since his TV was down, agent helped fixing the issue, customer was so happy by the end of the call and he him self built rapport with the agent, yet he provided a negative feedback</t>
  </si>
  <si>
    <t xml:space="preserve">2155943243</t>
  </si>
  <si>
    <t xml:space="preserve">intermittent internet, agent provided a tech visit, customer was still frustrated since he uses internet for work, agent tried to offer Xpro, customer didn't agree</t>
  </si>
  <si>
    <t xml:space="preserve">2156358627</t>
  </si>
  <si>
    <t xml:space="preserve">customer called in with internet issue, agent sounded robotic even when customer tried to joke and change the atmosphere of the call, agent kept the same annoying tone of voice</t>
  </si>
  <si>
    <t xml:space="preserve">2156416049</t>
  </si>
  <si>
    <t xml:space="preserve">customer called in with internet issue, agent told customer to hold for a sec while he TS the issue, call is incomplete on I3</t>
  </si>
  <si>
    <t xml:space="preserve">2156593408</t>
  </si>
  <si>
    <t xml:space="preserve">customer wanted to get his TV working since he did help with the TV, tried to change the plan, customer got frustrated and hung up the line saying that he will go to the store to get it fixed</t>
  </si>
  <si>
    <t xml:space="preserve">2156725652</t>
  </si>
  <si>
    <t xml:space="preserve">customer has a stuttering TV, agent spent 30min trying to fix the issue and when he failed he said there will be a tech visit, then offered the line, customer exploded saying you're getting 33B a year and you still want more?, while it takes ages to get to some one to fix your own problems, hire some people and spend some money for a better service</t>
  </si>
  <si>
    <t xml:space="preserve">2156727194</t>
  </si>
  <si>
    <t xml:space="preserve">2156858728</t>
  </si>
  <si>
    <t xml:space="preserve">customer had a problem with the installation of service in the new address, agent tried to TS the case since the new account has an order for installation, agent advised customer to wait, yet customer was so frustrated and told agent that he will find another provider</t>
  </si>
  <si>
    <t xml:space="preserve">2157182358</t>
  </si>
  <si>
    <t xml:space="preserve">Knowledge gap and there was no resolution provided in the call, Excessive amount of mutes.</t>
  </si>
  <si>
    <t xml:space="preserve">2157225366</t>
  </si>
  <si>
    <t xml:space="preserve">Out of scope call driver // Prepaid billing and the agent transferred the call to Prepaid</t>
  </si>
  <si>
    <t xml:space="preserve">2157040651</t>
  </si>
  <si>
    <t xml:space="preserve">customer called in, agent said intro, customer dropped the line</t>
  </si>
  <si>
    <t xml:space="preserve">2157009179</t>
  </si>
  <si>
    <t xml:space="preserve">No resolution, focused only on the selling and excessive amount of mute and hold.</t>
  </si>
  <si>
    <t xml:space="preserve">2157200596</t>
  </si>
  <si>
    <t xml:space="preserve">2157251466</t>
  </si>
  <si>
    <t xml:space="preserve">2157378514</t>
  </si>
  <si>
    <t xml:space="preserve">2156340902</t>
  </si>
  <si>
    <t xml:space="preserve">mute exceeding , active listening </t>
  </si>
  <si>
    <t xml:space="preserve">2157290325</t>
  </si>
  <si>
    <t xml:space="preserve">2157198262</t>
  </si>
  <si>
    <t xml:space="preserve">customer called about his internet being down, agent spent 40 min to get customer a tech, agent spent 20min on hold with refreshers</t>
  </si>
  <si>
    <t xml:space="preserve">2154818191</t>
  </si>
  <si>
    <t xml:space="preserve">"CST called complaining from the internet inturption all week and mentioned that she is working from home - asking propping questions if the issue is on all devices - cst mentioned she is a family of five - agent gave a weird reaction and the cst was douting that xfinity can handle a family of five- agent tried to offer GSR by offering higher speed - cst explained her lifestyle and agent tried couple of troubleshooting yet not working  prolonged mute for 7 min by the end of the call "</t>
  </si>
  <si>
    <t xml:space="preserve">2156831590</t>
  </si>
  <si>
    <t xml:space="preserve">CST called aware that there was an issue with the internet on his area yet he needed to make sure that the issue is not from his Modems - agent checked and confused the cst talking about one of the modem is main and the other is extender - agent was unable to deliver the issue for the cst and then the cst was fraustrated then the agent started to show attitude - cst complaint that someone missed up with his account -cst was member and needed to wait for the primery holder to solve the issue - cst mentioned he will call back then agent offered a call back yet cst refused and mentioned he will call back</t>
  </si>
  <si>
    <t xml:space="preserve">2156737308</t>
  </si>
  <si>
    <t xml:space="preserve">CSt called due to an internet issue -cst was waiting for tech with no charge - agent explain that the tec tried to call her multiple times and he couldn’t reach her - agent was super sleepy -caller was not the primery - agent needed to verify with the primery and the cst complaint that they already assisted her before - agent called the primary and verified with him then he scheduled appointment for the cst -scheduled tech for the cst </t>
  </si>
  <si>
    <t xml:space="preserve">2157203569</t>
  </si>
  <si>
    <t xml:space="preserve">Agent showed ownership on call but in the worst way possible, trying to retain customer lead to agent threatening customer about his promotions getting lost and his trade in phone being gone with no value</t>
  </si>
  <si>
    <t xml:space="preserve">2156984938</t>
  </si>
  <si>
    <t xml:space="preserve">CST have troubles with all 3P - agent scheduled tech for the cst and confirmed that she will receive txt message confirming everything after the call -after checked ing the service from his end found it is working - cst confirmed it is inturrupting issues -agent scheduled tech and confirmed to the cst that he will ask the tech to keep everything with him in the car - agent showed appreciation for the cst years with xfinity - </t>
  </si>
  <si>
    <t xml:space="preserve">2157443466</t>
  </si>
  <si>
    <t xml:space="preserve">delivery and clarity // sho as well he should have sent that to the cx https://www.xfinity.com/support/articles/move-services-faqs</t>
  </si>
  <si>
    <t xml:space="preserve">2157407184</t>
  </si>
  <si>
    <t xml:space="preserve">2156957431</t>
  </si>
  <si>
    <t xml:space="preserve">100020325617805076162026-06-03 14:50:34</t>
  </si>
  <si>
    <t xml:space="preserve">2157246623</t>
  </si>
  <si>
    <t xml:space="preserve">2157231067</t>
  </si>
  <si>
    <t xml:space="preserve">mute from the min 27 to 35 </t>
  </si>
  <si>
    <t xml:space="preserve">2157198474</t>
  </si>
  <si>
    <t xml:space="preserve">cx was dissatisfied about the tech who came// another agent dint fulfull the promise nor called the cx back </t>
  </si>
  <si>
    <t xml:space="preserve">CST called to check what should be the right proccess to keep xfinity account active since she is moving to a different state - agent informed her abouot the proccess - then the cst asked if she want to disconnect the service - agent informed her she can call disconnect team without any offers or questions asking why she needs to disconnect or showing any intention to save the cst - tried to offer a free line and cst refused</t>
  </si>
  <si>
    <t xml:space="preserve">2156536792</t>
  </si>
  <si>
    <t xml:space="preserve">"CST was asking why his internet is overpriced for the speed  asked propping questions :which device expiriancing the problem  agent did some troubleshoting and checked the modem's health, the agent confirmed the speeds were below expectations.  The agent scheduled a technician visit"</t>
  </si>
  <si>
    <t xml:space="preserve">2155244469</t>
  </si>
  <si>
    <t xml:space="preserve">mute , over pitching </t>
  </si>
  <si>
    <t xml:space="preserve">2156201055</t>
  </si>
  <si>
    <t xml:space="preserve">customer had by the gig and got charged as he overused his limit </t>
  </si>
  <si>
    <t xml:space="preserve">2155944100</t>
  </si>
  <si>
    <t xml:space="preserve">dropped call </t>
  </si>
  <si>
    <t xml:space="preserve">2156356501</t>
  </si>
  <si>
    <t xml:space="preserve">they would transfer the call to the mobile insurance claims department for further assistance. The customer expressed gratitude for the help.</t>
  </si>
  <si>
    <t xml:space="preserve">agent transferred the call as per support</t>
  </si>
  <si>
    <t xml:space="preserve">2156441377</t>
  </si>
  <si>
    <t xml:space="preserve">the customer got misinformed about the tech visit timing </t>
  </si>
  <si>
    <t xml:space="preserve">2156736035</t>
  </si>
  <si>
    <t xml:space="preserve">informed them that a ticket would be raised to address the issue. The agent assured the customer that they would follow up within to confirm the technician's arrival.</t>
  </si>
  <si>
    <t xml:space="preserve">Overpitching The customer expressed dissatisfaction with the offer and requested to speak to a manager.</t>
  </si>
  <si>
    <t xml:space="preserve">2157007621</t>
  </si>
  <si>
    <t xml:space="preserve">2157225396</t>
  </si>
  <si>
    <t xml:space="preserve">agent scheduled a call back for resolution </t>
  </si>
  <si>
    <t xml:space="preserve">2157592194</t>
  </si>
  <si>
    <t xml:space="preserve">2157680786</t>
  </si>
  <si>
    <t xml:space="preserve">The agent agreed to call back instead of fixing the issue </t>
  </si>
  <si>
    <t xml:space="preserve">2156378940</t>
  </si>
  <si>
    <t xml:space="preserve">"CST was calling to follow up on his TV remote  excessive mute  cst mentioned that his wife is sick and agent showed empathy  confirmed with the cst the email to receive the instractions - confirmed if the cst need only one remote or two  agent confirmed the shiping date for the remote and instractions was sent -guided the cst how to pair the remote and confirmed with the cst the model will be sent as well within 2 days "</t>
  </si>
  <si>
    <t xml:space="preserve">2157567107</t>
  </si>
  <si>
    <t xml:space="preserve">"CST complaint that one of his two TVs is not working -  Asked propping questions to identify the main issue - guided the cst to make sure all wires are connected properly - after troubleshooting cst confirmed still not working - agent confifrmed that the issue was the wiring -agent told the cst he will receive a call back from the concerned team - agent troubleshooting for the internet as well- cst was confirmed that he tried all the troubleshooting from his end and the issue still persist.  during mute cst was completely talking to himself -due to the prolonged mute by the end of the call the call dropped  "</t>
  </si>
  <si>
    <t xml:space="preserve">2157382706</t>
  </si>
  <si>
    <t xml:space="preserve"> CST called as she was unable to do a payment online -agent guided the cst how to make the payment online -agent sent the cst payment link yet it did not work - call TR to supervisor to assist the CST -payment was out of service already at that time </t>
  </si>
  <si>
    <t xml:space="preserve">2158677891</t>
  </si>
  <si>
    <t xml:space="preserve">The customer called regarding a billing issue, stating that their bill increased after a promotion ended. opportunities , lack of empathy , no AER , speaking without clarity , not identifying the cx concern from the 1st moment, he kept reading bthe bill as if he is speaking to him self not identifying the cincern to the extend made the cx frustrated and angry and asked to speak to supervisor and the hold was too much .</t>
  </si>
  <si>
    <t xml:space="preserve">2156882688</t>
  </si>
  <si>
    <t xml:space="preserve">2156451110</t>
  </si>
  <si>
    <t xml:space="preserve">10008011151780668931</t>
  </si>
  <si>
    <t xml:space="preserve">customer was frustrated since she had an OD amount on the account but she should have never charged that, customer was expecting that xfinity to fix that already case has been escalated, customer got the credit for it and still provided a negative feedback</t>
  </si>
  <si>
    <t xml:space="preserve">2157566493</t>
  </si>
  <si>
    <t xml:space="preserve">Poor handling skills / no empathy/ delayed greeting / pitching before resolving</t>
  </si>
  <si>
    <t xml:space="preserve">2157735358</t>
  </si>
  <si>
    <t xml:space="preserve">Agent sent a tech and sold her a line as an alternative resolution and the interaction ended on a good note</t>
  </si>
  <si>
    <t xml:space="preserve">2157762676</t>
  </si>
  <si>
    <t xml:space="preserve">Dead end case and it has to do with a phone that was never delivered and cx was still paying for it, cx immediately wanted to get a billing supervisor but agent owned it and tried to help but wasn't successful and wanted to sue the company.</t>
  </si>
  <si>
    <t xml:space="preserve">2158500417</t>
  </si>
  <si>
    <t xml:space="preserve">First thing cx said " the issue is resloved", the agent didn't even ask about what was the concern and didn't probe or make sure of anything.</t>
  </si>
  <si>
    <t xml:space="preserve">2158653903</t>
  </si>
  <si>
    <t xml:space="preserve">p-yali283</t>
  </si>
  <si>
    <t xml:space="preserve">2158671716</t>
  </si>
  <si>
    <t xml:space="preserve">bp-ymarzo706</t>
  </si>
  <si>
    <t xml:space="preserve">2158626240</t>
  </si>
  <si>
    <t xml:space="preserve">2158558725</t>
  </si>
  <si>
    <t xml:space="preserve">2157796160</t>
  </si>
  <si>
    <t xml:space="preserve">2157650644</t>
  </si>
  <si>
    <t xml:space="preserve">2158652334</t>
  </si>
  <si>
    <t xml:space="preserve">2158418172</t>
  </si>
  <si>
    <t xml:space="preserve">customer had a problem with his TV, agent assumed that customer had his COAX Cable disconnected and asked customer for MAC address without even trying to run ITG, customer said " i don't trust you" and hung up the line</t>
  </si>
  <si>
    <t xml:space="preserve">2158510394</t>
  </si>
  <si>
    <t xml:space="preserve">agent is so robotic, customer didn't like the way she is getting the replies, once agent told customer that her mobile service was disconnected so she doesn't have active service, customer said"i will go to the store" and hung up</t>
  </si>
  <si>
    <t xml:space="preserve">2158592451</t>
  </si>
  <si>
    <t xml:space="preserve">2158678778</t>
  </si>
  <si>
    <t xml:space="preserve">peakock case, ITG was unable to fix the issue, ITG eventually blamed it on the TV Type, agent advised customer with that, customer was not happy since amazon prime works fine on an older version TV</t>
  </si>
  <si>
    <t xml:space="preserve">2158669834</t>
  </si>
  <si>
    <t xml:space="preserve">agent was helping customer with a remote issue for 90min then customer asked for a manager due to agent being so robotic, agent showed the worst way possible of handling an escalating, agent did escalate through ignoring customer's demand completely so customer hung up</t>
  </si>
  <si>
    <t xml:space="preserve">2158429440</t>
  </si>
  <si>
    <t xml:space="preserve">excessive mute , active listening </t>
  </si>
  <si>
    <t xml:space="preserve">2158844394</t>
  </si>
  <si>
    <t xml:space="preserve">Delayed greeting, Excessive mute, zero ITG  LOQs and zero probing and sent a tech as a solution </t>
  </si>
  <si>
    <t xml:space="preserve">2158863985</t>
  </si>
  <si>
    <t xml:space="preserve">There was a knowledge gap on the floor for this case (DVR Issue).</t>
  </si>
  <si>
    <t xml:space="preserve">2157178851</t>
  </si>
  <si>
    <t xml:space="preserve">"CST called to speak to sup as her service is not working and whenever she a tech attended to her house 3 tech -  they always tell her that there is no issue with her house -agent tried to handle the cst to get the cst expiriance better - tech always adviced her that the issue must be in the cables outside the house agent created a field esclation "</t>
  </si>
  <si>
    <t xml:space="preserve">2159212702</t>
  </si>
  <si>
    <t xml:space="preserve">Invalid transfer, No resolution, Zero LOQs, Sales Centric mentality</t>
  </si>
  <si>
    <t xml:space="preserve">bp-melsay835</t>
  </si>
  <si>
    <t xml:space="preserve">2159263533</t>
  </si>
  <si>
    <t xml:space="preserve">New hire agent was great on the call and was trying to get a GSR but wasn't successful and had trouble navigating the system and was putting excessive mute.</t>
  </si>
  <si>
    <t xml:space="preserve">2159349249</t>
  </si>
  <si>
    <t xml:space="preserve">CX was calling to get a discount since her promotion ended and tried to lower the rate, Agent tried to make it more expensive for the customer to get multiple GSRs at once and cx got angry and transfer the call to disconnect to avoid the survey and still got it xd</t>
  </si>
  <si>
    <t xml:space="preserve">2159298208</t>
  </si>
  <si>
    <t xml:space="preserve">Aggravated customer and agent escalated the whole situation instead of handling it.</t>
  </si>
  <si>
    <t xml:space="preserve">bp-aelsha520</t>
  </si>
  <si>
    <t xml:space="preserve">2159206325</t>
  </si>
  <si>
    <t xml:space="preserve">lack of confidence, customer was expecting service and found out that he is not going to get it since we don't provide service in their area</t>
  </si>
  <si>
    <t xml:space="preserve">bp-aabdel380</t>
  </si>
  <si>
    <t xml:space="preserve">2159434180</t>
  </si>
  <si>
    <t xml:space="preserve">CX was calling to get the GSK shipment same day and it was already sent out and wanted the agent tried to handle but the customer wanted the agent to call fedex and get it same day.</t>
  </si>
  <si>
    <t xml:space="preserve">2159046016</t>
  </si>
  <si>
    <t xml:space="preserve">hold the call original duration is 22 mi while the actual talk time is 8 min // cutting cx while she is clearly frustrated due to the delay in the modem sending , the cx stated you shouldnt fix what is not broken as she is under the impression that the modem is not the issue , but  to be honest the cx is  severly intitelled </t>
  </si>
  <si>
    <t xml:space="preserve">2159361129</t>
  </si>
  <si>
    <t xml:space="preserve">mute from 9 to 13 // robotic tone of voice </t>
  </si>
  <si>
    <t xml:space="preserve">bp-oaly944</t>
  </si>
  <si>
    <t xml:space="preserve">2159193349</t>
  </si>
  <si>
    <t xml:space="preserve">"CST called as his internt went out and he was complaining paying for something he did not use cst was waiting for the tech at the 12th and he didn't want to wait  agent added credit as compensation for the cst  no notation due to mercury "</t>
  </si>
  <si>
    <t xml:space="preserve">2159292743</t>
  </si>
  <si>
    <t xml:space="preserve">2156327489</t>
  </si>
  <si>
    <t xml:space="preserve">"CST called as she made a payment of over 100$ and she restared her box yet it is not working - Great building rapport with the custmer and showing empathy  agent performed the troubleshooting without asking the customer about the questions on the ITG cst still has the issue active agent performed another ITG and asked the CST to reconnect her equipment -everything was working after the agent reconnected the equipment to the account  Excessive mute  "</t>
  </si>
  <si>
    <t xml:space="preserve">mute 9 .53 to 13.30 //20.51 to 24.49 </t>
  </si>
  <si>
    <t xml:space="preserve">2159417122</t>
  </si>
  <si>
    <t xml:space="preserve">sounded robotic , not eager to help the cx , lack of empathy </t>
  </si>
  <si>
    <t xml:space="preserve">2159290035</t>
  </si>
  <si>
    <t xml:space="preserve">The customer called to confirm a service appointment for a new cable box installation that they believed was scheduled for today between 10 AM and noon. The agent initially could not find the appointment in the system and asked for details about the customer's account and the cable box. After some confusion, the agent confirmed that there was no record of the appointment. The agent then scheduled a new appointment for the following day and apologized for the miscommunication. The customer expressed appreciation for the agent's assistance.</t>
  </si>
  <si>
    <t xml:space="preserve">2159804848</t>
  </si>
  <si>
    <t xml:space="preserve">The customer called regarding trouble accessing the MHC international drama channel, which they previously subscribed to for $7.98 per month. They mentioned that a previous representative had escalated the issue to a technician. The agent confirmed the subscription details and acknowledged a discrepancy in the pricing, stating it would renew at $15.98// agent comnpensated the cx and the cx showed appreciated and the call ended up on a positive note </t>
  </si>
  <si>
    <t xml:space="preserve">2159379648</t>
  </si>
  <si>
    <t xml:space="preserve">"CST called as his internet is down  agent started to ask the cst if he is connected the device correctly -agent tried to guied the cst with no luck and he offered tech and the cst was more aware that the issue is not that hard -agent addded the cst to hold then he followed with troubleshooting again agent was trying to guied the cst through -cst needed to link his account - when he click on the link it ends up let's speak with try again or set up later"</t>
  </si>
  <si>
    <t xml:space="preserve">2158555213</t>
  </si>
  <si>
    <t xml:space="preserve">CST called asking to cancel the account and return the modem - as the building is too old internet is not working there - TR to downgrade</t>
  </si>
  <si>
    <t xml:space="preserve">2158587619</t>
  </si>
  <si>
    <t xml:space="preserve">2157740372</t>
  </si>
  <si>
    <t xml:space="preserve">2158557998</t>
  </si>
  <si>
    <t xml:space="preserve">"CST complaint that when her partner called xfinity they informed him wifi will be down 2 days and nothing to be done-informed him will raise esclation to backoffice - mute for  agent tried to reschedule the tech for earlier date with no luck  added the cst to the waiting list and set clear expectations if any availble date sooner she will recieve a call  CST was working from home -agent tried to offer the cst the free line -CST ended the call without response"</t>
  </si>
  <si>
    <t xml:space="preserve">"cst was calling due to an issue with the internet - agent tried to run ITG - issue was still not resolved - agent run another ITG -agent asked the cst to unplog the tv then plog it again - call dropped  Call back UCID: 22001052441781017567 - agent confirmed with the cst if the issue done or not yet - it was self heal and agent adviced the cst to reply to the message if the issue still not resolved  CR262913610X1 Error - XRE-00250"</t>
  </si>
  <si>
    <t xml:space="preserve">2159171350</t>
  </si>
  <si>
    <t xml:space="preserve">first call was 6 sec of silence, customer said hello and dropped the line, agent called back and customer gave a negative feedback since agent offered a line on the call </t>
  </si>
  <si>
    <t xml:space="preserve">The customer called to inquire about their appointment after a technician informed them he was  and would not arrive. The agent confirmed the appointment was actually scheduled for &lt;DATE_TIME&gt; and offered to reschedule it to &lt;DATE_TIME&gt;. The customer expressed dissatisfaction with the delay and requested a credit for the service &lt;US_DRIVER_LICENSE&gt;. The agent confirmed a credit of $49.98 would be applied to the next bill and assured the customer that a special request for a bucket truck would be made for the appointment. The customer remained unhappy with the situation but accepted the new appointment date.</t>
  </si>
  <si>
    <t xml:space="preserve">2158507207</t>
  </si>
  <si>
    <t xml:space="preserve">MASSIVALY EXCEEDING HOLD , TOTAL CALL IS 45MIN. WHEN TALKING TIME WITH MUTE IS ONLY 18 MIN. !!</t>
  </si>
  <si>
    <t xml:space="preserve">2158511799</t>
  </si>
  <si>
    <t xml:space="preserve">excessive mute , no active listening</t>
  </si>
  <si>
    <t xml:space="preserve">2159588967</t>
  </si>
  <si>
    <t xml:space="preserve">Call avoidance, Transferred the call even tho it's in scope</t>
  </si>
  <si>
    <t xml:space="preserve">2159645639</t>
  </si>
  <si>
    <t xml:space="preserve">fraud call, Fake info</t>
  </si>
  <si>
    <t xml:space="preserve">2159672052</t>
  </si>
  <si>
    <t xml:space="preserve">Excessive Mute - Cannot Fix Streaming Concerns - Customer's Voice Was Cutting Out A Lot - Didn't Utilize Any ITG</t>
  </si>
  <si>
    <t xml:space="preserve">2159557263</t>
  </si>
  <si>
    <t xml:space="preserve">Excessive Mute 26 Mins Of Mute - Call Avoidance Delayed Resolution After An Hour</t>
  </si>
  <si>
    <t xml:space="preserve">2159285945</t>
  </si>
  <si>
    <t xml:space="preserve">cst needed to get 3 extenders for free</t>
  </si>
  <si>
    <t xml:space="preserve">2158429526</t>
  </si>
  <si>
    <t xml:space="preserve">cst transferred to our XM services and he got no coverage</t>
  </si>
  <si>
    <t xml:space="preserve">2159639799</t>
  </si>
  <si>
    <t xml:space="preserve">cst not a tech savy and tec terms used</t>
  </si>
  <si>
    <t xml:space="preserve">2158648939</t>
  </si>
  <si>
    <t xml:space="preserve">box was disabled cannot be used </t>
  </si>
  <si>
    <t xml:space="preserve">2158782732</t>
  </si>
  <si>
    <t xml:space="preserve">TL3 &amp; UDP</t>
  </si>
  <si>
    <t xml:space="preserve">2158839123</t>
  </si>
  <si>
    <t xml:space="preserve">Empathy</t>
  </si>
  <si>
    <t xml:space="preserve">2149986958</t>
  </si>
  <si>
    <t xml:space="preserve">bp-afarag265</t>
  </si>
  <si>
    <t xml:space="preserve">2159592324</t>
  </si>
  <si>
    <t xml:space="preserve">agent has no clue on ACSR</t>
  </si>
  <si>
    <t xml:space="preserve">2158583888</t>
  </si>
  <si>
    <t xml:space="preserve">Self heal process</t>
  </si>
  <si>
    <t xml:space="preserve">2158555281</t>
  </si>
  <si>
    <t xml:space="preserve">Hold </t>
  </si>
  <si>
    <t xml:space="preserve">2159616063</t>
  </si>
  <si>
    <t xml:space="preserve">failed to call back</t>
  </si>
  <si>
    <t xml:space="preserve">2159189311</t>
  </si>
  <si>
    <t xml:space="preserve">cst failed to use self services</t>
  </si>
  <si>
    <t xml:space="preserve">2159767619</t>
  </si>
  <si>
    <t xml:space="preserve">CST was calling because she lost internet for 4 days on a row - agent tried to guied the cst through and show empathy however the cst was very dissatisfied and asked for supervisor</t>
  </si>
  <si>
    <t xml:space="preserve">2159622218</t>
  </si>
  <si>
    <t xml:space="preserve">no probing questions , no investigation </t>
  </si>
  <si>
    <t xml:space="preserve">bp-melsha217</t>
  </si>
  <si>
    <t xml:space="preserve">2159644211</t>
  </si>
  <si>
    <t xml:space="preserve">mute </t>
  </si>
  <si>
    <t xml:space="preserve">2159799204</t>
  </si>
  <si>
    <t xml:space="preserve">cst was calling regarding an issue with their upgraded internet bundle that was supposed to include ad-free streaming services-agent tried to explain the plan for the without ads yet cst was convenced that she has the correct plan.agent went the extra mile with the cst to try to find alterntive solution for her - agent tried to offer a line yet the cst was not accepting this -  CST requested a sup call </t>
  </si>
  <si>
    <t xml:space="preserve">2155037642</t>
  </si>
  <si>
    <t xml:space="preserve">CST was frustrated due to late Tech visit - agent confirmed the time of the Tech- told the cst that if he is not convinced he can call him back</t>
  </si>
  <si>
    <t xml:space="preserve">2158841823</t>
  </si>
  <si>
    <t xml:space="preserve">"cst complaint that she scheduled 3 tech appoinment and no one is showing up to her home  cst was very fraustrated -agent tried to guied the cst step by step to connect her equipment  agent kept assuring the customer that he will help her and esured her that the tech appoinment is confirmed -agent confirmed the date and time yet the cst was super frustrated "</t>
  </si>
  <si>
    <t xml:space="preserve">bp-jabdel772</t>
  </si>
  <si>
    <t xml:space="preserve">2158862446</t>
  </si>
  <si>
    <t xml:space="preserve">cst was calling due to an issue with the internet - agent tried to run ITG - issue was still not resolved - agent run another ITG -agent asked the cst to unplog the tv then plog it again - call dropped  Call back UCID: 22001052441781017567 - agent confirmed with the cst if the issue done or not yet - it was self heal and agent adviced the cst to reply to the message if the issue still not resolved  CR262913610X1 Error - XRE-00250</t>
  </si>
  <si>
    <t xml:space="preserve">2155236130</t>
  </si>
  <si>
    <t xml:space="preserve">Answered the call after 20 Sec - cst already changed the password - and she can login on one device and on the application was autofill the data -agent asked the cst to wait on hold - call ended  </t>
  </si>
  <si>
    <t xml:space="preserve">2153825703</t>
  </si>
  <si>
    <t xml:space="preserve">"CST called cause her internet is not working agent tried to fix it through troubleshooting - did not work - scheduled tech  "</t>
  </si>
  <si>
    <t xml:space="preserve">bp-ssalem361</t>
  </si>
  <si>
    <t xml:space="preserve">2159410249</t>
  </si>
  <si>
    <t xml:space="preserve">"CST could not use her email due to error message 404 - agent tried to guied the cst through how to reset it-agent tried to ask the cst to clear cash and cookies the cst ended the call while the cst tried to open incognito tap -"</t>
  </si>
  <si>
    <t xml:space="preserve">2159574554</t>
  </si>
  <si>
    <t xml:space="preserve">CSST complaitn fom the intermetent internet connection - agent tried to take ownership and offer to send tech to the cst yet the cst was not satisfied and asked not to get the tech to enter her house - agent scheduled the appointment - cst was not satisfied even if the cst was added to the waitlist </t>
  </si>
  <si>
    <t xml:space="preserve">2159286182</t>
  </si>
  <si>
    <t xml:space="preserve">cst was calling upset from the outage of the internt - agent was very patient - tried troubleshooting - kept the cst updated with what he is doing on the system -agent tried to check if there is an offer to pay less -after troubleshooting they tested again not working - cst kept fraustrated -agent offered to send tech visit </t>
  </si>
  <si>
    <t xml:space="preserve">2159556281</t>
  </si>
  <si>
    <t xml:space="preserve">customer had a problem with his internet, customer has the problem with his TV due to internet, Agent had a conversation being irritated from how "not smart" the customer is, then said stop stop, i will send you a tech</t>
  </si>
  <si>
    <t xml:space="preserve">2159613358</t>
  </si>
  <si>
    <t xml:space="preserve">customer called in, agent said the greetings, customer answered with insults then agent asked him to calm down he is here to help, customer hung up the line</t>
  </si>
  <si>
    <t xml:space="preserve">2160172374</t>
  </si>
  <si>
    <t xml:space="preserve">incorrect ITG</t>
  </si>
  <si>
    <t xml:space="preserve">2159938060</t>
  </si>
  <si>
    <t xml:space="preserve">XM resctrictions</t>
  </si>
  <si>
    <t xml:space="preserve">2159041583</t>
  </si>
  <si>
    <t xml:space="preserve">HOld </t>
  </si>
  <si>
    <t xml:space="preserve">2158980347</t>
  </si>
  <si>
    <t xml:space="preserve">ITG lead to wrong TS</t>
  </si>
  <si>
    <t xml:space="preserve">2158862811</t>
  </si>
  <si>
    <t xml:space="preserve">couldn't understand the cst request</t>
  </si>
  <si>
    <t xml:space="preserve">2158871251</t>
  </si>
  <si>
    <t xml:space="preserve">TV issues</t>
  </si>
  <si>
    <t xml:space="preserve">bp-maboha945</t>
  </si>
  <si>
    <t xml:space="preserve">2158804495</t>
  </si>
  <si>
    <t xml:space="preserve">agent cannot use ACSR</t>
  </si>
  <si>
    <t xml:space="preserve">2158668974</t>
  </si>
  <si>
    <t xml:space="preserve">Hold &amp; Mute</t>
  </si>
  <si>
    <t xml:space="preserve">bp-mabdel180</t>
  </si>
  <si>
    <t xml:space="preserve">2159360697</t>
  </si>
  <si>
    <t xml:space="preserve">failed to recap cst failed to get reason for calling</t>
  </si>
  <si>
    <t xml:space="preserve">2159047610</t>
  </si>
  <si>
    <t xml:space="preserve">hold with ECM</t>
  </si>
  <si>
    <t xml:space="preserve">2159380967</t>
  </si>
  <si>
    <t xml:space="preserve">ECM was down</t>
  </si>
  <si>
    <t xml:space="preserve">2158559335</t>
  </si>
  <si>
    <t xml:space="preserve">cst disconnected the service</t>
  </si>
  <si>
    <t xml:space="preserve">2159772149</t>
  </si>
  <si>
    <t xml:space="preserve">"CST called as he was watching match and it does not work except from his home wifi and not working on his cellular data  agent doub lechecked his information to ensure if streaming service is only available to wifi  CST was in a hurry and agent confirmed he will be as quick as possible  mobile service was with another provider  CST was not satisfied with the idea that he needed to be connected with WIFI  agent tried to offer a line for the CST since the CST is using Tmobile - yet the cst was not satisfied "</t>
  </si>
  <si>
    <t xml:space="preserve">2160178710</t>
  </si>
  <si>
    <t xml:space="preserve">Lack of Empathy - All services were out and CX was upset about the tech date and wanted someone for today - No SSO provided about the tech </t>
  </si>
  <si>
    <t xml:space="preserve">2159946390</t>
  </si>
  <si>
    <t xml:space="preserve">call dropped agent didnt call the cx back , call avoidance </t>
  </si>
  <si>
    <t xml:space="preserve">2160203982</t>
  </si>
  <si>
    <t xml:space="preserve">lack of empathy especially we did credit the cx $25 but didnt try to relate tio the frustration of the cx </t>
  </si>
  <si>
    <t xml:space="preserve">2160106560</t>
  </si>
  <si>
    <t xml:space="preserve"> The customer requested a complimentary battery, and the agent assured them that they would follow up personally. The customer expressed skepticism about receiving the callback but agreed to be available at 4 PM for the follow-up., yet the agent failed to call the cx back within the time frame </t>
  </si>
  <si>
    <t xml:space="preserve">2159616295</t>
  </si>
  <si>
    <t xml:space="preserve">CST asked to speak to us rep since the beginning of the call due to bad experience with Philbin agent </t>
  </si>
  <si>
    <t xml:space="preserve">"CST complaint that her sevices is going in and out and she was very fraustrated  agent tried to assist the cst and added her to the wait list- agent sent her a confirmation sms to control the tech waiting list  -agent confirmed the date for the tech for the day after - agent tried to offer a line - cst was not satisfied "</t>
  </si>
  <si>
    <t xml:space="preserve">2159573736</t>
  </si>
  <si>
    <t xml:space="preserve">cst called as her emails is not coming through -agent tried to let the cst go to connect cst did not get it at the first place agent tried to spell connect by letters CST mentioned "No reason to be mean"</t>
  </si>
  <si>
    <t xml:space="preserve">bp-ahassa049</t>
  </si>
  <si>
    <t xml:space="preserve">2159573612</t>
  </si>
  <si>
    <t xml:space="preserve">mute for 17 min and wrong resolution </t>
  </si>
  <si>
    <t xml:space="preserve">2159444106</t>
  </si>
  <si>
    <t xml:space="preserve">overpitching , over friendly , issue not resolved</t>
  </si>
  <si>
    <t xml:space="preserve">CST complaint from internet connection and transferred the call to sup </t>
  </si>
  <si>
    <t xml:space="preserve">2160175906</t>
  </si>
  <si>
    <t xml:space="preserve">rapport gone wrong: agent built rapport with customer, kept on humming on call and told customer "sorry but i like to hum while working" customer hung upon him</t>
  </si>
  <si>
    <t xml:space="preserve">2160123568</t>
  </si>
  <si>
    <t xml:space="preserve">customer had an old and new account, customer lost access to the old account online, customer wanted the old account access to pay her bill, call is incomplete on I3, coudln't see if the agent fixed the issue or transferred the call</t>
  </si>
  <si>
    <t xml:space="preserve">2160864895</t>
  </si>
  <si>
    <t xml:space="preserve">Delayed greeting after 8 secs // Pitching before resloving in the 2nd minute of the call // Pitch timing is awful // Sales Integrity</t>
  </si>
  <si>
    <t xml:space="preserve">2160863287</t>
  </si>
  <si>
    <t xml:space="preserve">Delayed Greeting // No resolution // Gave paramount to the customer and told her it's not our problem // Never opened an ITG on the call</t>
  </si>
  <si>
    <t xml:space="preserve">2160817491</t>
  </si>
  <si>
    <t xml:space="preserve">voice concern and agent followed ITG and went to a 2 hrs self-heal call was great for a new hire.</t>
  </si>
  <si>
    <t xml:space="preserve">2160176400</t>
  </si>
  <si>
    <t xml:space="preserve">Customer called on behlaf of her hasband - agent asked if he is around to verify the account -cst got the primery on the phone yet the agent was unresponsive- agent reported avaya issue at the time   </t>
  </si>
  <si>
    <t xml:space="preserve">2160945720</t>
  </si>
  <si>
    <t xml:space="preserve">setting expectations // didnt relate to the query </t>
  </si>
  <si>
    <t xml:space="preserve">2160947463</t>
  </si>
  <si>
    <t xml:space="preserve">delivery and clarity in the way of explaining the resolution to the cx </t>
  </si>
  <si>
    <t xml:space="preserve">2161232148</t>
  </si>
  <si>
    <t xml:space="preserve">he customer called to report that their services were not restored after severe storm damage affected their neighborhood. They mentioned that a technician was supposed to come out to fix the issue but did not arrive. </t>
  </si>
  <si>
    <t xml:space="preserve">2160813990</t>
  </si>
  <si>
    <t xml:space="preserve">he say sir alot , no structure to the call or call flow , he can't express himself </t>
  </si>
  <si>
    <t xml:space="preserve">2160979009</t>
  </si>
  <si>
    <t xml:space="preserve">transfer call , the audio is fro another agent who hang up on him eventually </t>
  </si>
  <si>
    <t xml:space="preserve">2160913052</t>
  </si>
  <si>
    <t xml:space="preserve">transfer call</t>
  </si>
  <si>
    <t xml:space="preserve">2160914992</t>
  </si>
  <si>
    <t xml:space="preserve">Transfer to movers</t>
  </si>
  <si>
    <t xml:space="preserve">2160862249</t>
  </si>
  <si>
    <t xml:space="preserve">customer had a problem with his email, agent was able to fix the issue, agent asked customer if he is happy about the resolution and customer answered yes and wanted no more help, no reason for the negative feedback</t>
  </si>
  <si>
    <t xml:space="preserve">2160945671</t>
  </si>
  <si>
    <t xml:space="preserve">2160971726</t>
  </si>
  <si>
    <t xml:space="preserve">customer had a problem with internet and phone, agent sent a tech, but agent was suspiciously hesitant while talking and stopping mid-sentence for no reason, customer stated "i'm not happy with this service" and hung up</t>
  </si>
  <si>
    <t xml:space="preserve">2161210116</t>
  </si>
  <si>
    <t xml:space="preserve">TV Outage, Agent tried to troubleshoot but ITG went to the outage part and agent set expectations about it.</t>
  </si>
  <si>
    <t xml:space="preserve">2161258935</t>
  </si>
  <si>
    <t xml:space="preserve">2161430743</t>
  </si>
  <si>
    <t xml:space="preserve">the agent lacked the emotional intelligence and eventually call got escalated to a supervisor //The agent confirmed a new appointment for the 18th from 2 to 4 PM and placed the customer on a waiting list for any cancellations. The customer expressed frustration and requested to speak with a supervisor</t>
  </si>
  <si>
    <t xml:space="preserve">2161227573</t>
  </si>
  <si>
    <t xml:space="preserve">agent didnt check on the notes , the cx asked him not o repeat himself , the agent was not 100% engaged with the cx nor focused on fixing the query </t>
  </si>
  <si>
    <t xml:space="preserve">2161195404</t>
  </si>
  <si>
    <t xml:space="preserve">empty call</t>
  </si>
  <si>
    <t xml:space="preserve">2160909445</t>
  </si>
  <si>
    <t xml:space="preserve">CST complaint from internet issue and he mentioned he already did all of the troubleshooting from his end and still not working - agent tried to offer a free phone line - took the IMEI from the CST -phone was locked from the other carrier - agent tried to check with the cst how much he is paying cst was not intrusted - agent told the cst he is on the waiting list </t>
  </si>
  <si>
    <t xml:space="preserve">100020195317815285852026-06-15 10:20:08</t>
  </si>
  <si>
    <t xml:space="preserve">cst needed to schedule a tech visit -agent mentioned she will schedule the tech to 16th yet the cst needed a tech on th same day -explained how the waiting list works if there is any available slots - agent mentioned she will call the cst back within one hour to confirm with him -agent ensured the cst she was trying to do her best </t>
  </si>
  <si>
    <t xml:space="preserve">2161280274</t>
  </si>
  <si>
    <t xml:space="preserve">CST called The  regarding a compatibility issue with their cable box. cst was complaining from a new DVR box was not sent as promised. agent adviced the cst to go to the store to exchange the old box or wait for a new box to be shipped after returning the old one. </t>
  </si>
  <si>
    <t xml:space="preserve">2161751156</t>
  </si>
  <si>
    <t xml:space="preserve">mute hold mute hold mute hold, no resolution sent a tech </t>
  </si>
  <si>
    <t xml:space="preserve">2161759269</t>
  </si>
  <si>
    <t xml:space="preserve">the cx got misled by a previous rep that she shan't pay the full amount for the service to be restored </t>
  </si>
  <si>
    <t xml:space="preserve">2161723067</t>
  </si>
  <si>
    <t xml:space="preserve">upselling , not solving then selling , mainly over pitching </t>
  </si>
  <si>
    <t xml:space="preserve">2161635685</t>
  </si>
  <si>
    <t xml:space="preserve">cx wanna credit over the limit whicj is $100 for outage of 4 days , agent handled as much as possible but the cx eventually insisted on the $100 and gave detractorr </t>
  </si>
  <si>
    <t xml:space="preserve">2161588800</t>
  </si>
  <si>
    <t xml:space="preserve">agent didnt reschedule a tech given by the fact that this is 1 h self heal not 2 </t>
  </si>
  <si>
    <t xml:space="preserve">2161721382</t>
  </si>
  <si>
    <t xml:space="preserve">cs was asking in sup and refused to troubleshoot </t>
  </si>
  <si>
    <t xml:space="preserve">2161810949</t>
  </si>
  <si>
    <t xml:space="preserve">spanish cx </t>
  </si>
  <si>
    <t xml:space="preserve">2161196167</t>
  </si>
  <si>
    <t xml:space="preserve">CST called to check ass his internet was down -agent showed empathy and added the cst on the waiting list for the day after -cst was satisfied   </t>
  </si>
  <si>
    <t xml:space="preserve">2161227852</t>
  </si>
  <si>
    <t xml:space="preserve">CST complaint that she got an Ipad and called to retun it and somone told her somone will come to collect it - cst was not informed about the ipad charges and she wanted to retun it after 60 days  -call TR to sup as the cst was not eligible for the return </t>
  </si>
  <si>
    <t xml:space="preserve">2161251007</t>
  </si>
  <si>
    <t xml:space="preserve">"CST called as there is a problem with the internet and she is working from home-tech took the equipment with him 3 years ago and she is still getting billed - cst complaint from the charges that she is getting overchargs and needed to follow higher speed with no need confirmed a pending investigation for credits, and applied a one-time credit of $60. The customer was informed that they would only owe $4.73 on their next bill. The agent attempted to assist with the Peacock activation issue but was unable to reach a representative from Peacock. The customer decided to contact Peacock directly for further assistance.  "</t>
  </si>
  <si>
    <t xml:space="preserve">2161610943</t>
  </si>
  <si>
    <t xml:space="preserve">she kept complaining about the ivr in the first and last of the call </t>
  </si>
  <si>
    <t xml:space="preserve">2161755044</t>
  </si>
  <si>
    <t xml:space="preserve">2161838250</t>
  </si>
  <si>
    <t xml:space="preserve">needs earlier appt. but there was no availability </t>
  </si>
  <si>
    <t xml:space="preserve">bp-stawfi730</t>
  </si>
  <si>
    <t xml:space="preserve">10004022901781719242</t>
  </si>
  <si>
    <t xml:space="preserve">lack of active listening , exceeding mute , no proper questions neither empathy </t>
  </si>
  <si>
    <t xml:space="preserve">2161723543</t>
  </si>
  <si>
    <t xml:space="preserve">mute exceeding , call avoidance , lack of active  listening , hold abuse , wrong itg </t>
  </si>
  <si>
    <t xml:space="preserve">2161577295</t>
  </si>
  <si>
    <t xml:space="preserve">customer had a problem with his internet speed, agent followed ITG, no resolution, so agent started improvising and saying non-sense, customer picked up on that and started ignoring what the agent is saying and told him i will go to get a new cable, agent agreed, case will be an AICR hit on top of NPS hit</t>
  </si>
  <si>
    <t xml:space="preserve">2161753303</t>
  </si>
  <si>
    <t xml:space="preserve">customer had a problem with her internet, agent verified customer, call dropped, agent called back and helped customer, yet customer was not happy about the tech visit resolution</t>
  </si>
  <si>
    <t xml:space="preserve">2162001068</t>
  </si>
  <si>
    <t xml:space="preserve">2162223093</t>
  </si>
  <si>
    <t xml:space="preserve">No Paraphrasing of the customer's concern, NO AER, Mutes, NO LOQs, Active listening, No resolution we had a bug in scheduling a tech at that day.</t>
  </si>
  <si>
    <t xml:space="preserve">2162029304</t>
  </si>
  <si>
    <t xml:space="preserve">VPN and slow connection</t>
  </si>
  <si>
    <t xml:space="preserve">2161960837</t>
  </si>
  <si>
    <t xml:space="preserve">lack of empathy</t>
  </si>
  <si>
    <t xml:space="preserve">2161593048</t>
  </si>
  <si>
    <t xml:space="preserve">2161459815</t>
  </si>
  <si>
    <t xml:space="preserve">Video Remote</t>
  </si>
  <si>
    <t xml:space="preserve">2161229576</t>
  </si>
  <si>
    <t xml:space="preserve">extra line no avail</t>
  </si>
  <si>
    <t xml:space="preserve">2162100437</t>
  </si>
  <si>
    <t xml:space="preserve">active listening// over pitching </t>
  </si>
  <si>
    <t xml:space="preserve">2162002656</t>
  </si>
  <si>
    <t xml:space="preserve">handling skills in explaining the resolution to the cx about the autopay to cut some of his expenses  , lack of empathy </t>
  </si>
  <si>
    <t xml:space="preserve">2162006814</t>
  </si>
  <si>
    <t xml:space="preserve">setting expectations part wasnt clear about the tech timeframe </t>
  </si>
  <si>
    <t xml:space="preserve">2162128148</t>
  </si>
  <si>
    <t xml:space="preserve">intonation was a bit aggressive , lack of empathy </t>
  </si>
  <si>
    <t xml:space="preserve">2162863454</t>
  </si>
  <si>
    <t xml:space="preserve">No AER, Excessive Mute (23 mins of mute out of a 34 mins call), Work Avoidance </t>
  </si>
  <si>
    <t xml:space="preserve">No AER, Cutting the customer a lot, Excessive Mute, No ITG LOQs, Selling Before Resolution, No self-heal Explanation, Singing in the call at 42:28</t>
  </si>
  <si>
    <t xml:space="preserve">2163013955</t>
  </si>
  <si>
    <t xml:space="preserve">No AER, No paraphrasing of the concern to be aligned from the get go, No ITG LOQs, Poor Self-Heal Explanation, No end of call recap.</t>
  </si>
  <si>
    <t xml:space="preserve">2163005922</t>
  </si>
  <si>
    <t xml:space="preserve">No AER, No paraphrasing of the concern to be aligned from the get go, No ITG LOQs, Poor Self-Heal Explainatian, No end of call recap.</t>
  </si>
  <si>
    <t xml:space="preserve">No AER, No Resolution, Unprofessional, Send the cx to the store.</t>
  </si>
  <si>
    <t xml:space="preserve">2163028715</t>
  </si>
  <si>
    <t xml:space="preserve">No AER, No Sanas, No ITG LOQs, Went to schedule a tech and never came back to the customer.</t>
  </si>
  <si>
    <t xml:space="preserve">2163049013</t>
  </si>
  <si>
    <t xml:space="preserve">No AER, No ITG LOQs, Mutes, No Sanas, No end of call recap.</t>
  </si>
  <si>
    <t xml:space="preserve">2163066748</t>
  </si>
  <si>
    <t xml:space="preserve">Lack of Energy, No AER, No Sanas, No ITG LOQs, Hold on with me on the line and never came back or called back.</t>
  </si>
  <si>
    <t xml:space="preserve">2163180353</t>
  </si>
  <si>
    <t xml:space="preserve">the agent use negative empathy , language barrier  and have trouble to handle angry customer and </t>
  </si>
  <si>
    <t xml:space="preserve">2163084365</t>
  </si>
  <si>
    <t xml:space="preserve">tonality , failed to call back </t>
  </si>
  <si>
    <t xml:space="preserve">2162895175</t>
  </si>
  <si>
    <t xml:space="preserve">2163030697</t>
  </si>
  <si>
    <t xml:space="preserve">customer called during the TV outage issue, agent was unable to fix the issue and explained that it was an outage, customer was not happy </t>
  </si>
  <si>
    <t xml:space="preserve">2163069467</t>
  </si>
  <si>
    <t xml:space="preserve">customer called in regards to TV outage, agent advised the customer, customer was not happy, agent didn't advise of an SSO</t>
  </si>
  <si>
    <t xml:space="preserve">2163195029</t>
  </si>
  <si>
    <t xml:space="preserve">customer had a problem with his internet, agent tried to help with the situation for 1H, the call came to an end after agent found out that Modem needs to be replaced so he asked customer to visit a store to get it replaced</t>
  </si>
  <si>
    <t xml:space="preserve">2163469740</t>
  </si>
  <si>
    <t xml:space="preserve">customer had a problem with her internet, agent verified customer, call is incompelete on I3</t>
  </si>
  <si>
    <t xml:space="preserve">2163374493</t>
  </si>
  <si>
    <t xml:space="preserve">Overpitching , education The customer called to express frustration over a lack of Internet service for &lt;DATE_TIME&gt; following an update. Despite having an appointment scheduled for a technician, she was &lt;US_DRIVER_LICENSE&gt; with the service and the $15 credit offered for the inconvenience. The agent provided an exception for a mobile hotspot to help cover the customer's Internet needs while waiting for the technician. However, the customer was unhappy with the compatibility issues regarding her iPhone and the overall service experience.</t>
  </si>
  <si>
    <t xml:space="preserve">2163322454</t>
  </si>
  <si>
    <t xml:space="preserve">rudeness , no escalation , didn't communicate with cs , no acknowlgment , left the cs on mute </t>
  </si>
  <si>
    <t xml:space="preserve">2163196621</t>
  </si>
  <si>
    <t xml:space="preserve">the call dropped while the agent on hold , called her with no respond </t>
  </si>
  <si>
    <t xml:space="preserve">2163317258</t>
  </si>
  <si>
    <t xml:space="preserve">2164263888</t>
  </si>
  <si>
    <t xml:space="preserve">ghost call </t>
  </si>
  <si>
    <t xml:space="preserve">2162918149</t>
  </si>
  <si>
    <t xml:space="preserve">CST complaint that the TV is not working properly and she has a very bad signal for the screen - agent did the troubleshooting through ITG without asking the proper queestions - cst tested the screen yet it was still flashing - agent did another refresh and informed the cst that if she sees any change it is him working on the system - agent tried troubleshooting and confirmed to the customer that equipment  is working fine -agent confirmed that it is working fine </t>
  </si>
  <si>
    <t xml:space="preserve">2163004433</t>
  </si>
  <si>
    <t xml:space="preserve">cst was calling to make an appoinment with retail sales rep- cst was trying to reach a specific rep on the store and the cst refused to complete anything over the call </t>
  </si>
  <si>
    <t xml:space="preserve">2163496072</t>
  </si>
  <si>
    <t xml:space="preserve">customer had a problem with her modem connection, agent got customer a tech visit to fix the issue, no SSO was discussed, agent took so long to answer customer's questions</t>
  </si>
  <si>
    <t xml:space="preserve">10003002541782392829</t>
  </si>
  <si>
    <t xml:space="preserve">customer had a problem with her tech visit, tech didn;t show up, agent advised customer that he will try to check what happened to her appontment and never came back, there was 20min of silence on the call</t>
  </si>
  <si>
    <t xml:space="preserve">2163799679</t>
  </si>
  <si>
    <t xml:space="preserve">customer called since she had a problem with internet, agent was running ITG , customer went completely silent during the call, agent kept on calling for customer, called back no answer </t>
  </si>
  <si>
    <t xml:space="preserve">2163822019</t>
  </si>
  <si>
    <t xml:space="preserve">customer called to activate the tv box and program the remote, mid TBS everything worked, customer said i'm good and hung up</t>
  </si>
  <si>
    <t xml:space="preserve">2163923924</t>
  </si>
  <si>
    <t xml:space="preserve">customer was looking to see how much would it be to change from cable to streaming service, customer was advised of plans and prices, yet customer was not happy that prices didn't meet her expectations and she felt like she ddn't get the loyalty discount she deserves</t>
  </si>
  <si>
    <t xml:space="preserve">2163942259</t>
  </si>
  <si>
    <t xml:space="preserve">customer had a problem with her TV, agent tried for an hour to get it fixed, yet to no vail, agent created a tech as per ITG </t>
  </si>
  <si>
    <t xml:space="preserve">2163031824</t>
  </si>
  <si>
    <t xml:space="preserve">Discover need - Empathy</t>
  </si>
  <si>
    <t xml:space="preserve">2163151516</t>
  </si>
  <si>
    <t xml:space="preserve">2163297760</t>
  </si>
  <si>
    <t xml:space="preserve">Discover need - Make it effortless</t>
  </si>
  <si>
    <t xml:space="preserve">2164090994</t>
  </si>
  <si>
    <t xml:space="preserve">customer wanted to get a tech visit since the prev tech didn't help, customer got the tech she wanted, was happy by the end of the call</t>
  </si>
  <si>
    <t xml:space="preserve">2163756097</t>
  </si>
  <si>
    <t xml:space="preserve">CST complaint that the Tech reached his home without schedule and now he is fraustrated that he needs till he got scheduled again - agent verified the account - agent tried to handle the cst to wait for another day and schedule him on the waitlist -cst was still not satisfied and asked for supervisor - agent tried to handle him -</t>
  </si>
  <si>
    <t xml:space="preserve">2164104629</t>
  </si>
  <si>
    <t xml:space="preserve">customer had a problem with her ineternet being slower than she signed up for, agent tried to help ,customer got frustrated by the end of the call and hung up</t>
  </si>
  <si>
    <t xml:space="preserve">2164088988</t>
  </si>
  <si>
    <t xml:space="preserve">customer got a new modem, she did expect that her modem should work right away agent tried to fix the issue, yet it required a Tech visit, customer gave a negative feedback since she was expecting her service to work same day</t>
  </si>
  <si>
    <t xml:space="preserve">bp-yabbas326</t>
  </si>
  <si>
    <t xml:space="preserve">2165450163</t>
  </si>
  <si>
    <t xml:space="preserve">No Call Flow // Lack of Empathy and AER // Sales centric and pitching before resolution // No ITG LOQs </t>
  </si>
  <si>
    <t xml:space="preserve">bp-kmosta662</t>
  </si>
  <si>
    <t xml:space="preserve">2165263259</t>
  </si>
  <si>
    <t xml:space="preserve">Avg call flow and AER // Jumping to conclusions Quickly // Skipping ITG LOQs // Offering credits </t>
  </si>
  <si>
    <t xml:space="preserve">bp-sabdel506</t>
  </si>
  <si>
    <t xml:space="preserve">2165407104</t>
  </si>
  <si>
    <t xml:space="preserve">Careless call handling // excessive mutes // No call structure // </t>
  </si>
  <si>
    <t xml:space="preserve">2163752312</t>
  </si>
  <si>
    <t xml:space="preserve">CST was calling as she is having  problem with her TV -  the agent checked and found that the TV boxes were not syncing with the server-call dropped agent called back</t>
  </si>
  <si>
    <t xml:space="preserve">2164221966</t>
  </si>
  <si>
    <t xml:space="preserve">call dropped within calling </t>
  </si>
  <si>
    <t xml:space="preserve">2164200050</t>
  </si>
  <si>
    <t xml:space="preserve">issue not resolved After a lengthy discussion, the agent confirmed that the original appointment was incorrectly recorded and scheduled a new appointment for &lt;DATE_TIME&gt; 8 and 10 AM. The customer expressed frustration over the confusion and the time spent on the call.</t>
  </si>
  <si>
    <t xml:space="preserve">10006007071782747541</t>
  </si>
  <si>
    <t xml:space="preserve">2165335607</t>
  </si>
  <si>
    <t xml:space="preserve">customer wanted to get a tech visit, agent did it and adivsed customer with the date and time, customer ended the call feeling happy</t>
  </si>
  <si>
    <t xml:space="preserve">2165403690</t>
  </si>
  <si>
    <t xml:space="preserve">customer had a very angry customer, agent went through the process of fixing the issue without trying to get customer to calm down, evantually customer wanted to speak to a manager</t>
  </si>
  <si>
    <t xml:space="preserve">2165255618</t>
  </si>
  <si>
    <t xml:space="preserve">customer had customer had a problem with her internet at the beg of the call, customer clarified that she is working from home, mid call agent mentioned that he is from egypt, customer continued the call feeling dissatified since agent will never feel her pain from the otherside of the world</t>
  </si>
  <si>
    <t xml:space="preserve">2165444779</t>
  </si>
  <si>
    <t xml:space="preserve">customer was calling from a landline with TV issue, agent restarted the modem, call dropped, agent called back immediatly, no answer, nothing was done</t>
  </si>
  <si>
    <t xml:space="preserve">2165545305</t>
  </si>
  <si>
    <t xml:space="preserve">customer had a problem with his internet, agent scheduled a tech, yet, agent spent 0 time trying to handle customer's anger</t>
  </si>
  <si>
    <t xml:space="preserve">2165743672</t>
  </si>
  <si>
    <t xml:space="preserve">customer had an outage, customer called in since outage should be over, yet the service was never restored, agent did double check it and the case was valid, so he sent a tech visit to fix the issue</t>
  </si>
  <si>
    <t xml:space="preserve">bp-mibrah566</t>
  </si>
  <si>
    <t xml:space="preserve">2165791944</t>
  </si>
  <si>
    <t xml:space="preserve">No call structure // Not using a professional information delivery // Tone of voice // No AER </t>
  </si>
  <si>
    <t xml:space="preserve">2165956130</t>
  </si>
  <si>
    <t xml:space="preserve">Active listening // Billing Knowledge Gap // No AER // No call structure </t>
  </si>
  <si>
    <t xml:space="preserve">2166094553</t>
  </si>
  <si>
    <t xml:space="preserve">CX wanted a sooner appointment agent tried but there is no avail // Lack of ownership and AER </t>
  </si>
  <si>
    <t xml:space="preserve">2166461448</t>
  </si>
  <si>
    <t xml:space="preserve">Knowledge Gap // No AER // No education on the products for the new customer // </t>
  </si>
  <si>
    <t xml:space="preserve">2165846631</t>
  </si>
  <si>
    <t xml:space="preserve">customer came in with an offer in mind to get, customer saw the offer on the TV, agent was unable to find the offer on our side of system , agent advised customer of how to get it with the online access, customer was super happy by the end of the call</t>
  </si>
  <si>
    <t xml:space="preserve">2166194983</t>
  </si>
  <si>
    <t xml:space="preserve">customer had a problem with her phone, agent stopped the call mid TBS and advised customer that he will call back, he never did</t>
  </si>
  <si>
    <t xml:space="preserve">2166200319</t>
  </si>
  <si>
    <t xml:space="preserve">customer had an extra charge on her bill. agent clarified that the charges are valid ,customer got frustrated and hung up the line</t>
  </si>
  <si>
    <t xml:space="preserve">2166258821</t>
  </si>
  <si>
    <t xml:space="preserve">customer had a problem with his internet, agent TS the case for 30min, then set an appointment for the customer to get a tech and get the problem fixed</t>
  </si>
  <si>
    <t xml:space="preserve">2166366477</t>
  </si>
  <si>
    <t xml:space="preserve">APP issue</t>
  </si>
  <si>
    <t xml:space="preserve">bp-aismae502</t>
  </si>
  <si>
    <t xml:space="preserve">2166369743</t>
  </si>
  <si>
    <t xml:space="preserve">customer called to get his internet fixed, customer was sent a new modem, setting up the new modem was discussed, customer gave a negative feedback due to her having to wait for the new modem</t>
  </si>
  <si>
    <t xml:space="preserve">2166368759</t>
  </si>
  <si>
    <t xml:space="preserve">customer had a problem with his channels, agent troubleshoot the case and got to the point where customer had his channels all resolved except for fox news which we did have an outage with, so customer was ok with that and ended the call on good terms</t>
  </si>
  <si>
    <t xml:space="preserve">2165794021</t>
  </si>
  <si>
    <t xml:space="preserve">mute exceeding by 10 min. then another 10 min , misleading for a sale</t>
  </si>
  <si>
    <t xml:space="preserve">2166119213</t>
  </si>
  <si>
    <t xml:space="preserve">no active listening, lack fo focus</t>
  </si>
  <si>
    <t xml:space="preserve">2166365348</t>
  </si>
  <si>
    <t xml:space="preserve">customer had a problem with her phone, agent tried to build rapport with customer saying "I don't care about the service, I care about you" customer was not calling us for the sake of love, therefore customer provided a negative feedback</t>
  </si>
  <si>
    <t xml:space="preserve">2166123641</t>
  </si>
  <si>
    <t xml:space="preserve">fraud case , account created without the cs knowledge </t>
  </si>
  <si>
    <t xml:space="preserve">2166342821</t>
  </si>
  <si>
    <t xml:space="preserve">customer had an outage, agent didn't say that until customer directly answered the call, agent tried to pitch for a sale, customer didn't accept </t>
  </si>
  <si>
    <t xml:space="preserve">2166124955</t>
  </si>
  <si>
    <t xml:space="preserve">over authentication and no well to help </t>
  </si>
  <si>
    <t xml:space="preserve">2165636271</t>
  </si>
  <si>
    <t xml:space="preserve">mute for 5 min. </t>
  </si>
  <si>
    <t xml:space="preserve">2163816348</t>
  </si>
  <si>
    <t xml:space="preserve">CST asked for her order number - fraustrated that she never had mobile service with us and she has a problem with the wifi - cst could not verify the account through the cst code - after the account verification the agent informed the cst that the order was pending verification and shse should recieve an email - cst did not recieve any - agent confirmed he will check with order verification -went the extra mile and confirmed to the cst that her bill will be going higher due to contract ends - infromed the cst about the new pricing with the xpro - kept the cst updated while contacting chat support - informed the cst she need to contact order verification and provided her with the number </t>
  </si>
  <si>
    <t xml:space="preserve">2166688697</t>
  </si>
  <si>
    <t xml:space="preserve">speaks Arabic in the call , essive mute , no focus with the cs  </t>
  </si>
  <si>
    <t xml:space="preserve">2166634378</t>
  </si>
  <si>
    <t xml:space="preserve">mislead the cs , didn't until the itg </t>
  </si>
  <si>
    <t xml:space="preserve">2166108236</t>
  </si>
  <si>
    <t xml:space="preserve">Agent mentioned the greeting and the call dropped </t>
  </si>
  <si>
    <t xml:space="preserve">2166086875</t>
  </si>
  <si>
    <t xml:space="preserve">2166309729</t>
  </si>
  <si>
    <t xml:space="preserve">TALKS TO HIMSELF IN THE CALL AND SAYS WE WANT TO DIE  !!!!</t>
  </si>
  <si>
    <t xml:space="preserve">2164201872</t>
  </si>
  <si>
    <t xml:space="preserve">"CST complaint from the internet connection - due to seasonal disconnect - agent mentioned to the customer that he has wrong date for the seosnal disconect -agent told the cst that he is running diagnostics and it shows offline modem - agent then told the cst that he will schedule tech for him.  I found no ITG - neither ECM TKT "</t>
  </si>
  <si>
    <t xml:space="preserve">2166460508</t>
  </si>
  <si>
    <t xml:space="preserve">customer called in with a remote issue, agent didn't ask enough probbing questions, no closer spiel was discussed, resolution provided was inaccurate</t>
  </si>
  <si>
    <t xml:space="preserve">2166603052</t>
  </si>
  <si>
    <t xml:space="preserve">customer was having a problem with her internet and TV, agent managed to fix the issue, yet customer gave a negative feedback due to her dissatisfaction about the pushy way agent offered sales through</t>
  </si>
  <si>
    <t xml:space="preserve">2166526776</t>
  </si>
  <si>
    <t xml:space="preserve">agent was unable to fix a simple accessibility issue on TV??? </t>
  </si>
  <si>
    <t xml:space="preserve">2166634384</t>
  </si>
  <si>
    <t xml:space="preserve">customer called in with a very slow internet and no upload at all, agent went through ITG, resolution was self heal, customer provided negative feedback due to her frustration that this is affecting her job</t>
  </si>
  <si>
    <t xml:space="preserve">2166658318</t>
  </si>
  <si>
    <t xml:space="preserve">customer had a problem with her internet, agent provided a tech visit, custumer was not happy about the date he got the tech on</t>
  </si>
  <si>
    <t xml:space="preserve">2166662161</t>
  </si>
  <si>
    <t xml:space="preserve">customer was not happy about her internet speed she is getting, customer has alot of devices connected to the internet, case was transferred to a supervisor to handle the call supervisor didn't provide customer with the resolution she was provided</t>
  </si>
  <si>
    <t xml:space="preserve">2166688828</t>
  </si>
  <si>
    <t xml:space="preserve">customer had an inconsistant internet, agent kept on forgetting why the customer is calling and asking him about the reason, customer had to repeat him multiple times during the call, agent spent 1H30min trying to convence customer to get a new line instead of trying to help him fix his internet issue</t>
  </si>
  <si>
    <t xml:space="preserve">2166821939</t>
  </si>
  <si>
    <t xml:space="preserve">customer called because of an outage, customer was requesting the damages done by the outage up to 47$ per outage hours, agent denied her request, customer was still unhappy because of the outage,</t>
  </si>
  <si>
    <t xml:space="preserve">2165754005</t>
  </si>
  <si>
    <t xml:space="preserve">call was good , the cs was angry from the previous agent</t>
  </si>
  <si>
    <t xml:space="preserve">2166254406</t>
  </si>
  <si>
    <t xml:space="preserve">no apology, empathy nor assurance. no active listening, left the cx without informing them for a little while then informed the cx to wait on mute, left the call on mute after ending the interaction with the cx for almost 2 minutes </t>
  </si>
  <si>
    <t xml:space="preserve">2166150323</t>
  </si>
  <si>
    <t xml:space="preserve">na</t>
  </si>
  <si>
    <t xml:space="preserve">2166147755</t>
  </si>
  <si>
    <t xml:space="preserve">no discovery questions, no active listening and proceeded with offering a sale before positioning the sale or attempting troubleshooting and sent a tech request right away </t>
  </si>
  <si>
    <t xml:space="preserve">2166306514</t>
  </si>
  <si>
    <t xml:space="preserve">a 15 min call with 12 min mute total, provided zero troubleshooting steps and skipped to getting a tech </t>
  </si>
  <si>
    <t xml:space="preserve">2163915855</t>
  </si>
  <si>
    <t xml:space="preserve">5 sec dead air before introduction, consistent mute and repeat, poor active listening, shows the cx lack of knowledge when the cx ask about the process offering a sale without positioning or discovery questions </t>
  </si>
  <si>
    <t xml:space="preserve">2164066622</t>
  </si>
  <si>
    <t xml:space="preserve">active listening, repeat questions and excessive mute for 3 min </t>
  </si>
  <si>
    <t xml:space="preserve">2163504492</t>
  </si>
  <si>
    <t xml:space="preserve">no assurance, empathy nor assurance. no active listening, excessive mute and knowledge issue in the drop bury process </t>
  </si>
  <si>
    <t xml:space="preserve">2164230644</t>
  </si>
  <si>
    <t xml:space="preserve">no apology, empathy or assurance, no discovery questions, question tones, essive mute</t>
  </si>
  <si>
    <t xml:space="preserve">2163801399</t>
  </si>
  <si>
    <t xml:space="preserve">false promise for tech</t>
  </si>
  <si>
    <t xml:space="preserve">2163215188</t>
  </si>
  <si>
    <t xml:space="preserve">VPN connection error</t>
  </si>
  <si>
    <t xml:space="preserve">2164071430</t>
  </si>
  <si>
    <t xml:space="preserve">cannot deliver the msg to the cst</t>
  </si>
  <si>
    <t xml:space="preserve">2162963789</t>
  </si>
  <si>
    <t xml:space="preserve">follow incorrect ITG</t>
  </si>
  <si>
    <t xml:space="preserve">2166146240</t>
  </si>
  <si>
    <t xml:space="preserve">no structured call flow</t>
  </si>
  <si>
    <t xml:space="preserve">2166108132</t>
  </si>
  <si>
    <t xml:space="preserve">deliver outage issue to the cst</t>
  </si>
  <si>
    <t xml:space="preserve">2165818164</t>
  </si>
  <si>
    <t xml:space="preserve">required ITG was different issue</t>
  </si>
  <si>
    <t xml:space="preserve">2163900667</t>
  </si>
  <si>
    <t xml:space="preserve">7 outages last 2 weeks mini 4 hours</t>
  </si>
  <si>
    <t xml:space="preserve">2166143801</t>
  </si>
  <si>
    <t xml:space="preserve">cst was eligible for compensation</t>
  </si>
  <si>
    <t xml:space="preserve">2165812032</t>
  </si>
  <si>
    <t xml:space="preserve">sanas</t>
  </si>
  <si>
    <t xml:space="preserve">2163070619</t>
  </si>
  <si>
    <t xml:space="preserve">no acknowledge or empathy</t>
  </si>
  <si>
    <t xml:space="preserve">2163012283</t>
  </si>
  <si>
    <t xml:space="preserve">over retention</t>
  </si>
  <si>
    <t xml:space="preserve">2163936776</t>
  </si>
  <si>
    <t xml:space="preserve">no empathy, no acknowledge, no recap, tried to pitch for GSR without solving the issue</t>
  </si>
  <si>
    <t xml:space="preserve">2163913480</t>
  </si>
  <si>
    <t xml:space="preserve">agent cannot deliever msg to the cst and blaming the system and process</t>
  </si>
  <si>
    <t xml:space="preserve">2163552858</t>
  </si>
  <si>
    <t xml:space="preserve">missing 5 metrics of the call flow</t>
  </si>
  <si>
    <t xml:space="preserve">2163197566</t>
  </si>
  <si>
    <t xml:space="preserve">2166197831</t>
  </si>
  <si>
    <t xml:space="preserve">cst needed the phone number of her husband</t>
  </si>
  <si>
    <t xml:space="preserve">2163487499</t>
  </si>
  <si>
    <t xml:space="preserve">2163214964</t>
  </si>
  <si>
    <t xml:space="preserve">no appointment due to storm</t>
  </si>
  <si>
    <t xml:space="preserve">2162946020</t>
  </si>
  <si>
    <t xml:space="preserve">2163467023</t>
  </si>
  <si>
    <t xml:space="preserve">outage due to storm</t>
  </si>
  <si>
    <t xml:space="preserve">2165841787</t>
  </si>
  <si>
    <t xml:space="preserve">delay in ECM ticket</t>
  </si>
  <si>
    <t xml:space="preserve">2163939853</t>
  </si>
  <si>
    <t xml:space="preserve">Mute</t>
  </si>
  <si>
    <t xml:space="preserve">2166124737</t>
  </si>
  <si>
    <t xml:space="preserve">call flow</t>
  </si>
  <si>
    <t xml:space="preserve">2166264570</t>
  </si>
  <si>
    <t xml:space="preserve">hold &amp; Article</t>
  </si>
  <si>
    <t xml:space="preserve">2165756224</t>
  </si>
  <si>
    <t xml:space="preserve">need to deliver all LOQs to cst and feedback </t>
  </si>
  <si>
    <t xml:space="preserve">2166604509</t>
  </si>
  <si>
    <t xml:space="preserve">scheduled TC</t>
  </si>
  <si>
    <t xml:space="preserve">2163687194</t>
  </si>
  <si>
    <t xml:space="preserve">cannot transfer to CSA</t>
  </si>
  <si>
    <t xml:space="preserve">2164177796</t>
  </si>
  <si>
    <t xml:space="preserve">now acknowledge for the issue and no empathy</t>
  </si>
  <si>
    <t xml:space="preserve">2165265852</t>
  </si>
  <si>
    <t xml:space="preserve">no TC due to outage</t>
  </si>
  <si>
    <t xml:space="preserve">2163210393</t>
  </si>
  <si>
    <t xml:space="preserve">2163497941</t>
  </si>
  <si>
    <t xml:space="preserve">The customer called to confirm a missed appointment that was originally scheduled for this morning. The agent checked the account and confirmed a new appointment for tomorrow from 3 to 5. The agent also offered a $10 loyalty discount for 12 months as compensation for the inconvenience and explained a free hotspot service that could be used during outages.</t>
  </si>
  <si>
    <t xml:space="preserve">2166853517</t>
  </si>
  <si>
    <t xml:space="preserve">delivery and clarity (The customer called regarding issues accessing their Disney channel, which they believed was included in their package. The agent checked the account and confirmed that Disney was not bundled, leading to confusion. The customer expressed frustration over repeated attempts to log in and enter a verification code. The agent provided instructions but the customer continued to experience issues)</t>
  </si>
  <si>
    <t xml:space="preserve">2166836413</t>
  </si>
  <si>
    <t xml:space="preserve">The customer, Mike, called because their internet was down. After confirming their identity, the agent attempted troubleshooting but found no outages in the area. The agent suggested that there might be an issue with the cables outside the home and indicated that a technician would need to be scheduled. However, the customer expressed frustration with the agent's assistance and ultimately decided to hang up after 15 minutes without a clear resolution.</t>
  </si>
  <si>
    <t xml:space="preserve">2163958910</t>
  </si>
  <si>
    <t xml:space="preserve">delivery and clarity (The customer called to request a new cable box because their current one was not working. After confirming the customer's information, the agent explained the options available, including a charge for the box. The customer expressed frustration due to their disability and inability to visit a store. The agent agreed to send a technician to deliver a new box at no charge. An appointment was scheduled for Sunday, June 28, between 4 PM and 6 PM, with a confirmation call to be made 30 minutes prior to arrival.)</t>
  </si>
  <si>
    <t xml:space="preserve">2167521898</t>
  </si>
  <si>
    <t xml:space="preserve">wrong rating (The customer, Lisa, called because her TV was frozen while she was watching. The agent verified her account information and guided her through troubleshooting steps, including unplugging and replugging the TV and checking the internet connection. After performing troubleshooting, the TV started working again. Lisa expressed her appreciation for the agent's help at the end of the call.)</t>
  </si>
  <si>
    <t xml:space="preserve">2166840368</t>
  </si>
  <si>
    <t xml:space="preserve">customer had a problem with his internet , customer did have a tech visit but was unable to get the problem fixed, agent sent another one</t>
  </si>
  <si>
    <t xml:space="preserve">2166895623</t>
  </si>
  <si>
    <t xml:space="preserve">customer had a problem with her internet, customer kept on getting tech visits and no one actually goes so she ends up with a leave from her job for that day and nobody comes, call was incomplete on I3</t>
  </si>
  <si>
    <t xml:space="preserve">2166997320</t>
  </si>
  <si>
    <t xml:space="preserve">customer called with an issue with his internet, wanted to get a tech, customer provided him with a tech visit, agent used mute for over 4 min to get the tech done, customer still provided a negative feedback for the long wait</t>
  </si>
  <si>
    <t xml:space="preserve">2167027055</t>
  </si>
  <si>
    <t xml:space="preserve">call avoidance case, agent had customer on mute during a 50min call, mute was 30min, case has been sent to HR</t>
  </si>
  <si>
    <t xml:space="preserve">2167051477</t>
  </si>
  <si>
    <t xml:space="preserve">customer had a problem with his internet, has a very bad connection at home for his mobile lines and relies on wifi calling, agent advised that he will be restarting the modem, customer warned agent that call may drop, agent advised that he will be calling back, call was dropped and agent called back, yet he tried only once and customer couldn't answer</t>
  </si>
  <si>
    <t xml:space="preserve">2167397688</t>
  </si>
  <si>
    <t xml:space="preserve">customer called since he wanted to cancel out of anger since tech told him that he cant connect an ethernet cable into the modem, agent transferred the call to disconnection??</t>
  </si>
  <si>
    <t xml:space="preserve">2167057186</t>
  </si>
  <si>
    <t xml:space="preserve">"CST called to cancel her service or set end date agent asked for the reason and cst mentioned she is moving to complix apartment using diffrent provider  Hold for over 15 min  as per the screen record screen was locked then when it is open the agent was doing nothing on the system ""Agent told the cst that he is submitting a request for the retention department which is not true"""</t>
  </si>
  <si>
    <t xml:space="preserve">bp-mazzam572</t>
  </si>
  <si>
    <t xml:space="preserve">2167630819</t>
  </si>
  <si>
    <t xml:space="preserve">called the cx back , cx is complaining about having to pay for the premium subscribing for peacock, agent handled the cx as much as he could , explained it is not related to xfinity .  </t>
  </si>
  <si>
    <t xml:space="preserve">2167599976</t>
  </si>
  <si>
    <t xml:space="preserve"> agent handled the cx yet the empathy part needed some enhancement , The customer, Cynthia, contacted the agent about intermittent Internet issues that have persisted for days. She mentioned previous troubleshooting attempts that were unsuccessful and expressed frustration over the service disruption, especially as she works from home. The agent confirmed a technician appointment for July 9 to inspect the service and noted that a physical inspection is necessary due to potential issues with the lines. The customer declined a hotspot solution due to previous activation issues. The agent apologized for the inconvenience and assured Cynthia that the technician would resolve the problem.</t>
  </si>
  <si>
    <t xml:space="preserve">bp-oabdel800</t>
  </si>
  <si>
    <t xml:space="preserve">2167467954</t>
  </si>
  <si>
    <t xml:space="preserve">hold and mute , yert the agent engaged in a good way for a nester , pitched for the line as an alternative solution , offered a credit for the cx as a compensatiion for the outage ,placed the cx on the waitlist as well </t>
  </si>
  <si>
    <t xml:space="preserve">2167573094</t>
  </si>
  <si>
    <t xml:space="preserve">lack of empathy , opportunity for a sale , thorougly educating the professioncy of the technicians being sent since the cx expressed concern about the cable's height and requested that it be installed properly, No recap </t>
  </si>
  <si>
    <t xml:space="preserve">2167622273</t>
  </si>
  <si>
    <t xml:space="preserve">took very long time to fix the issue , cx complained about the duration , should have been faster and more efficient </t>
  </si>
  <si>
    <t xml:space="preserve">2167445061</t>
  </si>
  <si>
    <t xml:space="preserve">customer had an outage, was frustrated at the beg of the call, agent managed to calm the customer down and ended the call on good terms with her, yet customer still provided a negative feedback because of the outage</t>
  </si>
  <si>
    <t xml:space="preserve">2167544448</t>
  </si>
  <si>
    <t xml:space="preserve">customer called because of a billing concern, agent went through the plans available, customer picked the desired plan and customer was happy to have it</t>
  </si>
  <si>
    <t xml:space="preserve">2167548907</t>
  </si>
  <si>
    <t xml:space="preserve">customer misplaced her order online, customer cancelled the order and created the correct one, customer was happy by the end of the call, customer was angry due to many interactions to get to our agent</t>
  </si>
  <si>
    <t xml:space="preserve">2167566538</t>
  </si>
  <si>
    <t xml:space="preserve">customer had an outage, agent tried to handle the case, yet customer asked for a supervisor and was not happy about the outcome since SPV still provided the same info</t>
  </si>
  <si>
    <t xml:space="preserve">2167647989</t>
  </si>
  <si>
    <t xml:space="preserve">bp-yhussi303</t>
  </si>
  <si>
    <t xml:space="preserve">2168007599</t>
  </si>
  <si>
    <t xml:space="preserve">customer called expressing frustration over connectivity issues and delays in receiving a modem. They mentioned that a previous representative had promised delivery within 24 to 48 hours, but it had not arrived. The agent reviewed the account and confirmed that the order was placed, with an estimated delivery date of the 13th. The agent also offered the option to pick up the modem from a nearby store. The customer was still unsatisfied with the delay and requested to speak to a supervisor. hold , mute , hesitation, overwhelem by the cx frustration</t>
  </si>
  <si>
    <t xml:space="preserve">2167942168</t>
  </si>
  <si>
    <t xml:space="preserve">deliver and clarity in walking the cx through how tosign in in xfinity app , should have been simpler </t>
  </si>
  <si>
    <t xml:space="preserve">2167807974</t>
  </si>
  <si>
    <t xml:space="preserve">cx was promised different appointment by a previous rep</t>
  </si>
  <si>
    <t xml:space="preserve">2167974052</t>
  </si>
  <si>
    <t xml:space="preserve">2167970575</t>
  </si>
  <si>
    <t xml:space="preserve">2167900392</t>
  </si>
  <si>
    <t xml:space="preserve">2167738017</t>
  </si>
  <si>
    <t xml:space="preserve">2167776633</t>
  </si>
  <si>
    <t xml:space="preserve">2167718917</t>
  </si>
  <si>
    <t xml:space="preserve">2167739211</t>
  </si>
  <si>
    <t xml:space="preserve">2167651692</t>
  </si>
  <si>
    <t xml:space="preserve">2167624865</t>
  </si>
  <si>
    <t xml:space="preserve">2168575182</t>
  </si>
  <si>
    <t xml:space="preserve">customer wanted to get an earlier date for the Tech visit, agent managed to get her an earlier date, customer was so happy about that, she provided a negative feedback about what happened, and she will recommend the services once it actually happens</t>
  </si>
  <si>
    <t xml:space="preserve">2167630420</t>
  </si>
  <si>
    <t xml:space="preserve">2167467798</t>
  </si>
  <si>
    <t xml:space="preserve">No AER Shown / Lack of ownership and a professionalism in delivering the info to the customer /  Excessive holds &amp; No appreciation / "Actually".</t>
  </si>
  <si>
    <t xml:space="preserve">2168079406</t>
  </si>
  <si>
    <t xml:space="preserve">2167449725</t>
  </si>
  <si>
    <t xml:space="preserve">"CST complaint that the tech reached her out to fix her internet yet did not has the needed equipment and promised he will be coming back 1 day after -tech did not come and somone else came without the needed equipment -agent created her appoinment for another tech and confirmed he will be free of charges - agent also offered the cst free phone line for year  confirmed to the cst she can pick up the wireless box from the store "</t>
  </si>
  <si>
    <t xml:space="preserve">by bp-habas853</t>
  </si>
  <si>
    <t xml:space="preserve">2168326643</t>
  </si>
  <si>
    <t xml:space="preserve">setting expectations about the tech visit and the empathy wasnt at it's best The customer, Robert, called to report a loss of Internet and TV service for the fourth consecutive month. The agent attempted to troubleshoot the issue but determined that a technician was needed to resolve a wiring problem. An appointment was scheduled for the following day between 10 AM and 12 PM, and the customer was informed they would receive a text and call from the technician 30 minutes prior to arrival. The customer expressed appreciation for the assistance provided.</t>
  </si>
  <si>
    <t xml:space="preserve">2168367839</t>
  </si>
  <si>
    <t xml:space="preserve">there was no sooner appointment </t>
  </si>
  <si>
    <t xml:space="preserve">2168101068</t>
  </si>
  <si>
    <t xml:space="preserve">customer was expecting a tech today, agent advised customer that there is no request for a ticket it and offer to create another one, customer was expecting a supervisor to call him back since the last call but no one did</t>
  </si>
  <si>
    <t xml:space="preserve">2168325458</t>
  </si>
  <si>
    <t xml:space="preserve">customer had a problem with his service, a tree fell on the line outside, agent helped customer with a tech visit, customer was angry that he spent 3 days calling to get to that point, customer didn't mention that on the call</t>
  </si>
  <si>
    <t xml:space="preserve">2168401572</t>
  </si>
  <si>
    <t xml:space="preserve">customer had a problem with his TV, agent tried to resolve the issue, case has not been resolved, ITG sent them a tech visit as a final resolution</t>
  </si>
  <si>
    <t xml:space="preserve">2168440295</t>
  </si>
  <si>
    <t xml:space="preserve">customer had a phone with us before she left, the phone was not unlocked, customer called us to get it to be unlocked, agent helped her with her request, customer thanked him for helping her alot by the end of the call </t>
  </si>
  <si>
    <t xml:space="preserve">2166525626</t>
  </si>
  <si>
    <t xml:space="preserve">"CST complaint that a wire was  ripped and he filed a police report - and he needs a tech to come and fix the lose wire  agent asked the cst if the service is impacted - agent added hold and scheduled tech for the CST  agent scheduled the nearest schedule  CST was fraustrated that the agent is calling him dear not sir hold time 29 min "</t>
  </si>
  <si>
    <t xml:space="preserve">john raouf asaad haana</t>
  </si>
  <si>
    <t xml:space="preserve">2168483906</t>
  </si>
  <si>
    <t xml:space="preserve">oabdel800</t>
  </si>
  <si>
    <t xml:space="preserve">2168480069</t>
  </si>
  <si>
    <t xml:space="preserve">lack of empathy , no recap , skipped LOQs</t>
  </si>
  <si>
    <t xml:space="preserve">2168600943</t>
  </si>
  <si>
    <t xml:space="preserve">supervisor call from the 1st min </t>
  </si>
  <si>
    <t xml:space="preserve">2168633241</t>
  </si>
  <si>
    <t xml:space="preserve">customer had an outage, customer was not happy about the outage, agent interupted customer while she was trying to vent out, agent didn't give a reason for the outage, agent was just rehearsing on the call expecting customer to feel satisfied</t>
  </si>
  <si>
    <t xml:space="preserve">2168638183</t>
  </si>
  <si>
    <t xml:space="preserve">NOT CAIROS CALL</t>
  </si>
  <si>
    <t xml:space="preserve">2168937677</t>
  </si>
  <si>
    <t xml:space="preserve">customer had a problem with her internet and wanted a tech visit, customer stated that her daughter is on a breathing machine and wheelchair and tech didn't visit as scheduled, agent showed 0 empathy</t>
  </si>
  <si>
    <t xml:space="preserve">2168325687</t>
  </si>
  <si>
    <t xml:space="preserve">2167625893</t>
  </si>
  <si>
    <t xml:space="preserve">2143636068</t>
  </si>
  <si>
    <t xml:space="preserve">2168836268</t>
  </si>
  <si>
    <t xml:space="preserve">modem should be restarted</t>
  </si>
  <si>
    <t xml:space="preserve">2167874449</t>
  </si>
  <si>
    <t xml:space="preserve">Skipping LOQs</t>
  </si>
  <si>
    <t xml:space="preserve">2166610766</t>
  </si>
  <si>
    <t xml:space="preserve">2167812174</t>
  </si>
  <si>
    <t xml:space="preserve">Hold &amp; over pitching</t>
  </si>
  <si>
    <t xml:space="preserve">2168436637</t>
  </si>
  <si>
    <t xml:space="preserve">sup call</t>
  </si>
  <si>
    <t xml:space="preserve">2167804836</t>
  </si>
  <si>
    <t xml:space="preserve">it should be internet</t>
  </si>
  <si>
    <t xml:space="preserve">2168652546</t>
  </si>
  <si>
    <t xml:space="preserve">PC auto restart</t>
  </si>
  <si>
    <t xml:space="preserve">2168411147</t>
  </si>
  <si>
    <t xml:space="preserve">no appointment</t>
  </si>
  <si>
    <t xml:space="preserve">2168148776</t>
  </si>
  <si>
    <t xml:space="preserve">2167803428</t>
  </si>
  <si>
    <t xml:space="preserve">2168412436</t>
  </si>
  <si>
    <t xml:space="preserve">2168048133</t>
  </si>
  <si>
    <t xml:space="preserve">Mobile issues handling</t>
  </si>
  <si>
    <t xml:space="preserve">2167702077</t>
  </si>
  <si>
    <t xml:space="preserve">2165231445</t>
  </si>
  <si>
    <t xml:space="preserve">incorrect ITG &amp; skipping LOQs</t>
  </si>
  <si>
    <t xml:space="preserve">2168792609</t>
  </si>
  <si>
    <t xml:space="preserve">not following the correct process to check the hotspot , if the celllular data is on or not , if the soft ware is up to date , what is the consumption of the cx as the hotspot speed slows down when the network is busy </t>
  </si>
  <si>
    <t xml:space="preserve">bp-habas853</t>
  </si>
  <si>
    <t xml:space="preserve">2168721169</t>
  </si>
  <si>
    <t xml:space="preserve">hold and mute , The customer contacted the agent regarding a router modem that was damaged during a thunderstorm. The agent confirmed that the customer could go to the XFINITY store to exchange the modem and checked the inventory to ensure it was in stock. The customer expressed appreciation for the assistance, and the agent also informed the customer about a free Peacock subscription and XFINITY mobile eligibility.</t>
  </si>
  <si>
    <t xml:space="preserve">bp-ahussi461</t>
  </si>
  <si>
    <t xml:space="preserve">2169010588</t>
  </si>
  <si>
    <t xml:space="preserve">didnt open the correct itg initally to activate the box , skipped loqs which led to tech visit and cx dissatisfaction </t>
  </si>
  <si>
    <t xml:space="preserve">2168834489</t>
  </si>
  <si>
    <t xml:space="preserve">The customer called to report an Internet outage that began the previous night. The agent verified the customer's account and checked the modem. After troubleshooting, the agent confirmed that the Internet was working again but acknowledged the customer's frustration with the service. The agent added an $8 credit to the customer's account as compensation for the inconvenience. The customer expressed dissatisfaction with the amount of credit and indicated they would consider switching providers if the service did not improve. Call UCID: 10009020881783699260</t>
  </si>
  <si>
    <t xml:space="preserve">2169071342</t>
  </si>
  <si>
    <t xml:space="preserve">The customer, Daniel, called because they were experiencing issues with their Internet service after returning home. They mentioned that they had previously received a replacement modem that was not working. The agent attempted to assist by verifying account details and sending a code for account access. However, the agent discovered that there were no services showing in the system, leading to confusion. The customer expressed frustration over the lack of communication from XFINITY regarding their account status. The call ended with the agent transferring the customer to the sales department for further assistance.// another agent opportunity </t>
  </si>
  <si>
    <t xml:space="preserve">2168965851</t>
  </si>
  <si>
    <t xml:space="preserve">customer had a problem with his internet, agent spent an hour trying to fix the problem, yet it was not fixed, agent advised customer that he will be replacing their modem, customer provided a negative feedback since they were expecting a resolution after an hour on the phone</t>
  </si>
  <si>
    <t xml:space="preserve">2169596155</t>
  </si>
  <si>
    <t xml:space="preserve">customer called in with a problem that she doesn't want to do the migration, agent didn't explain or resolve anything at all, all he said "sorry i can't help you" let me get back to my manager</t>
  </si>
  <si>
    <t xml:space="preserve">2169563078</t>
  </si>
  <si>
    <t xml:space="preserve">customer called in with a problem with internet, customer was not home to check if he has power outage, agent advised customer that he can call back to check with him, agent did call customer back but customer didn't pick up leading to a detractor and a AICR hit</t>
  </si>
  <si>
    <t xml:space="preserve">2169624767</t>
  </si>
  <si>
    <t xml:space="preserve">customer has a problem with his modme and customer is already aware about the reason and explained that to the agent multiple times, agent didn't understand at all that that problem is comming from the cabin outside yet agent insisted that we should replace the modem</t>
  </si>
  <si>
    <t xml:space="preserve">2169720106</t>
  </si>
  <si>
    <t xml:space="preserve">customer called in with a problem in her caller ID, calll is incomplete on I3</t>
  </si>
  <si>
    <t xml:space="preserve">2169715560</t>
  </si>
  <si>
    <t xml:space="preserve">2169747170</t>
  </si>
  <si>
    <t xml:space="preserve">customer called in with an issue with her TV, agent spent 41 min on call trying to verify customer, 15 min out of them were hold, got back to customer and guided her to a store and told customer that he can't help anymore</t>
  </si>
  <si>
    <t xml:space="preserve">2170121667</t>
  </si>
  <si>
    <t xml:space="preserve">The customer called because they had been without internet for over two weeks and a scheduled technician did not show up. The agent checked the account and confirmed that the appointment was not officially set. After discussing the situation, the agent scheduled a technician to visit the next day between 8 and 10 AM. The customer expressed their hope that the issue would be resolved.// issue is with the tech appointment itself </t>
  </si>
  <si>
    <t xml:space="preserve">100066501</t>
  </si>
  <si>
    <t xml:space="preserve">2169714105</t>
  </si>
  <si>
    <t xml:space="preserve">2170187824</t>
  </si>
  <si>
    <t xml:space="preserve">lack of empathy , severe mute , setting expectations ,  bp-ahussi461 The customer called to report that their TV service in the bedroom was not working, despite having followed troubleshooting steps. The agent verified the account and attempted various troubleshooting methods, but the issue persisted. The agent then initiated an automated self-heating system and informed the customer that they would receive a text message within two hours regarding the service status, with the option to schedule a technician visit if necessary. The customer expressed dissatisfaction with the service.</t>
  </si>
  <si>
    <t xml:space="preserve">2170051056</t>
  </si>
  <si>
    <t xml:space="preserve">invalid transfer // agent transferred the call to disconnect team to confirm that the eq got returned instead of checking the resources and the tracking no to confirm that the eq got returned on ACSR </t>
  </si>
  <si>
    <t xml:space="preserve">bp-ahussi991</t>
  </si>
  <si>
    <t xml:space="preserve">2170051863</t>
  </si>
  <si>
    <t xml:space="preserve">2169967002</t>
  </si>
  <si>
    <t xml:space="preserve">cx is super frustrated with the service , was very pleased by the agent and his handling skills , and that is the cx feedback comment xfinity has been my issue for years. now a technician is coming to my house on the weekend. this is great except that they will get here and then tell us it's not a house problem. then another technician will be scheduled. then they'll get here and fix it. but then my internet will have a problem within the week. it's happened too much to be positive. meanwhile when my neighbors have a problem they get it fixed and there are no other issues for years+. starlink will be called very soon if this is not fixed to my liking</t>
  </si>
  <si>
    <t xml:space="preserve">2169866613</t>
  </si>
  <si>
    <t xml:space="preserve">2170092728</t>
  </si>
  <si>
    <t xml:space="preserve">cst called and asked to speak to the previous agent -  agent tried to assist her yet she refused and when the agent told her he has no chance to collect her to different agent -  cst ended the call</t>
  </si>
  <si>
    <t xml:space="preserve">2169854903</t>
  </si>
  <si>
    <t xml:space="preserve">customer had some one calling him and asking for secuirty information, customer couldn't determine whether or not this was us, agent was unable to do so, agent referred customer to CSA</t>
  </si>
  <si>
    <t xml:space="preserve">2169928213</t>
  </si>
  <si>
    <t xml:space="preserve">agent pitched for a GSR at the wrong time at the beg of the call</t>
  </si>
  <si>
    <t xml:space="preserve">2169970704</t>
  </si>
  <si>
    <t xml:space="preserve">customer called in since there was a tech in his house that is fiddling with his modem and caused his internet to get down twice, agent made sure that internet wont go down again, got a GSR done, customer was happy by the end of the call, GSR was done as a sales integrity case</t>
  </si>
  <si>
    <t xml:space="preserve">2170096320</t>
  </si>
  <si>
    <t xml:space="preserve">customer had a request for a tech, agent tried to pass security, customer rejected and hung up the line</t>
  </si>
  <si>
    <t xml:space="preserve">2170183312</t>
  </si>
  <si>
    <t xml:space="preserve">customer had a slow internet, agent promised a call back after troubleshooting and fixing the issue, agent wanted to check if the service will be fine after that</t>
  </si>
  <si>
    <t xml:space="preserve">2170026998</t>
  </si>
  <si>
    <t xml:space="preserve">"CST called as he was just talking to someone tried to fix his tv and he supposed to receive a tech at the same day and he was just calling to confirm the appoinment -agent confirmed the appointment date and the call ended "</t>
  </si>
  <si>
    <t xml:space="preserve">2168774173</t>
  </si>
  <si>
    <t xml:space="preserve">2170029723</t>
  </si>
  <si>
    <t xml:space="preserve">customer was expecting a tech visit, since he had a previous tech who burried the cables in the wall and told him another tech will come back to dig a hole out</t>
  </si>
  <si>
    <t xml:space="preserve">2168864863</t>
  </si>
  <si>
    <t xml:space="preserve">The customer called to confirm a change to their phone number, as the app still displayed the old number. The agent attempted to authenticate the account using the customer's email and phone number but was unable to do so. The customer expressed frustration over the repeated issues with receiving verification codes and the inability to access their account. The agent explained that they could not make changes without proper authentication and suggested visiting an Xfinity store for assistance. The call ended with the customer stating they would call back later.</t>
  </si>
  <si>
    <t xml:space="preserve">2169028918</t>
  </si>
  <si>
    <t xml:space="preserve">The customer called regarding issues accessing Paramount Black. They expressed frustration about not being able to watch the service. The agent confirmed there was a previous outage and is currently checking the customer's subscription and account details to assist with the issue. The conversation included attempts to clarify the specific problem, but the customer struggled to articulate their needs clearly.</t>
  </si>
  <si>
    <t xml:space="preserve">2168486920</t>
  </si>
  <si>
    <t xml:space="preserve">The customer called regarding a Wi-Fi connectivity issue following a recent technician visit. They reported that their TV was displaying an error message and confirmed they had already attempted troubleshooting steps without success. The agent reviewed the issue, verified the equipment status, and explained that an XFINITY remote was required to properly control and navigate the TV box. As the issue remained unresolved, the customer requested another technician visit. The agent accommodated the request by scheduling a follow-up technician appointment and additionally offered a loyalty discount on a backup internet extender. The customer accepted the technician visit, and the agent advised that a confirmation text message would be sent with the appointment details.</t>
  </si>
  <si>
    <t xml:space="preserve">bp-mhassa186</t>
  </si>
  <si>
    <t xml:space="preserve">2168481479</t>
  </si>
  <si>
    <t xml:space="preserve">The customer called to obtain the tracking number for her expected iPhone delivery. After successfully verifying the account, the agent provided the tracking number and confirmed that UPS was the shipping carrier. The customer appreciated the assistance and acknowledged the expected delivery timeframe before the call was successfully concluded.</t>
  </si>
  <si>
    <t xml:space="preserve">2168682301</t>
  </si>
  <si>
    <t xml:space="preserve">The customer called regarding slow internet affecting their ability to stream on their Vizio TV. They experienced issues with the XFINITY assistant and intermittent connectivity. The agent guided the customer through troubleshooting steps, including unplugging the modem. After testing the internet speed, which was within expected parameters, the customer confirmed that the issue was resolved. The customer expressed appreciation for the assistance before ending the call.</t>
  </si>
  <si>
    <t xml:space="preserve">2168419577</t>
  </si>
  <si>
    <t xml:space="preserve">2168043104</t>
  </si>
  <si>
    <t xml:space="preserve">CST called calling to get remind for the TV for certin channels that does not come up when she set a reminder -agent clearly did not get the cst issue -cst ended the call</t>
  </si>
  <si>
    <t xml:space="preserve">2167901493</t>
  </si>
  <si>
    <t xml:space="preserve">"The customer called to report an Internet outage lasting due to a storm that damaged their modem router. The agent confirmed that the issue required a technician visit, which was scheduled for . In the meantime, the agent guided the customer on how to use their mobile phone's hotspot for Internet access. The customer expressed appreciation for the assistance provided. Mute for 9 min after ending the call."</t>
  </si>
  <si>
    <t xml:space="preserve">2167810582</t>
  </si>
  <si>
    <t xml:space="preserve">"CST complaint that there was a tree fall into the power line impacting the landline agent mentioned that he will try to get the landline to work yet the cst got fraustrated and kept cursing the agent while he was trying to help out and he asked to speak to us agent-cst kept using profanity words and hanged up </t>
  </si>
  <si>
    <t xml:space="preserve">2167810348</t>
  </si>
  <si>
    <t xml:space="preserve">2167900126</t>
  </si>
  <si>
    <t xml:space="preserve">2167781548</t>
  </si>
  <si>
    <t xml:space="preserve">2170452347</t>
  </si>
  <si>
    <t xml:space="preserve">The customer called to set up their XFINITY Wi-Fi but faced issues with approval. After discussing the modem, the agent determined that the customer's modem was not compatible with their service. The agent advised the customer to visit the store to exchange their modem for a compatible one. The customer expressed understanding and thanked the agent for the assistance.</t>
  </si>
  <si>
    <t xml:space="preserve">2170420897</t>
  </si>
  <si>
    <t xml:space="preserve">2170370292</t>
  </si>
  <si>
    <t xml:space="preserve">CST complaint that 10 min prior to the call his service was inturppting -agent told the cst that the account is disconnected - cst mentione this is the wrong account - cst told him the right info and agent was checking then call  disconnected</t>
  </si>
  <si>
    <t xml:space="preserve">2170230982</t>
  </si>
  <si>
    <t xml:space="preserve">The customer called because a technician forgot to connect their printer during the Internet . They expressed frustration over a previous call where they were on hold for without resolution. The agent verified the customer's identity and scheduled a technician to come to connect the printer. The customer also learned about a free mobile line included in their package but decided to wait before considering it further. The call ended with the customer expressing gratitude for the agent's assistance.</t>
  </si>
  <si>
    <t xml:space="preserve">2170857447</t>
  </si>
  <si>
    <t xml:space="preserve">agent has multiple struggles asking the correct probing questions to verify the acc , cx got aggravated , agent couldnt handle it </t>
  </si>
  <si>
    <t xml:space="preserve">bp-ymahmo354</t>
  </si>
  <si>
    <t xml:space="preserve">2170864465</t>
  </si>
  <si>
    <t xml:space="preserve">2170814892</t>
  </si>
  <si>
    <t xml:space="preserve">mute and hold , lack of empathy in the beginning of the call </t>
  </si>
  <si>
    <t xml:space="preserve">2170730208</t>
  </si>
  <si>
    <t xml:space="preserve">call dropped after the greeting </t>
  </si>
  <si>
    <t xml:space="preserve">2170817300</t>
  </si>
  <si>
    <t xml:space="preserve">handling skills , the agent was talking back to the cx , had major cx interruption , has issues with delivery and clarity .</t>
  </si>
  <si>
    <t xml:space="preserve">2170761009</t>
  </si>
  <si>
    <t xml:space="preserve">2170762836</t>
  </si>
  <si>
    <t xml:space="preserve">careless handling of the cx query , skipping LQOS , giving wierd resolution , all tv are working except for 1 , ahent stated that is due to outage and cx expressed frustration , dissatisfaction with the resolution  , yet  agent didnt attempt to rectify </t>
  </si>
  <si>
    <t xml:space="preserve">2170471504</t>
  </si>
  <si>
    <t xml:space="preserve">Overpitching for GSR</t>
  </si>
  <si>
    <t xml:space="preserve">wmoham784</t>
  </si>
  <si>
    <t xml:space="preserve">2170708129</t>
  </si>
  <si>
    <t xml:space="preserve">lack of empathy , mute , hold , wrong timing for pitching </t>
  </si>
  <si>
    <t xml:space="preserve">2170629048</t>
  </si>
  <si>
    <t xml:space="preserve">agent took long time till opening the correct itg , struggled in the navigation , identifying the issue , skipped LQOs </t>
  </si>
  <si>
    <t xml:space="preserve">mute exceeding , cs said she will call back yet the agent was okay with that , pitching without the resolution </t>
  </si>
  <si>
    <t xml:space="preserve">2170626683</t>
  </si>
  <si>
    <t xml:space="preserve">bp-oabdel800 The customer called to report that their television service was interrupted after technicians replaced a junction box outside their home. They expressed frustration over not receiving any notification about the work being done and the lack of service afterward. The agent escalated the issue to the back office to arrange for someone to come out and fix the problems. The customer also discussed potential savings on their bill, but there was confusion about sending information to the customer's wife, who pays the bill.</t>
  </si>
  <si>
    <t xml:space="preserve">2170605434</t>
  </si>
  <si>
    <t xml:space="preserve">by bp-ahussi461 The customer called to express frustration over multiple missed technician appointments and the lack of internet service. They provided a ticket number and detailed previous interactions with technicians who failed to complete the job. The agent escalated the case to the back office to arrange for a technician to move a cable line outside the house. The customer requested a follow-up call within two days and expressed appreciation for the agent's assistance. </t>
  </si>
  <si>
    <t xml:space="preserve">2170389418</t>
  </si>
  <si>
    <t xml:space="preserve">Mute exceeding , overauthentication , supcall</t>
  </si>
  <si>
    <t xml:space="preserve">2170295213</t>
  </si>
  <si>
    <t xml:space="preserve">2170248143</t>
  </si>
  <si>
    <t xml:space="preserve">2170250192</t>
  </si>
  <si>
    <t xml:space="preserve">couldn't explain himself or fix the cs issue </t>
  </si>
  <si>
    <t xml:space="preserve">2170141466</t>
  </si>
  <si>
    <t xml:space="preserve">issue wasn't resolved </t>
  </si>
  <si>
    <t xml:space="preserve">2169647608</t>
  </si>
  <si>
    <t xml:space="preserve">overpitching , lanuguage barrier</t>
  </si>
  <si>
    <t xml:space="preserve">2170047082</t>
  </si>
  <si>
    <t xml:space="preserve">aggressiveness </t>
  </si>
  <si>
    <t xml:space="preserve">2169813577</t>
  </si>
  <si>
    <t xml:space="preserve">2170600488</t>
  </si>
  <si>
    <t xml:space="preserve">customer had a problem with an ESP added on his bill without his consent, agent was able to get the case resolved quickly, customer provided a negative feedback due to the service being added without his consent</t>
  </si>
  <si>
    <t xml:space="preserve">customer had an increase with his bill, agent provided customer witht he reason for the increase that there was a promotion that got expired, customer told him, i think i can do better with a different company  agent replied " what ever you  see better for you"</t>
  </si>
  <si>
    <t xml:space="preserve">2170681028</t>
  </si>
  <si>
    <t xml:space="preserve">customer was looking to lower her bill down, agent offered a different plan with a lower price, agent also offered the free mobile line, customer rejected the offer and asked to be transferred to Disconnections</t>
  </si>
  <si>
    <t xml:space="preserve">2170712030</t>
  </si>
  <si>
    <t xml:space="preserve">customer had a problem with the internet he has on his phone ,customer called before about the same issue and nobody helped, agent said that he will disable his line and enable it back to see if the issue will be fixed, agent did that, advised customer that call will drop, yet problem was not fixed after all</t>
  </si>
  <si>
    <t xml:space="preserve">2170767108</t>
  </si>
  <si>
    <t xml:space="preserve">not our call</t>
  </si>
  <si>
    <t xml:space="preserve">bp-melsayed</t>
  </si>
  <si>
    <t xml:space="preserve">10004065751784086769</t>
  </si>
  <si>
    <t xml:space="preserve">Pitching at the wrong time</t>
  </si>
  <si>
    <t xml:space="preserve">2171046919</t>
  </si>
  <si>
    <t xml:space="preserve">" The customer contacted the agent regarding a higher-than-usual XFINITY bill. They expressed confusion over recent charges and mentioned a visit to the XFINITY store where they were told their bill would be lower. The agent discovered that the customer had been switched to a more expensive TV package during their last visit, which led to the increased bill. The agent offered to revert the customer to their previous plan if they were not satisfied with the current one. /agent did not call the customer back to get her to the old plan"</t>
  </si>
  <si>
    <t xml:space="preserve">bp-oalzay991</t>
  </si>
  <si>
    <t xml:space="preserve">2171151463</t>
  </si>
  <si>
    <t xml:space="preserve">"The customer called regarding issues with their TV remote and box. They had received a new box and remote but were unable to set it up correctly. The agent attempted to guide the customer through troubleshooting steps but faced communication challenges. After several attempts to resolve the issue, the agent scheduled a technician visit to assist the customer with the setup. The customer expressed frustration with the process and was left unsatisfied with the call outcome. Min 21 the customer was talking with no response from the agent untill min 24:40  min 30 ! CST was struggling to understand her asked for someone else to talk to  TR to SME solved the issue in 11 Min "</t>
  </si>
  <si>
    <t xml:space="preserve">2169739662</t>
  </si>
  <si>
    <t xml:space="preserve">"The customer called regarding issues with their Internet service and security system, expressing frustration over a password change that disrupted their access. The agent acknowledged the situation and scheduled a technician appointment to address the customer's concerns. The customer was informed that they would receive a call from the technician support team to confirm the appointment.  Mr while speaking to female -language barrier</t>
  </si>
  <si>
    <t xml:space="preserve">2170874730</t>
  </si>
  <si>
    <t xml:space="preserve">video </t>
  </si>
  <si>
    <t xml:space="preserve">2170042246</t>
  </si>
  <si>
    <t xml:space="preserve">2171621279</t>
  </si>
  <si>
    <t xml:space="preserve">2170492975</t>
  </si>
  <si>
    <t xml:space="preserve">2170541416</t>
  </si>
  <si>
    <t xml:space="preserve">no TC due to storm</t>
  </si>
  <si>
    <t xml:space="preserve">2171575967</t>
  </si>
  <si>
    <t xml:space="preserve">Excessive M &amp; H</t>
  </si>
  <si>
    <t xml:space="preserve">2170025985</t>
  </si>
  <si>
    <t xml:space="preserve">2170874660</t>
  </si>
  <si>
    <t xml:space="preserve">sup call and cst need to be refunded with 1100$</t>
  </si>
  <si>
    <t xml:space="preserve">2170252558</t>
  </si>
  <si>
    <t xml:space="preserve">2170043735</t>
  </si>
  <si>
    <t xml:space="preserve">failed to deliver info</t>
  </si>
  <si>
    <t xml:space="preserve">2170888776</t>
  </si>
  <si>
    <t xml:space="preserve">2170710137</t>
  </si>
  <si>
    <t xml:space="preserve">2170630107</t>
  </si>
  <si>
    <t xml:space="preserve">2170950084</t>
  </si>
  <si>
    <t xml:space="preserve">cannot provide offer on XM</t>
  </si>
  <si>
    <t xml:space="preserve">2169651120</t>
  </si>
  <si>
    <t xml:space="preserve">lead &amp; call flow</t>
  </si>
  <si>
    <t xml:space="preserve">2170542405</t>
  </si>
  <si>
    <t xml:space="preserve">work flow</t>
  </si>
  <si>
    <t xml:space="preserve">2166459828</t>
  </si>
  <si>
    <t xml:space="preserve">2170533905</t>
  </si>
  <si>
    <t xml:space="preserve">2170888031</t>
  </si>
  <si>
    <t xml:space="preserve">"The customer contacted the agent because they were unable to sign in to their XFINITY account and email. They reported that this issue had been occurring for , with multiple failed attempts to log in. The agent checked the account and suggested transferring the customer to the security team for further assistance. However, the customer was able to log in during the call. The agent offered the option to consult the security team to prevent future issues, but the customer chose to end the call. Missing Ownership - Agent should've explain to the customer why she is seeing this error and that she needs to change her password even if she will change last letter/character through self service to be able to use her account  Mute could've replaced with more communication with the customer to get the customer less stressed/more confident she is getting the correct support  CST was caughing and the agent did not show the pare minimum of empathy   by the end of the call the customer was able to login to her account."</t>
  </si>
  <si>
    <t xml:space="preserve">2171054354</t>
  </si>
  <si>
    <t xml:space="preserve">The customer contacted the agent expressing frustration over not receiving a gateway modem after upgrading their account. They explained that they had received an extender but not the gateway needed to set up their internet. The agent confirmed the issue and initiated an order for the gateway to be shipped, assuring the customer that it would arrive within 3 to 5 working days. The customer also mentioned difficulties in navigating the support system and expressed concern about the need to call multiple numbers for assistance. The agent provided reassurance and confirmed that the gateway would be part of the customer's bundle with no additional charge.</t>
  </si>
  <si>
    <t xml:space="preserve">2171677160</t>
  </si>
  <si>
    <t xml:space="preserve">2171029738</t>
  </si>
  <si>
    <t xml:space="preserve">2170561970</t>
  </si>
  <si>
    <t xml:space="preserve">Mind Boom!, customer wanted to get a tech to setup the modem, agent offered an extender in a good way that customer accepted, yet agent failed to educate customer about anything, customer asked if the 180$ he mentioned were additional charges and agent confirmed it, yet it was the total charges, even though agent wouldn't be able to add the extender since there was a tech visit to begin with!, agent also kept on calling customer by her name, said OK 150 times, and offered the GSR at the wrong time</t>
  </si>
  <si>
    <t xml:space="preserve">2170921495</t>
  </si>
  <si>
    <t xml:space="preserve">customer called about his internet being down. agent spent 1 H on call, to get back to customer and say that a tech needs to be sent</t>
  </si>
  <si>
    <t xml:space="preserve">2170979275</t>
  </si>
  <si>
    <t xml:space="preserve">customer called about his bill, agent was able to get him a GSR, yet call was incomplete on I3</t>
  </si>
  <si>
    <t xml:space="preserve">2171030198</t>
  </si>
  <si>
    <t xml:space="preserve">peakock case, agent referred customer to peakock</t>
  </si>
  <si>
    <t xml:space="preserve">2171079418</t>
  </si>
  <si>
    <t xml:space="preserve">agent kept on assuring customer that her problem is because of the prev agent, and he is the good one who helped her, customer gave a bad rating for "comcast"</t>
  </si>
  <si>
    <t xml:space="preserve">2171075004</t>
  </si>
  <si>
    <t xml:space="preserve">call is either incomplete or customer hung up during the time when she was saying her issue</t>
  </si>
  <si>
    <t xml:space="preserve">2170946020</t>
  </si>
  <si>
    <t xml:space="preserve">customer had some one ripping off his cable while removing a neighbors' cable, agent sent a tech for customer </t>
  </si>
  <si>
    <t xml:space="preserve">2171192431</t>
  </si>
  <si>
    <t xml:space="preserve">customer failed to pass security, customer was annoyed that agent didn't help</t>
  </si>
  <si>
    <t xml:space="preserve">customer called in since someone changed the form of authentication, agent explained to customer that he wouldn't be able to do anything on the account without passing security on the account , customer got angry and dropped the line</t>
  </si>
  <si>
    <t xml:space="preserve">2171586965</t>
  </si>
  <si>
    <t xml:space="preserve">agent didn't run the correct itg , didn't ask the probing questions indicating what is the route cause of the issue </t>
  </si>
  <si>
    <t xml:space="preserve">2171787075</t>
  </si>
  <si>
    <t xml:space="preserve">agent should have walked the cx how to file an insurance claim online </t>
  </si>
  <si>
    <t xml:space="preserve">2171050952</t>
  </si>
  <si>
    <t xml:space="preserve">cx refused to talk to the agent , insisted on speaking to a US based rep</t>
  </si>
  <si>
    <t xml:space="preserve">bp-wmoham784</t>
  </si>
  <si>
    <t xml:space="preserve">2171150628</t>
  </si>
  <si>
    <t xml:space="preserve">call dropped , no attempt for a call back was found </t>
  </si>
  <si>
    <t xml:space="preserve">2171169348</t>
  </si>
  <si>
    <t xml:space="preserve">the cx doesnt have the subscription </t>
  </si>
  <si>
    <t xml:space="preserve">2171843200</t>
  </si>
  <si>
    <t xml:space="preserve">cs mentioned on the verbatim he hated the ivr and said that over the call mutiple times</t>
  </si>
  <si>
    <t xml:space="preserve">2171786774</t>
  </si>
  <si>
    <t xml:space="preserve">escalation , he got transferred to Sup </t>
  </si>
  <si>
    <t xml:space="preserve">2171791877</t>
  </si>
  <si>
    <t xml:space="preserve">mute exceeding , call dropped</t>
  </si>
  <si>
    <t xml:space="preserve">that the cs got charged a 100 dollars for the tech and issue is not resolved</t>
  </si>
  <si>
    <t xml:space="preserve">2171571928</t>
  </si>
  <si>
    <t xml:space="preserve">"The customer, , contacted the agent regarding difficulties linking their accounts and logging in. They mentioned receiving error messages and having a faulty box. The agent guided through various troubleshooting steps, including verifying account details and attempting to log in with different credentials. After multiple unsuccessful attempts, the agent suggested restarting the device and contacting Zoom support for further assistance. expressed appreciation for the help provided. "</t>
  </si>
  <si>
    <t xml:space="preserve">2171574009</t>
  </si>
  <si>
    <t xml:space="preserve">customer had a problem with her TV and was so frustrated, agent followed ITG, and gave customer the outcome he got which was a self heal, agent promoted the survey by the end of the call when customer was not satisfied to agent encouraged customer to give him a feedback</t>
  </si>
  <si>
    <t xml:space="preserve">2171585911</t>
  </si>
  <si>
    <t xml:space="preserve">call is a complete mess, agent gave customer about 4 resolutions and then got back and corrected all 4 of them to the point that customer explained that she knows that the agent doesn't know what he is talking about and hung up the line</t>
  </si>
  <si>
    <t xml:space="preserve">2171588540</t>
  </si>
  <si>
    <t xml:space="preserve">empty call, agent kept on saying hello , no answer </t>
  </si>
  <si>
    <t xml:space="preserve">2171678260</t>
  </si>
  <si>
    <t xml:space="preserve">customer was calling to have an appointment to go to a store, customer had a wrong idea that stores require appointments to visit, yet agent took 7min to understand that customer it talking about a store appointment not a tech appointment</t>
  </si>
  <si>
    <t xml:space="preserve">2171723392</t>
  </si>
  <si>
    <t xml:space="preserve">customer had a dropped line issue, customer was already aware of a time frame which was wrong by a prev agent, our agent told customer that number is never exact and it is always a window</t>
  </si>
  <si>
    <t xml:space="preserve">2171724391</t>
  </si>
  <si>
    <t xml:space="preserve">customer was waiting for the tech visit, tech didn't show up, agent was unable to tell customer a specific time, customer got angry when the tech never visited </t>
  </si>
  <si>
    <t xml:space="preserve">2171746511</t>
  </si>
  <si>
    <t xml:space="preserve">customer had a problem with her TV disconnecting from internet, agent advised custoemr that she needs to call LG since every other device is connected to the internet yet no issues </t>
  </si>
  <si>
    <t xml:space="preserve">2171762518</t>
  </si>
  <si>
    <t xml:space="preserve">2171793505</t>
  </si>
  <si>
    <t xml:space="preserve">customer called in since she got a scamm call and wanted to make sure if it was us, agent confirmed that we don't call people and ask for their card, customer was in a hurry to call the bank and stop the card, customer later provided a negative feedback due too many scam calls under the name of xfinity</t>
  </si>
  <si>
    <t xml:space="preserve">2171785217</t>
  </si>
  <si>
    <t xml:space="preserve">customer had a problem with her service, agent asked customer to hold the line for a sec so she can check, customer dropped the line and didn't answer the call back</t>
  </si>
  <si>
    <t xml:space="preserve">2171915928</t>
  </si>
  <si>
    <t xml:space="preserve">wrong probing questions , hesitance , issue with actively listening to the cx led to wrong usage of the itg , issue is not fixed </t>
  </si>
  <si>
    <t xml:space="preserve">2171992211</t>
  </si>
  <si>
    <t xml:space="preserve">cx was promised ith a free phone while he doesnt match the criteria , agent did his best explaining that to the cx , cx remained dissatisfied </t>
  </si>
  <si>
    <t xml:space="preserve">2171455081</t>
  </si>
  <si>
    <t xml:space="preserve">The customer called regarding issues accessing their email and problems with their account. // knowledge gab , didnt open the correct itg , paniced and asked the cx to contact the security team </t>
  </si>
  <si>
    <t xml:space="preserve">2171678096</t>
  </si>
  <si>
    <t xml:space="preserve">skipping LOQs , scheduled a tech visit </t>
  </si>
  <si>
    <t xml:space="preserve">bp-oelmen567</t>
  </si>
  <si>
    <t xml:space="preserve">2172377224</t>
  </si>
  <si>
    <t xml:space="preserve">Delivery of the DOB &amp; SSN wasn't confident enough to lead the customer to proceed with the sale.</t>
  </si>
  <si>
    <t xml:space="preserve">2172401679</t>
  </si>
  <si>
    <t xml:space="preserve">Prepaid account was out of scope and call got transferred to prepaid, But agent lacked following a clear call structure on the call and didn't show AER nor ownership.</t>
  </si>
  <si>
    <t xml:space="preserve">bp-khassa946</t>
  </si>
  <si>
    <t xml:space="preserve">2172434338</t>
  </si>
  <si>
    <t xml:space="preserve">Agent didn't use a suitable mic configuration his voice was very low and sounded low energetic , Didn't use sanas as well , Excessive hold and mute in the call </t>
  </si>
  <si>
    <t xml:space="preserve">bp-mhafez144</t>
  </si>
  <si>
    <t xml:space="preserve">2172431567</t>
  </si>
  <si>
    <t xml:space="preserve">Didn't ask about the customer ,No paraphrasing the concern , No AER , Excessive mutes &amp; Holds, Zero ownership due to the huge amount of mutes and hold, Took him 22 mins to book a tech from the ITG which can take max 2 mins that means with the amount of mutes pure call avoidance</t>
  </si>
  <si>
    <t xml:space="preserve">bp-ramin081</t>
  </si>
  <si>
    <t xml:space="preserve">2172556116</t>
  </si>
  <si>
    <t xml:space="preserve">huge language barrier / interrupting the cx multiple times </t>
  </si>
  <si>
    <t xml:space="preserve">2172528098</t>
  </si>
  <si>
    <t xml:space="preserve">itg struggels , probing questions , SSO </t>
  </si>
  <si>
    <t xml:space="preserve">2172552449</t>
  </si>
  <si>
    <t xml:space="preserve">dissatisfied about the tech appointment</t>
  </si>
  <si>
    <t xml:space="preserve">2172552555</t>
  </si>
  <si>
    <t xml:space="preserve">agent made an uncertain promise for the service to go back after 30 min which didn't happen , wants provided by itg , lef to cx dissatisfaction</t>
  </si>
  <si>
    <t xml:space="preserve">2172621196</t>
  </si>
  <si>
    <t xml:space="preserve">2172944179</t>
  </si>
  <si>
    <t xml:space="preserve">talking very fast , bill explanation </t>
  </si>
  <si>
    <t xml:space="preserve">2172944926</t>
  </si>
  <si>
    <t xml:space="preserve">hold and mute , taking too much time to open itg , unexplainable mute and hold </t>
  </si>
  <si>
    <t xml:space="preserve">2172724581</t>
  </si>
  <si>
    <t xml:space="preserve">setting expectations , lack of empathy , SSO </t>
  </si>
  <si>
    <t xml:space="preserve">2172778634</t>
  </si>
  <si>
    <t xml:space="preserve">lack of  empathy, interaction between the agent and the cx , mute</t>
  </si>
  <si>
    <t xml:space="preserve">2173100196</t>
  </si>
  <si>
    <t xml:space="preserve">severe mute and hold from the min 8 to the min 16 , led to cx frustration , lack of empathy , failed to explain what is the difference between the regulr tv service and the streaming one ,  didnt share the article with the cx HOW21632, HOW21711 , TLK1370 ,UNDER THE NAME Xfinity free live streaming channels on X1//Free streaming channels on Xfinity Stream//Roku competitive talking points// </t>
  </si>
  <si>
    <t xml:space="preserve">2173107488</t>
  </si>
  <si>
    <t xml:space="preserve"> account is already disconnected with 0 remaining balance , educate the cx that those people might be OCA ( outside collections agency ) utilizing that aricle POL1781, Collection agency dispute policy sharing it with then cx would have been a a better option as the cx was sceptivcal about the precision of the info provided </t>
  </si>
  <si>
    <t xml:space="preserve">2172377881</t>
  </si>
  <si>
    <t xml:space="preserve">"The customer, , contacted the agent to request dropping their TV service while keeping their Internet. They expressed dissatisfaction with Comcast and mentioned using streaming services like Netflix and Google TV. The agent attempted to connect with the disconnect department to process the request but faced communication issues, leading to an unclear resolution. The call ended without a clear confirmation of the service cancellation. Agent did not show any empathy for the customer dissatisfiction with the service - after the hold the customer was not responsive to the agent he kept saying hello with no responce from the customer side for 2 min.  Agent offered a customer another price for the package yet the customer was clearly talking to someone else. - no call back found</t>
  </si>
  <si>
    <t xml:space="preserve">2173050060</t>
  </si>
  <si>
    <t xml:space="preserve">"CST supposed to had a scheduled appoinment for the same day - agent checked and found no active appoinment - cst complaint that her internet keeps disconnected every day  agent asked propping questions how she knew she had a schedule appoinment and cst explained she called and arranged the appoinment through the call  cst was very fraustrated - agent mentioned he is trying to find the nearest appoinment and the cst was very fraustrated and hanged up the call "</t>
  </si>
  <si>
    <t xml:space="preserve">2172316348</t>
  </si>
  <si>
    <t xml:space="preserve">"The customer called to report that their internet service had been down since . The agent confirmed that there was an outage affecting the area and that technicians were working to resolve it, with an estimated restoration time of . The customer requested a refund due to ongoing issues, and the agent assured them that credits would be applied to their bill once the service was restored. The call ended with the customer expressing appreciation for the assistance. There was a Sanas Delay and the interaction was not interactive enough "</t>
  </si>
  <si>
    <t xml:space="preserve">bp-bp-aelshe805</t>
  </si>
  <si>
    <t xml:space="preserve">2172893764</t>
  </si>
  <si>
    <t xml:space="preserve">The customer contacted the agent to transfer their phone number to a new Galaxy device. After verifying the customer's information, the agent attempted to assist with the transfer but encountered issues. The agent recommended that the customer visit a local branch for further assistance, as the activation was not successful over the phone. The customer expressed frustration with the process.</t>
  </si>
  <si>
    <t xml:space="preserve">2173474862</t>
  </si>
  <si>
    <t xml:space="preserve">mute , tonality , resolution delivery </t>
  </si>
  <si>
    <t xml:space="preserve">2173476289</t>
  </si>
  <si>
    <t xml:space="preserve">2173490654</t>
  </si>
  <si>
    <t xml:space="preserve">over pitching , forget to call back</t>
  </si>
  <si>
    <t xml:space="preserve">2173458600</t>
  </si>
  <si>
    <t xml:space="preserve">forget to call back </t>
  </si>
  <si>
    <t xml:space="preserve">2173443364</t>
  </si>
  <si>
    <t xml:space="preserve">mute exceeding</t>
  </si>
  <si>
    <t xml:space="preserve">bp-aragab227</t>
  </si>
  <si>
    <t xml:space="preserve">2173180000</t>
  </si>
  <si>
    <t xml:space="preserve">agents should never arrange a call back to catch the break , specially the cx is severly upsetv , call got repeated as AICR failure as well </t>
  </si>
  <si>
    <t xml:space="preserve">2173491255</t>
  </si>
  <si>
    <t xml:space="preserve">excessive hold and mute, struggle in the explaination part for the 36 months commitment terms and conditions // should have snt the t&amp;c to the cx and empathize with teh cx in a better way and check alternative solutions for cx satisfaction like a different promotion // compensatory credit </t>
  </si>
  <si>
    <t xml:space="preserve">2173974268</t>
  </si>
  <si>
    <t xml:space="preserve">cx couldnt hear the agent at all </t>
  </si>
  <si>
    <t xml:space="preserve">2174044576</t>
  </si>
  <si>
    <t xml:space="preserve">mute and hold , could have offered alternative option by the nearest available stores </t>
  </si>
  <si>
    <t xml:space="preserve">2173099978</t>
  </si>
  <si>
    <t xml:space="preserve">tonality , accountability issue</t>
  </si>
  <si>
    <t xml:space="preserve">2174056963</t>
  </si>
  <si>
    <t xml:space="preserve">2172726681</t>
  </si>
  <si>
    <t xml:space="preserve">he miss informed the cs that he needs to go to the store to remove the equipment when he can run itg for that and he kept blaming the store with lack of ownership mindset that end up getting him a detractor </t>
  </si>
  <si>
    <t xml:space="preserve">sound issue , not agent related </t>
  </si>
  <si>
    <t xml:space="preserve">2172588970</t>
  </si>
  <si>
    <t xml:space="preserve">activation of a line which was used as a resolution of internet issue , mute exceeding </t>
  </si>
  <si>
    <t xml:space="preserve">2172747407</t>
  </si>
  <si>
    <t xml:space="preserve">failed to call back , the cs was having trouble activate the line which was a resolution </t>
  </si>
  <si>
    <t xml:space="preserve">2172660344</t>
  </si>
  <si>
    <t xml:space="preserve">2172346836</t>
  </si>
  <si>
    <t xml:space="preserve">unscheduled outage</t>
  </si>
  <si>
    <t xml:space="preserve">2173339279</t>
  </si>
  <si>
    <t xml:space="preserve">2173826310</t>
  </si>
  <si>
    <t xml:space="preserve">Bridge mode / Admin tool knowledge gap , Information delivery is indirect, Poor sales pitch , Mutes and holds, Selling before resolution and there was no resolution on the call what so ever.</t>
  </si>
  <si>
    <t xml:space="preserve">2173844969</t>
  </si>
  <si>
    <t xml:space="preserve">Lack of probing questions and following the ITG Compliance that led to no resolution in the call &amp; huge amount of mutes and holds and therefore a detractor.</t>
  </si>
  <si>
    <t xml:space="preserve">2172923342</t>
  </si>
  <si>
    <t xml:space="preserve">The customer contacted the agent to resolve an issue with paying their phone bill through the app, which was not accepting their updated card information. Despite multiple attempts, the app continued to show the old card, and the customer expressed frustration over the repeated issues. The agent discovered a block on the account that was preventing the addition of new cards and suggested that the customer visit a nearby store to make the payment instead.</t>
  </si>
  <si>
    <t xml:space="preserve">bp-ymoham640</t>
  </si>
  <si>
    <t xml:space="preserve">2173766538</t>
  </si>
  <si>
    <t xml:space="preserve">bp-aeid175</t>
  </si>
  <si>
    <t xml:space="preserve">2173942367</t>
  </si>
  <si>
    <t xml:space="preserve">cx had a tech appointment and wanted an earlier one or to get her issue resolved immediately, Lack of probing questions and ITG Utilization and Compliance which led to no resolution on the call.</t>
  </si>
  <si>
    <t xml:space="preserve">bp-zmohar198</t>
  </si>
  <si>
    <t xml:space="preserve">2173970696</t>
  </si>
  <si>
    <t xml:space="preserve">CX was experiencing connectivity issues even after the agent ran ITG and tried to assist the customer but wasn't successful, Agent lacked ITG Compliance and there were some excessive mutes and holds </t>
  </si>
  <si>
    <t xml:space="preserve">2174023400</t>
  </si>
  <si>
    <t xml:space="preserve">Previous agent sent the customer extra boxes that the customer didn't ask for and wanted a return label to send it back but agent didn't know about out return policy and how to guide the customer on generating the return label from their end.</t>
  </si>
  <si>
    <t xml:space="preserve">2174254722</t>
  </si>
  <si>
    <t xml:space="preserve">Customer wanted to get a better promotion and agent managed to state all of the current promos and pros and cons of each but the customer wasn't interested in any and hanged up.</t>
  </si>
  <si>
    <t xml:space="preserve">2174249405</t>
  </si>
  <si>
    <t xml:space="preserve">Poor handling skills and AER and knowledge gap about the transfer pin concern.</t>
  </si>
  <si>
    <t xml:space="preserve">2174322403</t>
  </si>
  <si>
    <t xml:space="preserve">Careless call handling behaviors, Call avoidance with a delayed greeting for 3 mins, Zero ITG Compliance , Excessive Mute, Lack of active listening to the concern &amp; zero probing , Being rude over the call and giving attitude to the customer  </t>
  </si>
  <si>
    <t xml:space="preserve">2172318907</t>
  </si>
  <si>
    <t xml:space="preserve">The customer contacted the agent after visiting an XFINITY store, where they were promised internet and cable services but were not receiving them. The customer expressed urgency due to needing internet for work. The agent checked the appointment status and initially found a later date but was able to secure an earlier appointment for . The customer was appreciative of the agent's assistance in resolving the appointment issue.</t>
  </si>
  <si>
    <t xml:space="preserve">2173291947</t>
  </si>
  <si>
    <t xml:space="preserve">The customer contacted the agent because their cable box was not turning on. After verifying account details and performing troubleshooting steps, the agent confirmed that the cable box was receiving signals but suggested re-adding the TV package to resolve the issue. The customer expressed confusion about the plan changes but ultimately appreciated the assistance provided by the agent.</t>
  </si>
  <si>
    <t xml:space="preserve">2173736553</t>
  </si>
  <si>
    <t xml:space="preserve">The customer called because their Internet was cutting in and out. After verifying their account, the agent explained that the modem was not responding and scheduled a technician to check the modem and services at no charge. The customer expressed concern about the cost of service and mentioned they would consider options with their current provider. The agent also provided information about upgrading to a faster Internet speed but the customer was hesitant due to the price.</t>
  </si>
  <si>
    <t xml:space="preserve">Comcast Policy/Process or Tools</t>
  </si>
  <si>
    <t xml:space="preserve">2173724091</t>
  </si>
  <si>
    <t xml:space="preserve">overpitching before resloution</t>
  </si>
  <si>
    <t xml:space="preserve">2173723781</t>
  </si>
  <si>
    <t xml:space="preserve">didn't netulize the ITG correctly </t>
  </si>
  <si>
    <t xml:space="preserve">2173204090</t>
  </si>
  <si>
    <t xml:space="preserve">The customer called because they had not been able to access regular television channels for &lt;DATE_TIME&gt;, with the TV stuck on Google TV. The agent guided the customer through troubleshooting steps, including checking inputs and restarting the TV, but the issue persisted. The agent ultimately determined that a technician would be needed to resolve the problem and informed the customer they would receive a message regarding the appointment within</t>
  </si>
  <si>
    <t xml:space="preserve">2173612077</t>
  </si>
  <si>
    <t xml:space="preserve">excessive mute of 11 min and </t>
  </si>
  <si>
    <t xml:space="preserve">2174667865</t>
  </si>
  <si>
    <t xml:space="preserve">"CST complaint that she is receiving billing for disconnected service for more than 6 months -agent tried to explain why she is receiving those charges yet the csutoemr insisted that she already contacted us to disconnect the service - asked to speak to supervisor  supervisor explained why the charges was recieved due to the portout of the lines every one on a diffrent month "</t>
  </si>
  <si>
    <t xml:space="preserve">217361222</t>
  </si>
  <si>
    <t xml:space="preserve">2173670792</t>
  </si>
  <si>
    <t xml:space="preserve">agent needs to work on his soft skills , The customer called because their TV service was interrupted after a &lt;US_DRIVER_LICENSE&gt;, and they were unable to turn on their TV. The agent attempted troubleshooting steps, including restarting the TV box, and informed the customer to wait for &lt;DATE_TIME&gt; for the issue to be resolved. The customer expressed frustration over the service and mentioned the high cost of their bill. They were advised to respond to a text message if the issue was not resolved. The customer was left unsatisfied with the resolution process and indicated they might discontinue service if the problem persisted. </t>
  </si>
  <si>
    <t xml:space="preserve">2173475541</t>
  </si>
  <si>
    <t xml:space="preserve">"The customer contacted the agent regarding ongoing email problems and wanted to verify if a specific email claiming to be from XFINITY was legitimate. The agent confirmed that the email was a scam and provided the customer with a security assurance number for further assistance. The customer expressed concerns about repeated password resets and potential email compromise. The agent also offered a free XFINITY mobile line, which the customer declined. The call ended with the customer thanking the agent for their help.  "</t>
  </si>
  <si>
    <t xml:space="preserve">2172958813</t>
  </si>
  <si>
    <t xml:space="preserve">The customer contacted the agent regarding a bill that increased from $75 to $ 115. The agent confirmed that the increase was due to an expired discount on the mobile service. The customer expressed surprise at the lack of notification about the expiration. The agent offered to check for options to lower the bill and placed the call on hold to investigate further. Then the call disconnected "No call back found"</t>
  </si>
  <si>
    <t xml:space="preserve">2174301839</t>
  </si>
  <si>
    <t xml:space="preserve">Zero AER, NO SANAS, Lack of active listening , Lack of paraphrasing the concern to align, Pitching before resolution.</t>
  </si>
  <si>
    <t xml:space="preserve">2174432225</t>
  </si>
  <si>
    <t xml:space="preserve">Fake empathy, No AER, Agent did show ownership which is great but kept repeating " I will take care of it" multiple times and customer was extremely aggravated, Excessive mute, Knowledge gap about billing cycle and sending a hard copy instead of eco bill, no resolution provided on the call, and not matching pace and energy or the urgency of the concern.</t>
  </si>
  <si>
    <t xml:space="preserve">2173527201</t>
  </si>
  <si>
    <t xml:space="preserve">"Agent replied after 17 sec.  The customer contacted the agent to cancel their service effective . The agent acknowledged the request and initiated a transfer to the disconnect department for further assistance. The call ended while the customer was on hold."</t>
  </si>
  <si>
    <t xml:space="preserve">2174457586</t>
  </si>
  <si>
    <t xml:space="preserve">No paraphrasing of the customer's concern, Lack of AER , easily  accepting to give a credit without getting back to the credit policy, Silent gaps,  "a shitty service from us"  ,  Pushed on a wrong timing pitch , No SSO was provided about how  can the cx handle the appointment, </t>
  </si>
  <si>
    <t xml:space="preserve">2173210198</t>
  </si>
  <si>
    <t xml:space="preserve">The customer contacted the agent regarding their international data service, which they believed was included in their plan but was not activated. After a lengthy discussion and troubleshooting, the agent guided the customer on how to activate the service. The customer expressed dissatisfaction with the lack of prior instructions and the service's functionality. Ultimately, the customer was able to get their service working but ended the call feeling unsatisfied.</t>
  </si>
  <si>
    <t xml:space="preserve">2174421768</t>
  </si>
  <si>
    <t xml:space="preserve">Zero AER, Excessive Hold time, Weak probing, Assuming an clashing with the customer.</t>
  </si>
  <si>
    <t xml:space="preserve">2174127098</t>
  </si>
  <si>
    <t xml:space="preserve">the cx question was easy but the agent missed it up </t>
  </si>
  <si>
    <t xml:space="preserve">bp-asaad581</t>
  </si>
  <si>
    <t xml:space="preserve">2172756890</t>
  </si>
  <si>
    <t xml:space="preserve">Lack of active listening making the customer repeat herself, Lack of paraphrasing the customer concern for alignment, Lack of probing and discovery questions, Asking non important questions</t>
  </si>
  <si>
    <t xml:space="preserve">bp-smahmo374</t>
  </si>
  <si>
    <t xml:space="preserve">2172892576</t>
  </si>
  <si>
    <t xml:space="preserve">Call is not found on i3.</t>
  </si>
  <si>
    <t xml:space="preserve">2174255567</t>
  </si>
  <si>
    <t xml:space="preserve">Customer asked for a tech app and agent failed to provide one. Additionally, customer wanted a discount and agent failed to provide one</t>
  </si>
  <si>
    <t xml:space="preserve">2173158041</t>
  </si>
  <si>
    <t xml:space="preserve">Lack of active listening to the concern, agent was distracted and not giving any kind of attention to the customer or the call excessive mute, no paraphrasing of the customer 's concern for alignment, zero discovery questions.</t>
  </si>
  <si>
    <t xml:space="preserve">2174643478</t>
  </si>
  <si>
    <t xml:space="preserve">Zero active listening, Wrong ITG Utilizations , Zero ITG Compliance </t>
  </si>
  <si>
    <t xml:space="preserve">bp-btadro498</t>
  </si>
  <si>
    <t xml:space="preserve">2174166701</t>
  </si>
  <si>
    <t xml:space="preserve">Tone of voice needs to be more energetic, however customer needed same day appointment and agent did everything they could do but there was no availability for same day tech app</t>
  </si>
  <si>
    <t xml:space="preserve">bp-mawwad399</t>
  </si>
  <si>
    <t xml:space="preserve">2174174413</t>
  </si>
  <si>
    <t xml:space="preserve">customer hung up when agent forgot to place hold and spoke in arabic during the closure of the call</t>
  </si>
  <si>
    <t xml:space="preserve">bp-amahmo928</t>
  </si>
  <si>
    <t xml:space="preserve">2174170919</t>
  </si>
  <si>
    <t xml:space="preserve">lacked ownership when guiding the customer to the bill, told the customer call us back when they find the bill</t>
  </si>
  <si>
    <t xml:space="preserve">bp-mabdee350</t>
  </si>
  <si>
    <t xml:space="preserve">2174191306</t>
  </si>
  <si>
    <t xml:space="preserve">lack of ownership and lack of active engagement. agent did not attempt to deescalate the call.</t>
  </si>
  <si>
    <t xml:space="preserve">2173254138</t>
  </si>
  <si>
    <t xml:space="preserve">2172623719</t>
  </si>
  <si>
    <t xml:space="preserve">no TC available</t>
  </si>
  <si>
    <t xml:space="preserve">2172424130</t>
  </si>
  <si>
    <t xml:space="preserve">2174389328</t>
  </si>
  <si>
    <t xml:space="preserve">2174585733</t>
  </si>
  <si>
    <t xml:space="preserve">2172607580</t>
  </si>
  <si>
    <t xml:space="preserve">2172644224</t>
  </si>
  <si>
    <t xml:space="preserve">2174788317</t>
  </si>
  <si>
    <t xml:space="preserve">bp-aahmed581</t>
  </si>
  <si>
    <t xml:space="preserve">2174776575</t>
  </si>
  <si>
    <t xml:space="preserve">issue resolved and savings offered  </t>
  </si>
  <si>
    <t xml:space="preserve">2174147600</t>
  </si>
  <si>
    <t xml:space="preserve">setting expectations , intonation of the agent , over pitching as well </t>
  </si>
  <si>
    <t xml:space="preserve">2174086226</t>
  </si>
  <si>
    <t xml:space="preserve">agent was super shaky , hesitant over the call , couldnt understand the cx concern , call dropped , no attempt for a call back </t>
  </si>
  <si>
    <t xml:space="preserve">2174645450</t>
  </si>
  <si>
    <t xml:space="preserve">placing hold without reason, customer complained from little active engagement from the customer, mute reaching upwards of 5 minutes</t>
  </si>
  <si>
    <t xml:space="preserve">work on the intonation to sound more confident through out the call  work on the probing questions to identify the route cause of the issue ( funneling technique as discussed )  check the notes on call basis for better understanding and we can use it to indicate how much we care for the cx as well </t>
  </si>
  <si>
    <t xml:space="preserve">2174353814</t>
  </si>
  <si>
    <t xml:space="preserve">hold and  mute , can be considered call avoidance , skipped LOQs as well </t>
  </si>
  <si>
    <t xml:space="preserve">2174585998</t>
  </si>
  <si>
    <t xml:space="preserve">No resolution on the call ,No Sanas, Excessive Mutes and Holds, late discovery and probing questions, Arguing with the customer and making them like they are dumb and wrong, Promoting the survey on a non-resolved call.</t>
  </si>
  <si>
    <t xml:space="preserve">Excessive mute , Zero Active listening &amp; paraphrasing the concern, Robotic , Call avoidance, Zero ITG Compliance, 19 mins of mute and then did nothing but sending a tech and gave, Invalid credit, Survey phishing</t>
  </si>
  <si>
    <t xml:space="preserve">2174644142</t>
  </si>
  <si>
    <t xml:space="preserve">No Rapport (no congratulations on the new apartment), Zero probing questions, Excessive mute &amp; Holds, Slow system navigation, Zero AER, Poor sales pitch &amp; poorly timed, No active listening, DOB/SSN/Credit check Poor capture and delivery technique. </t>
  </si>
  <si>
    <t xml:space="preserve">2174643944</t>
  </si>
  <si>
    <t xml:space="preserve">Not professional at all giving negative feedback about the company , mic is loud sounds like shouting, Speaking Arabic while not on hold or mute, Lack of AER, Lack of probing and discovery questions about which email is the customer is using to sign into peacock barely mentioned in the 9th min, Excessive mute</t>
  </si>
  <si>
    <t xml:space="preserve">2174646397</t>
  </si>
  <si>
    <t xml:space="preserve">Customer comment : the service provided by the agent today was outstanding.in general xfinity had far too many outages, and was much more expensive than quantum.i'm glad that i changed to quantum.actually the likelihood to recommend comcast/xfinity is more towards 2</t>
  </si>
  <si>
    <t xml:space="preserve">2174699389</t>
  </si>
  <si>
    <t xml:space="preserve">Lack of skills at the beggining of the call, Not taking the concern prior to verficitaion since the customer cannot verify not making it effortless, No probing &amp; discovery questions about what happened exactly, No AER at all,  Worst case scenario what a negative word to say and to keep repeating it.</t>
  </si>
  <si>
    <t xml:space="preserve">2174621947</t>
  </si>
  <si>
    <t xml:space="preserve">system issue but still didn't try to reach out to the customer after it has been fixed and that caused the cx to give a negative feedback .</t>
  </si>
  <si>
    <t xml:space="preserve">VXI Policy/Process or Tools</t>
  </si>
  <si>
    <t xml:space="preserve">2175000522</t>
  </si>
  <si>
    <t xml:space="preserve">There is audio on i3 and myperformance but i can Only hear the agent partially but cx was hearing the agent perfectly fine.</t>
  </si>
  <si>
    <t xml:space="preserve">bp-msaied101</t>
  </si>
  <si>
    <t xml:space="preserve">2174614007</t>
  </si>
  <si>
    <t xml:space="preserve">should've tried to reschedule app or raise a quota support ticket</t>
  </si>
  <si>
    <t xml:space="preserve">2174585618</t>
  </si>
  <si>
    <t xml:space="preserve">agent did a spectacular job</t>
  </si>
  <si>
    <t xml:space="preserve">bp-semam814</t>
  </si>
  <si>
    <t xml:space="preserve">2174979044</t>
  </si>
  <si>
    <t xml:space="preserve">no active engagement, customer hung up from the excessive mute</t>
  </si>
  <si>
    <t xml:space="preserve">2175543661</t>
  </si>
  <si>
    <t xml:space="preserve">we need to complete the order only </t>
  </si>
  <si>
    <t xml:space="preserve">2174372690</t>
  </si>
  <si>
    <t xml:space="preserve">skipping LOQs , wrong action , there is nothing wrong with the modem itself </t>
  </si>
  <si>
    <t xml:space="preserve">2175514081</t>
  </si>
  <si>
    <t xml:space="preserve">agent didn't take the ownership of the call </t>
  </si>
  <si>
    <t xml:space="preserve">bp-eabdel505</t>
  </si>
  <si>
    <t xml:space="preserve">2175261331</t>
  </si>
  <si>
    <t xml:space="preserve">FOCUSING ON SALE </t>
  </si>
  <si>
    <t xml:space="preserve">2174373615</t>
  </si>
  <si>
    <t xml:space="preserve">lack of empathy cx expressed frustration multiple   times due to service inturruption , despite fixing the problem agent didnt relate to the cx concern nor empathized with her or acknowlwged her feelings </t>
  </si>
  <si>
    <t xml:space="preserve">bp-ashaba991</t>
  </si>
  <si>
    <t xml:space="preserve">2172469607</t>
  </si>
  <si>
    <t xml:space="preserve">knowledge gab </t>
  </si>
  <si>
    <t xml:space="preserve">bp-aahmed189</t>
  </si>
  <si>
    <t xml:space="preserve">2172552043</t>
  </si>
  <si>
    <t xml:space="preserve">he could do better </t>
  </si>
  <si>
    <t xml:space="preserve">bp-sabuel192</t>
  </si>
  <si>
    <t xml:space="preserve">2172893379</t>
  </si>
  <si>
    <t xml:space="preserve">cx asked for supervisor directly  </t>
  </si>
  <si>
    <t xml:space="preserve">2173101853</t>
  </si>
  <si>
    <t xml:space="preserve">.</t>
  </si>
  <si>
    <t xml:space="preserve">2173260540</t>
  </si>
  <si>
    <t xml:space="preserve">a lot of steps </t>
  </si>
  <si>
    <t xml:space="preserve">2173355707</t>
  </si>
  <si>
    <t xml:space="preserve">the agent didn't set expectations with the cx   </t>
  </si>
  <si>
    <t xml:space="preserve">2173578573</t>
  </si>
  <si>
    <t xml:space="preserve">this case should be resolved through the website </t>
  </si>
  <si>
    <t xml:space="preserve">2173558463</t>
  </si>
  <si>
    <t xml:space="preserve">2173766552</t>
  </si>
  <si>
    <t xml:space="preserve">the agent didn't realize that the cx is so old and keep asking the cx to do a lot of stuff</t>
  </si>
  <si>
    <t xml:space="preserve">2174728646</t>
  </si>
  <si>
    <t xml:space="preserve">, the agent opened and closed the itg in less than 2 mi  , skipped LOQs , he should have taken the serial no of the tv box and run itg no picture , agent opened the wrong it which of couse led to wrong action then the cx ended up being charged $100 for a service he should not have paid if we followed the correct ITG </t>
  </si>
  <si>
    <t xml:space="preserve">2173821166</t>
  </si>
  <si>
    <t xml:space="preserve">the cx problem was only about HBO and he was trying to update the devices </t>
  </si>
  <si>
    <t xml:space="preserve">2173877026</t>
  </si>
  <si>
    <t xml:space="preserve">2173999032</t>
  </si>
  <si>
    <t xml:space="preserve">the agent was good </t>
  </si>
  <si>
    <t xml:space="preserve">2174109217</t>
  </si>
  <si>
    <t xml:space="preserve">the issue was resolved </t>
  </si>
  <si>
    <t xml:space="preserve">2174741024</t>
  </si>
  <si>
    <t xml:space="preserve">the agent was not talking the cx actively and uses mute </t>
  </si>
  <si>
    <t xml:space="preserve">2174646900</t>
  </si>
  <si>
    <t xml:space="preserve">their was an outage impacting the whole service </t>
  </si>
  <si>
    <t xml:space="preserve">the agent didn't convince the  </t>
  </si>
  <si>
    <t xml:space="preserve">bp-hmahmo652</t>
  </si>
  <si>
    <t xml:space="preserve">2174889518</t>
  </si>
  <si>
    <t xml:space="preserve">he was so sleepy and not active not offering options</t>
  </si>
  <si>
    <t xml:space="preserve">2175492846</t>
  </si>
  <si>
    <t xml:space="preserve">the cx was asking about peacock </t>
  </si>
  <si>
    <t xml:space="preserve">the call was good and the agent did good </t>
  </si>
  <si>
    <t xml:space="preserve">2175098521</t>
  </si>
  <si>
    <t xml:space="preserve">didnt open itg ( picture quality ) at all </t>
  </si>
  <si>
    <t xml:space="preserve">2175540474</t>
  </si>
  <si>
    <t xml:space="preserve">hold and mute , lack of empathy </t>
  </si>
  <si>
    <t xml:space="preserve">2175401822</t>
  </si>
  <si>
    <t xml:space="preserve">tech appointment is not matching the cx expectations </t>
  </si>
  <si>
    <t xml:space="preserve">2175137183</t>
  </si>
  <si>
    <t xml:space="preserve">The customer called regarding a missed appointment for reconnecting their XFINITY service after a storm. A technician  had initially visited but left without completing the work, stating that another crew needed to tap the pole first. The customer expressed urgency due to their reliance on the internet for remote work and requested immediate action. The agent confirmed the need for additional work and offered to escalate the issue to a supervisor. The customer was frustrated with the lack of resolution and insisted on speaking to a manager.</t>
  </si>
  <si>
    <t xml:space="preserve">2174861642</t>
  </si>
  <si>
    <t xml:space="preserve">end up with a sup call , tech cancelled the visit</t>
  </si>
  <si>
    <t xml:space="preserve">2175375154</t>
  </si>
  <si>
    <t xml:space="preserve">The customer called to report an Internet outage and issues with their TV and security camera. After confirming the service address and customer details, the agent performed troubleshooting steps and identified that the modem might need replacement. A technician visit was scheduled for &lt;DATE_TIME&gt; &lt;DATE_TIME&gt; to assess the situation. The customer expressed concern about being without service and inquired about potential charges for the technician's visit. The agent assured the customer that they would not be charged if the issue was not their fault.</t>
  </si>
  <si>
    <t xml:space="preserve">2175472596</t>
  </si>
  <si>
    <t xml:space="preserve">The customer called because their TV was not working after a minor rainstorm. They confirmed their service address and account details with the agent. The agent attempted troubleshooting steps but determined that a technician visit was necessary. The technician is scheduled to arrive on the following], with a possibility of an earlier appointment if available. The customer expressed appreciation for the assistance.</t>
  </si>
  <si>
    <t xml:space="preserve">2175339677</t>
  </si>
  <si>
    <t xml:space="preserve">The customer, &lt;PERSON&gt;, contacted the agent seeking assistance with Comcast business support, mentioning difficulties in reaching them in the past. The agent confirmed the request and transferred the customer to the XFINITY business support department. The customer expressed gratitude for the transfer.</t>
  </si>
  <si>
    <t xml:space="preserve">2174943903</t>
  </si>
  <si>
    <t xml:space="preserve">The agent attempted to connect with the customer, , but there was no response from her side. After several attempts to establish communication, the agent decided to hang up and indicated they would try to call back later. agent called the cst back with no answer, yet he did not leave a voice mail </t>
  </si>
  <si>
    <t xml:space="preserve">2173703101</t>
  </si>
  <si>
    <t xml:space="preserve">"The customer contacted the agent because their cable box was not turning on. After verifying account details and performing troubleshooting steps, the agent confirmed that the cable box was receiving signals but suggested re-adding the TV package to resolve the issue. The customer expressed confusion about the plan changes but ultimately appreciated the assistance provided by the agent. Opportunites : No human interaction  Informative - do not acknowldge customer feeling"</t>
  </si>
  <si>
    <t xml:space="preserve">"The customer, , called regarding a technician appointment that was supposed to be expedited but was canceled without notice. After discussing the account details, the agent confirmed that the service could not be provided until , which was unacceptable to the customer. expressed frustration over being misinformed about the service timeline and ultimately decided to cancel the service. The agent confirmed the cancellation after verifying the account holder's identity. Opportunites : No human interaction  Informative - do not acknowledge customer feeling"</t>
  </si>
  <si>
    <t xml:space="preserve">2172448303</t>
  </si>
  <si>
    <t xml:space="preserve">"The customer called because they were a lack of Internet service at home. After providing their account number, the agent confirmed a technician visit scheduled for . The customer expressed frustration over a previous missed appointment and requested a temporary Wi-Fi pass. The agent offered an upgrade to 300 Mb per second for $55.90, which the customer declined due to budget concerns. The agent assured the customer that the technician would arrive on the scheduled date to resolve the Internet issue. authonicate the account with account number ""We just need the cst to tell us the account number and just confirm it from the screen"" Call dropped after 5 min mute  Agent called the cst back  Xfinity WiFi hotspot map | LNK1346"</t>
  </si>
  <si>
    <t xml:space="preserve">2175757450</t>
  </si>
  <si>
    <t xml:space="preserve">The customer called to inquire about a technician scheduled between 3 and 5 who may be delayed. They expressed frustration about having to repeat their issue multiple times. The agent confirmed the technician was delayed due to other appointments and provided information about the cancellation process. The customer requested to know the cancellation fee before making a decision. The call ended with the customer expressing appreciation for the information provided.</t>
  </si>
  <si>
    <t xml:space="preserve">2175760843</t>
  </si>
  <si>
    <t xml:space="preserve">The customer contacted the agent regarding issues with their TV boxes after making changes to their account. They reported that only 2 out of 9 boxes were working. The agent attempted to troubleshoot the situation by asking for serial numbers and reactivating one box, but the customer continued to experience issues with other boxes. The conversation included confusion about billing and the status of the devices, leading to the customer expressing dissatisfaction with the resolution.</t>
  </si>
  <si>
    <t xml:space="preserve">2175737569</t>
  </si>
  <si>
    <t xml:space="preserve">lack of assurance - The customer called to inquire about a missed technician appointment that was supposed to occur in &lt;DATE_TIME&gt;. They expressed frustration over waiting and not receiving service. The agent verified the customer's account and scheduled a new technician visit for &lt;DATE_TIME&gt; from 8 to 10. The customer was advised to check the XFINITY app for confirmation. The call ended with the customer expressing appreciation for the assistance provided.</t>
  </si>
  <si>
    <t xml:space="preserve">2175535863</t>
  </si>
  <si>
    <t xml:space="preserve">The customer called to inquire about a missed technician appointment that was supposed to occur in &lt;DATE_TIME&gt;. They expressed frustration over waiting and not receiving service. The agent verified the customer's account and scheduled a new technician visit for &lt;DATE_TIME&gt; from 8 to 10. The customer was advised to check the XFINITY app for confirmation. The call ended with the customer expressing appreciation for the assistance provided.</t>
  </si>
  <si>
    <t xml:space="preserve">misleading for the cs</t>
  </si>
  <si>
    <t xml:space="preserve">2175229267</t>
  </si>
  <si>
    <t xml:space="preserve">Authentication</t>
  </si>
  <si>
    <t xml:space="preserve">2175403579</t>
  </si>
  <si>
    <t xml:space="preserve">agent didn't lead the call</t>
  </si>
  <si>
    <t xml:space="preserve">2175376202</t>
  </si>
  <si>
    <t xml:space="preserve">agent didn't provide the cst with the needed information</t>
  </si>
  <si>
    <t xml:space="preserve">2174142249</t>
  </si>
  <si>
    <t xml:space="preserve">2174865750</t>
  </si>
  <si>
    <t xml:space="preserve">mono tone and took long time to solve the issue for the cst </t>
  </si>
  <si>
    <t xml:space="preserve">2174432000</t>
  </si>
  <si>
    <t xml:space="preserve">missing reassurance to the cst and </t>
  </si>
  <si>
    <t xml:space="preserve">2174255926</t>
  </si>
  <si>
    <t xml:space="preserve">agent didn't build repour  even when the cst tried</t>
  </si>
  <si>
    <t xml:space="preserve">2175828941</t>
  </si>
  <si>
    <t xml:space="preserve">2175793472</t>
  </si>
  <si>
    <t xml:space="preserve">over educating cst and tried to make cst read the articles sent</t>
  </si>
  <si>
    <t xml:space="preserve">2175345138</t>
  </si>
  <si>
    <t xml:space="preserve">2175140717</t>
  </si>
  <si>
    <t xml:space="preserve">agent mentioned he remind her with her ex</t>
  </si>
  <si>
    <t xml:space="preserve">2175154835</t>
  </si>
  <si>
    <t xml:space="preserve">2174894285</t>
  </si>
  <si>
    <t xml:space="preserve">didn't proceed with the soak call</t>
  </si>
  <si>
    <t xml:space="preserve">2174592899</t>
  </si>
  <si>
    <t xml:space="preserve">2173181153</t>
  </si>
  <si>
    <t xml:space="preserve">long wait</t>
  </si>
  <si>
    <t xml:space="preserve">2174197420</t>
  </si>
  <si>
    <t xml:space="preserve">mono tone </t>
  </si>
  <si>
    <t xml:space="preserve">2173071748</t>
  </si>
  <si>
    <t xml:space="preserve">2175618105</t>
  </si>
  <si>
    <t xml:space="preserve">agent didn't own the cst inquiry and was handling the case without owning it</t>
  </si>
  <si>
    <t xml:space="preserve">2174144996</t>
  </si>
  <si>
    <t xml:space="preserve">2173461613</t>
  </si>
  <si>
    <t xml:space="preserve">agent is just replying to the cst's only</t>
  </si>
  <si>
    <t xml:space="preserve">2173367876</t>
  </si>
  <si>
    <t xml:space="preserve">agent couldn't handle angrty cst and didn't own the call</t>
  </si>
  <si>
    <t xml:space="preserve">2173106846</t>
  </si>
  <si>
    <t xml:space="preserve">2173775344</t>
  </si>
  <si>
    <t xml:space="preserve">agent didn't set exp[ectaion correctly about the TC appointment</t>
  </si>
  <si>
    <t xml:space="preserve">2173101602</t>
  </si>
  <si>
    <t xml:space="preserve">we cannot transfer the equipment unless the service is active on the new account and pending for the equipemtn</t>
  </si>
  <si>
    <t xml:space="preserve">2173357810</t>
  </si>
  <si>
    <t xml:space="preserve">long ai ivr</t>
  </si>
  <si>
    <t xml:space="preserve">2174868569</t>
  </si>
  <si>
    <t xml:space="preserve">2173588743</t>
  </si>
  <si>
    <t xml:space="preserve">2173389981</t>
  </si>
  <si>
    <t xml:space="preserve">2173202762</t>
  </si>
  <si>
    <t xml:space="preserve">mono tone wihout showing the effort to the cst</t>
  </si>
  <si>
    <t xml:space="preserve">2175232505</t>
  </si>
  <si>
    <t xml:space="preserve">agent got several outages</t>
  </si>
  <si>
    <t xml:space="preserve">2172781529</t>
  </si>
  <si>
    <t xml:space="preserve">hold for searching for support</t>
  </si>
  <si>
    <t xml:space="preserve">2175791809</t>
  </si>
  <si>
    <t xml:space="preserve">"The customer contacted the agent because they were unable to connect a new cable box after replacing an old one. The customer described issues with the setup and mentioned a previous interaction with support that was unhelpful. The agent guided the customer through troubleshooting steps, including unplugging and replugging the cable box. After following the steps, the customer still experienced issues, and the agent promised to call back in to follow up on the situation.  Active listening -sleepy tone of voice  let me follow troubleshooting will call you within 30 min  - No call back"</t>
  </si>
  <si>
    <t xml:space="preserve">2175257266</t>
  </si>
  <si>
    <t xml:space="preserve">"CST complaint from the internet connection  agent checked and found that there was a pending disconnect order on the account  agent placed the cst on hold to check and activate her modem  From Min 9 to 20 there was hold - agent was checking the systen "</t>
  </si>
  <si>
    <t xml:space="preserve">2176048567</t>
  </si>
  <si>
    <t xml:space="preserve">2176011319</t>
  </si>
  <si>
    <t xml:space="preserve">he didn't take the ownership of the call </t>
  </si>
  <si>
    <t xml:space="preserve">bp-belzah290</t>
  </si>
  <si>
    <t xml:space="preserve">2175203603</t>
  </si>
  <si>
    <t xml:space="preserve">shouldve run equipment research it</t>
  </si>
  <si>
    <t xml:space="preserve">2174506309</t>
  </si>
  <si>
    <t xml:space="preserve">agent did well</t>
  </si>
  <si>
    <t xml:space="preserve">2175001544</t>
  </si>
  <si>
    <t xml:space="preserve">too many silent gaps</t>
  </si>
  <si>
    <t xml:space="preserve">2175158274</t>
  </si>
  <si>
    <t xml:space="preserve">did not provide correct SLA for drop issues setting false expectations for the customer</t>
  </si>
  <si>
    <t xml:space="preserve">2175403310</t>
  </si>
  <si>
    <t xml:space="preserve">agent placed mute a lot throughout the call</t>
  </si>
  <si>
    <t xml:space="preserve">2176204870</t>
  </si>
  <si>
    <t xml:space="preserve">2176199705</t>
  </si>
  <si>
    <t xml:space="preserve">2176143276</t>
  </si>
  <si>
    <t xml:space="preserve">the cx was having questions about the bills </t>
  </si>
  <si>
    <t xml:space="preserve">bp-aabdel979</t>
  </si>
  <si>
    <t xml:space="preserve">2173312938</t>
  </si>
  <si>
    <t xml:space="preserve">excessive mute</t>
  </si>
  <si>
    <t xml:space="preserve">2175807643</t>
  </si>
  <si>
    <t xml:space="preserve">2175412284</t>
  </si>
  <si>
    <t xml:space="preserve">The customer, , called regarding their non-working Internet service and expressed frustration over an appointment issue. They had a scheduled appointment but were informed they needed to get on the wait list again. The agent attempted to assist with the appointment details but faced difficulties in confirming or editing the appointment. CST was already frustrated and she needed appointment before wed - agent confirmed she will add her on Thursday and add her to waiting list for Tuesday</t>
  </si>
  <si>
    <t xml:space="preserve">2174739860</t>
  </si>
  <si>
    <t xml:space="preserve">The customer called to inquire about the estimated arrival time of a technician who was scheduled to arrive . After a delay and a missed call, the customer expressed concern about the technician's arrival. The agent confirmed that the technician was still scheduled for and provided an estimated arrival time of , assuring the customer that they would put notes to expedite the technician's arrival. The customer expressed understanding and appreciation for the assistance - 4 min mute +8 min mute </t>
  </si>
  <si>
    <t xml:space="preserve">2175408561</t>
  </si>
  <si>
    <t xml:space="preserve">Zero AER, No paraphrasing of the customer's concern to be aligned from the beginning, Selling and over selling before providing any type of a resolution, Excessive mutes &amp; holds, Complicated way of Information delivery, No Recap at the end of the call. </t>
  </si>
  <si>
    <t xml:space="preserve">bp-rshara636</t>
  </si>
  <si>
    <t xml:space="preserve">2176173689</t>
  </si>
  <si>
    <t xml:space="preserve">customer demanded to speak with a supervisor without allowing agent to troubleshoot</t>
  </si>
  <si>
    <t xml:space="preserve">2174867274</t>
  </si>
  <si>
    <t xml:space="preserve">tone of voice needs to be more empathetic and understanding</t>
  </si>
  <si>
    <t xml:space="preserve">tone of voice needs to sound more friendly</t>
  </si>
  <si>
    <t xml:space="preserve"> active listening , no AER , wrong probing questions // lack of empathy , wrng ITG , scheduling a tech visit without running the no connectiity itg // mute and hold as well  active listening , no AER , wrong probing questions // lack of empathy , wrng ITG , scheduling a tech visit without running the no connectiity itg </t>
  </si>
  <si>
    <t xml:space="preserve">2175998757</t>
  </si>
  <si>
    <t xml:space="preserve">the NW SL plus is not part of her package as it is only with steaming or normal tv service not now </t>
  </si>
  <si>
    <t xml:space="preserve">10005044851785712105</t>
  </si>
  <si>
    <t xml:space="preserve">taking very long time till he got the issue , long hold , mute , call dropped , called back but straight to vm </t>
  </si>
  <si>
    <t xml:space="preserve">2176173850</t>
  </si>
  <si>
    <t xml:space="preserve">agent struggles with email issue // delivery and clarity // cx had hard time understanding the agent </t>
  </si>
  <si>
    <t xml:space="preserve">30011104481785795720</t>
  </si>
  <si>
    <t xml:space="preserve">service person was helpful., that is the cx verbatim </t>
  </si>
  <si>
    <t xml:space="preserve">2176329155</t>
  </si>
  <si>
    <t xml:space="preserve">did not end up giving resolution</t>
  </si>
  <si>
    <t xml:space="preserve">2175372527</t>
  </si>
  <si>
    <t xml:space="preserve">"The customer, , contacted the agent regarding issues with their computer and TV, which were experiencing intermittent internet connectivity problems. The customer mentioned that the internet would connect for a short time before disconnecting again and that they had rebooted the devices. The conversation ended without a resolution. Agent checked and found an outage on the area then the call dropped  call was the last call in the shift after the call dropped there is an attempt to call back yet there is no call back number or details found"</t>
  </si>
  <si>
    <t xml:space="preserve">2174743890</t>
  </si>
  <si>
    <t xml:space="preserve">"The customer contacted the agent because their cable service was not working despite a recent payment. After verifying account details, the agent explained that there was scheduled maintenance affecting their service, which the customer was not notified about. The agent could not schedule a technician visit due to the maintenance and promised to follow up to check on the service status. Agent kept asking the cst for the mac address  agent did not run the ITG she went directly to schedule tech.  agent went to tell the cst that there is an outage yet the call time was at 8:27 PM and the outage was planned to 30th at 1 AM. "</t>
  </si>
  <si>
    <t xml:space="preserve">2176700705</t>
  </si>
  <si>
    <t xml:space="preserve">the language proficiency was not clear, the questioning part was not clear by all means , over pitching was the reason  for the detractor as well , we should have offered the hotspot as a part of a resolution not the one and only resolution </t>
  </si>
  <si>
    <t xml:space="preserve">2176705807</t>
  </si>
  <si>
    <t xml:space="preserve"> the call ended up arranging a call back within 30 min with no attempt for a call back on the system // multiple refreshers hold and mute with no valid reason // active listening the cx had to repeat the no 3 times while his voice was clear // </t>
  </si>
  <si>
    <t xml:space="preserve">2176803908</t>
  </si>
  <si>
    <t xml:space="preserve">wrong itg </t>
  </si>
  <si>
    <t xml:space="preserve">bp-yali283</t>
  </si>
  <si>
    <t xml:space="preserve">2176435777</t>
  </si>
  <si>
    <t xml:space="preserve">The customer contacted the agent regarding their email being compromised and found on the dark web. They were initially unsure how to regain access but managed to change their password during the call. The agent confirmed that the customer was able to log in successfully after the password change. The customer expressed gratitude for the assistance provided.</t>
  </si>
  <si>
    <t xml:space="preserve">2176382218</t>
  </si>
  <si>
    <t xml:space="preserve">call was perfect but the outage remained</t>
  </si>
  <si>
    <t xml:space="preserve">2176238141</t>
  </si>
  <si>
    <t xml:space="preserve">mute exceeding and alot of silent gab </t>
  </si>
  <si>
    <t xml:space="preserve">2176179082</t>
  </si>
  <si>
    <t xml:space="preserve">mute exceeding for 11 min. !!</t>
  </si>
  <si>
    <t xml:space="preserve">2176229436</t>
  </si>
  <si>
    <t xml:space="preserve">mute for 15 min</t>
  </si>
  <si>
    <t xml:space="preserve">2176073887</t>
  </si>
  <si>
    <t xml:space="preserve">The customer called to set up their Internet at a new location. After troubleshooting steps, the agent determined that a technician visit was necessary. The earliest appointment available was on &lt;DATE_TIME&gt;, but the agent worked to find an earlier slot. Eventually, a technician was scheduled for &lt;DATE_TIME&gt; from &lt;DATE_TIME&gt;. The agent also informed the customer about a free mobile service offer for &lt;DATE_TIME&gt;, which the customer expressed interest in after resolving their Internet issue. The customer was provided with a ticket number for follow-up.</t>
  </si>
  <si>
    <t xml:space="preserve">2175872771</t>
  </si>
  <si>
    <t xml:space="preserve">the call was transferred to movers</t>
  </si>
  <si>
    <t xml:space="preserve">2176500306</t>
  </si>
  <si>
    <t xml:space="preserve">issue is not solved - refused to esclate th a superviour - cs asked for credit and yet no credit applied </t>
  </si>
  <si>
    <t xml:space="preserve">2175973927</t>
  </si>
  <si>
    <t xml:space="preserve">The customer called regarding Internet issues after moving into a new home. They had received a new modem from the XFINITY store but were unable to activate it. The agent verified the customer's account and attempted troubleshooting but found that the modem was not receiving an IP address. An appointment was scheduled for &lt;DATE_TIME&gt;, but the customer expressed dissatisfaction with the delay and inquired about a bill credit for the service not being provided. The agent confirmed that a credit could be applied after the issue was resolved and offered a free hotspot as a temporary solution, which the customer declined. , 10 min. mute !!</t>
  </si>
  <si>
    <t xml:space="preserve">2176014838</t>
  </si>
  <si>
    <t xml:space="preserve">email issue , agent stayed on line for 40 min to fix it yet the issue remained , cs hang-up while troubleshooting </t>
  </si>
  <si>
    <t xml:space="preserve">2176723601</t>
  </si>
  <si>
    <t xml:space="preserve">The customer called because their Internet was not working, indicated by a blinking yellow light on their modem. The agent diagnosed the issue and determined that a technician was needed. A technician was scheduled for &lt;DATE_TIME&gt;, and the customer was added to a waitlist for &lt;DATE_TIME&gt; appointment. The agent also offered a free mobile service to help the customer stay connected until the technician's arrival. The customer agreed to go to the XFINITY store to pick up a new modem and provided details to add another person to their account for the pickup. The appointment for the technician was confirmed for</t>
  </si>
  <si>
    <t xml:space="preserve">2175179800</t>
  </si>
  <si>
    <t xml:space="preserve">"The customer, , called to inquire about a refund of $86.89 following the termination of their service. They were informed that the refund would take , but it had not yet appeared on their credit card. The agent created a ticket to escalate the refund process and informed the customer that it could take for the refund to be processed. The customer expressed frustration at the delay but appreciated the agent's assistance and clarity during the call. HOW21579-ECM0023920182"</t>
  </si>
  <si>
    <t xml:space="preserve">2176633039</t>
  </si>
  <si>
    <t xml:space="preserve">"The customer called regarding a high payment of approximately 650 dollars that was set to be deducted from their account. They expressed frustration over being unaware of additional installation charges. The agent reviewed the account and acknowledged the customer's concerns but struggled to provide a clear resolution. The agent ultimately decided to transfer the customer to a supervisor for further assistance. Agent kept asking the customer questions that he can check from the system Call was 1 Hour and the agent kept inturrupting the customer and kept her repeating herself more than 1 time agent could've check the notation / XM360 "</t>
  </si>
  <si>
    <t xml:space="preserve">2176566026</t>
  </si>
  <si>
    <t xml:space="preserve">"The customer called to inquire about a router that was supposed to be resent to their address but had not arrived. After confirming the service address, the agent found that the router had been delivered to the wrong address. The agent arranged for the customer to pick up a new router from a nearby store and provided the store's address and hours. The customer confirmed they would go to the store to retrieve the modem. lack of empathy and human interaction"</t>
  </si>
  <si>
    <t xml:space="preserve">2176547901</t>
  </si>
  <si>
    <t xml:space="preserve">"Agent offered extender and information the CST it will keep the internet up for 6 hours (battary health)  Lack of human interaction - Zero empathy or acknowlgment for the cst feelings   The customer contacted the agent regarding ongoing internet connectivity issues, losing connection daily while working from home. The agent confirmed an outage in the area and offered a credit of $3.37 for the service disruption. They also discussed the option of renting a Wi-Fi extender to improve connectivity, but the customer declined the upgrade due to cost concerns. The customer expressed dissatisfaction and mentioned considering switching providers if the issues persist. "</t>
  </si>
  <si>
    <t xml:space="preserve">"agent offered extender and information the cst it will keep the internet up for 6 hours (battary health) - the cst was on essintial  informed the cst that we has nothing to do right now you can buy the extender online ,I dont know the tech will come to you and inform you with everything   Lack of human interaction - Zero empathy or acknowlgment for the cst feelings   The customer contacted the agent regarding ongoing internet connectivity issues, losing connection daily while working from home. The agent confirmed an outage in the area and offered a credit of $3.37 for the service disruption. They also discussed the option of renting a Wi-Fi extender to improve connectivity, but the customer declined the upgrade due to cost concerns. The customer expressed dissatisfaction and mentioned considering switching providers if the issues persist. "</t>
  </si>
  <si>
    <t xml:space="preserve">100070933</t>
  </si>
  <si>
    <t xml:space="preserve">"The customer contacted the agent regarding issues accessing Disney Plus, which they believed was included in their subscription. After checking the account, the agent confirmed that Disney Plus should be included and suggested logging out and back in. The customer expressed frustration, stating this was their fifth conversation about the issue and ended the call without resolution. Agent used 3Min Mute  Agent lack active listening and the cst was talking about disney inculded in his backage yet the agent after the hold return to talk to the cst about peacock subscription.  Agent asked the cst to logout and then log in again and informed him will give him the number for CSA to assist him while the whole case is within our scope "</t>
  </si>
  <si>
    <t xml:space="preserve">2176441479</t>
  </si>
  <si>
    <t xml:space="preserve">The customer called to report that their Internet was not working after moving to a new address. They expressed frustration over being transferred multiple times and having to troubleshoot without resolution. The agent confirmed the customer's new address and verified their identity. After troubleshooting, the agent determined that a technician was needed to resolve the issue and scheduled an appointment for the customer. The customer was informed they would receive a text message with the appointment details.</t>
  </si>
  <si>
    <t xml:space="preserve">2176881232</t>
  </si>
  <si>
    <t xml:space="preserve">delivery and clarity // mute // lack of rapport </t>
  </si>
  <si>
    <t xml:space="preserve">2176572485</t>
  </si>
  <si>
    <t xml:space="preserve">Sanas. Customer did not believe she was speaking with a live person.</t>
  </si>
  <si>
    <t xml:space="preserve">2177120138</t>
  </si>
  <si>
    <t xml:space="preserve">Agent relied on excessive mute instead of building rapport</t>
  </si>
  <si>
    <t xml:space="preserve">10002013761785854113</t>
  </si>
  <si>
    <t xml:space="preserve"> delayed greeting //no empathy //hesitannce as well </t>
  </si>
  <si>
    <t xml:space="preserve">2176324801</t>
  </si>
  <si>
    <t xml:space="preserve">2177298215</t>
  </si>
  <si>
    <t xml:space="preserve">Customer complained of the the accent of the agent</t>
  </si>
  <si>
    <t xml:space="preserve">Agent placed mute and spoke in arabic during the call and customer hung up</t>
  </si>
  <si>
    <t xml:space="preserve">2176833735</t>
  </si>
  <si>
    <t xml:space="preserve">Customer said agent did well, was dissatisfied with service itself, not interaction</t>
  </si>
  <si>
    <t xml:space="preserve">2175825213</t>
  </si>
  <si>
    <t xml:space="preserve">Agent didn't show any kind of empathy or reassurance and wasn't able to resolve on the call due to knowledge gap and call dropped and never called back the customer.</t>
  </si>
  <si>
    <t xml:space="preserve">2175829493</t>
  </si>
  <si>
    <t xml:space="preserve">Agent didn't paraphrase the customer's concern this shows lack of active listening and didn't show any kind of empathy or reassurance and there was no room for the customer to vent out, Huge amount of dead air and silent gaps 13 mins of mute, Mis information to gain a sale, Cutting out the customer while speaking, Giving attitude to the customer call ended in a sup call request</t>
  </si>
  <si>
    <t xml:space="preserve">2175841400</t>
  </si>
  <si>
    <t xml:space="preserve">Agent have the mic pretty close to his mouth and sanas isn't working and didn't paraphrase the customer's concern and didn't show any kind of AER only shower el (R), Using the mute button or the mic is cutting as a technical issue has to be checked, Talking too fast that some of the words aren't clear enough and are cutt off, Some silent gaps, Delayed resolution since minute 3 till 13, Knowledge gap on how can the customer change his/her wifi password from an owned modem, wasn't actively listening and didn't probe enough on the why the cable wasn't working in the first place.</t>
  </si>
  <si>
    <t xml:space="preserve">2175689731</t>
  </si>
  <si>
    <t xml:space="preserve">Poor Greeting, Didn't say hi or ask how is the customer is doing in the beginning of the call, Didn't Paraphrase the customer's concern and asked about his name twice, the modem light is at the top of the modem, Zero ITGs Line of questions, 3 Mins of mute made the customer think that the call has dropped!, Booked a tech without proper probing and trying to deliver a resolution, Clashing with the customer and challenging the customer not smooth with the customer, Keeps repeating the coaxial cable needs to be replaced, Promoting an owned modem, After pitch customer said am not gonna pay anything and agent didn't respond at all that it's totaly for free on us for the next year and confirmed it!!!, Didn't de-esclate once the customer asked for a supervisor, Customer was begging for a resolution and was willing to team up but agent wasn't willing.</t>
  </si>
  <si>
    <t xml:space="preserve">2176100670</t>
  </si>
  <si>
    <t xml:space="preserve">Talking arabic in the call, Keeps talking with mates while not on mute, Zero ITG line of Questions, Mis informed the customer about coming after 6 PM and could easily ask her the tech to come at her days off, call dropped and didn't call back the customer </t>
  </si>
  <si>
    <t xml:space="preserve">2176075833</t>
  </si>
  <si>
    <t xml:space="preserve">Talked arabic at the beginning of the call, Didn't parahrase the customer's concern to show perfect alignment from the git go, Keeps talking arabic in the background, Silent gaps and mutes, was cheerful and did resolve and customer was happy by the end of the call. </t>
  </si>
  <si>
    <t xml:space="preserve">2176362997</t>
  </si>
  <si>
    <t xml:space="preserve">Perfect call so far but, "Wasting your time here", Mis info about the equipment , Didn't reach out to me to seek a solution for this case</t>
  </si>
  <si>
    <t xml:space="preserve">2176592994</t>
  </si>
  <si>
    <t xml:space="preserve">Complaints about the pricing even though the agent lowered the bill to the max but the customer wasn't satisfied enough with the resolution and said will call back and hanged up.</t>
  </si>
  <si>
    <t xml:space="preserve">2176631631</t>
  </si>
  <si>
    <t xml:space="preserve"> Using closed questions not open ended ones to let the customer talk and vent out more, Didn't show AER , Lack of active listening and being slow and making the customer to repeat himself several times over and over, Didn't probe on which credintial the customer is using to access the app since its showing the old addresses only, "Updating the app is too generic of a resolution",  Didn't reach out or seek support for the case and the customer hanged up since not getting any kind of help.</t>
  </si>
  <si>
    <t xml:space="preserve">2176722227</t>
  </si>
  <si>
    <t xml:space="preserve">Delayed greeting for 14 second, but great greeting, Didn't paraphrase the customer's concern to align from the beginning, agent tried everything and gave the customer the  CSA number to further assist the customer with his email concern.</t>
  </si>
  <si>
    <t xml:space="preserve">2176829828</t>
  </si>
  <si>
    <t xml:space="preserve">2176849840</t>
  </si>
  <si>
    <t xml:space="preserve">2176889447</t>
  </si>
  <si>
    <t xml:space="preserve">2176881663</t>
  </si>
  <si>
    <t xml:space="preserve">2177016975</t>
  </si>
  <si>
    <t xml:space="preserve">didn't ask about how the customer's doing and muted for 15 seconds right in the beginning of the call, Didn't paraphrase the customer's concern to align and didn't show any kind of AER, Email concern knowledge gap "Migration knowledge gap", agent is doesn't collected his words before saying it out loud to be straight forward and professional &amp; trusty, Call dropped and agent didn't initiate a call back</t>
  </si>
  <si>
    <t xml:space="preserve">2177091267</t>
  </si>
  <si>
    <t xml:space="preserve">Ghost call 1 min call and dropped.</t>
  </si>
  <si>
    <t xml:space="preserve">2177091866</t>
  </si>
  <si>
    <t xml:space="preserve">False promise, Didn't show any kind of AER at the beginning of the call even of the customer was hanged up on which is crucial in this scenario, didn't ask about the concern from the beginning, Askef about it at the 16th minute of the call, Placed the customer on hold and the call dropped and agent failed to call back the customer</t>
  </si>
  <si>
    <t xml:space="preserve">bp-shanfi435</t>
  </si>
  <si>
    <t xml:space="preserve">2177174499</t>
  </si>
  <si>
    <t xml:space="preserve">2177246359</t>
  </si>
  <si>
    <t xml:space="preserve">Didn't ask about how the customer is doing agent is not consistent with this matter, Didn't paraphrase clearly the customer's concern, patient and promised the customer for a call back but didn't call back, broken promise</t>
  </si>
  <si>
    <t xml:space="preserve">2177299454</t>
  </si>
  <si>
    <t xml:space="preserve">Delayed greeting, Didn't manage to ask how the customer's doing at the beginning, Didn't paraphrase the customer's concern for alignment and ensuring of active listening,  Clashing with the customer and assuming without listening, Didn't show any kind of AER for losing the service, Excessive mutes that made the customer check for pressence, very cold closure alone can cause a detractor </t>
  </si>
  <si>
    <t xml:space="preserve">2177276314</t>
  </si>
  <si>
    <t xml:space="preserve">Didn't probe or ask any kind of discovery questions and provided tech as a first option, zero ITG line of questions, Call avoidance 11 mins of consecutive mute, prolonged the call and didn't resovle and sent a tech, pure call avoidance</t>
  </si>
  <si>
    <t xml:space="preserve">2177408482</t>
  </si>
  <si>
    <t xml:space="preserve">call transferred to new sales but there is Delayed greeting after 21 secs, Didn't manage to ask how the customer's doing at the beginning, paraphrase the customer's concern late after a silent gap and ensuring of active listening, Excessive mutes</t>
  </si>
  <si>
    <t xml:space="preserve">2177476687</t>
  </si>
  <si>
    <t xml:space="preserve">Invalid transfer and my agent didn't even get the call to begin with and to get the survey</t>
  </si>
  <si>
    <t xml:space="preserve">2177499200</t>
  </si>
  <si>
    <t xml:space="preserve">Great greeting, Didn't full demo the AER fully but still did some, Excessive amount of silent gaps that can be considered as call avoidance ( 11 mins mute out of 18 mins call ) </t>
  </si>
  <si>
    <t xml:space="preserve">2177498115</t>
  </si>
  <si>
    <t xml:space="preserve">Didn't actively listen to the concern and didn't paraphrase it correctly and there is a knowledge gap in the 2.4 &amp; 5 ghz, but the issue was resolved perfectly fine and customer was happy and provided positive feedback</t>
  </si>
  <si>
    <t xml:space="preserve">2175381023</t>
  </si>
  <si>
    <t xml:space="preserve">2173725642</t>
  </si>
  <si>
    <t xml:space="preserve">2177283283</t>
  </si>
  <si>
    <t xml:space="preserve"> lack of empathy , not addressin g that technician cancelation can be very frustrating and giving a legit explanation why did that happen , not assuring that the cx will be getting a credit back for the outages , and making sure that the line and the hoytspot feature is part of the resolution and making sure that the cx feels heard and appreciated , mainly relating to the cx </t>
  </si>
  <si>
    <t xml:space="preserve">2177269953</t>
  </si>
  <si>
    <t xml:space="preserve">: you did great explaining the bill details to the cx but  your first instict was stating that this is not your scope of service which is not true we dont have a streaming departmet it is a chat support and we communicate with them on the cx behalf and also we could have sent the cx details of the stream now package as Self services to compare between packages and select the one that suits him the most aticle no HOW21668// also the educational part could have been more detailed as you could feel that the cx didnt get it from the first time , we could have been more detailed and segmented //but super proud of elimenating hold and mute as well  // also we shouldnt say i dont know exactly how much is your bill , we can say the exact no exclusing taxes and fees , then giving the cx an opportunity to think about it and offering self services how to do it online // and more importantly we shant disconnect stream saver from disconnect it is doable through acsr , take care of that moving forward , no transfer wiothout validation , dont jump into conclusions that another department can do it while it is doable from our end , check mercury , sme first , me as well , before transfering </t>
  </si>
  <si>
    <t xml:space="preserve">2177506103</t>
  </si>
  <si>
    <t xml:space="preserve">no active listening at all the cx was asking about the outage completion date as she got interview next day morning  and you were saying the store  locations // also no empathy at all , no expectations about the compensation </t>
  </si>
  <si>
    <t xml:space="preserve">2177248037</t>
  </si>
  <si>
    <t xml:space="preserve">the cxx was super appreciative for the service provided by the agent yet dissatisfied about the time for the tech visit </t>
  </si>
  <si>
    <t xml:space="preserve">2177774264</t>
  </si>
  <si>
    <t xml:space="preserve">the phone cant be unlocked acc to the policy , not agent related </t>
  </si>
  <si>
    <t xml:space="preserve">2177657262</t>
  </si>
  <si>
    <t xml:space="preserve">mute was unaxplainable in most of the call duration ,lack of empathy , no rapport , we could have said lemme run some diagnostics on the infra structure and check your bills till you reach home instead on the dead air , and when the cx says if it didnt work i will just call you guys back we dont respond ok , and finbalize the call , our inial instict is to offer call back preventing the cx from contavcting us back , or directiung him to the SSO to do it online , cx sensed the duration of the call due to the severe mute , i wanna see changes in that part specifically , mute does have a major impact on your NPS preventing you from achieveing the target and hindering you from the comeback , iwant the old mostafa who builds rapport , who got the inital ownership of im not gonna surrender till the issue is fixed one</t>
  </si>
  <si>
    <t xml:space="preserve">2177661409</t>
  </si>
  <si>
    <t xml:space="preserve">mute 1.56 to 3.18 //4.23 to 7  acc to the cx the representative were rude as well // took forever and didnt say why he left me that peroiod of time , with no explaination, claiming she cant rent the movie due to outstanding balance while the cx doesnt have an outstanding balance  so this is not a legit reason by all means , wrong info as well </t>
  </si>
  <si>
    <t xml:space="preserve">2177569849</t>
  </si>
  <si>
    <t xml:space="preserve">complained about tech not showing up</t>
  </si>
  <si>
    <t xml:space="preserve">2177360640</t>
  </si>
  <si>
    <t xml:space="preserve">need to show empathy</t>
  </si>
  <si>
    <t xml:space="preserve">Agent over verified unnecessarily</t>
  </si>
  <si>
    <t xml:space="preserve">2176389918</t>
  </si>
  <si>
    <t xml:space="preserve">need to do more effort </t>
  </si>
  <si>
    <t xml:space="preserve">2177931649</t>
  </si>
  <si>
    <t xml:space="preserve">intonation looks dull , like you are bored through out the whole call// didnt match the same sense of urgency with the cx // didnt seaze the opportunity to offer a line as an alternative solution </t>
  </si>
  <si>
    <t xml:space="preserve">2177656816</t>
  </si>
  <si>
    <t xml:space="preserve">mute//intonation is slouchy </t>
  </si>
  <si>
    <t xml:space="preserve">2177663113</t>
  </si>
  <si>
    <t xml:space="preserve">wrong rating for the agent</t>
  </si>
  <si>
    <t xml:space="preserve">2177666660</t>
  </si>
  <si>
    <t xml:space="preserve"> take your time in the greeting as it was too fast to the extend that the cx stated i cant undertand you , mute , delayed responses kills the vibe between yu and the cx , cx was furious so we shouldnt say i just need you to calm down even if your intentions were pure as this will escalate the situation more </t>
  </si>
  <si>
    <t xml:space="preserve">2177627995</t>
  </si>
  <si>
    <t xml:space="preserve">Amazon knowledge gab </t>
  </si>
  <si>
    <t xml:space="preserve">submitted before , wrong submission </t>
  </si>
  <si>
    <t xml:space="preserve">2175027599</t>
  </si>
  <si>
    <t xml:space="preserve">The customer, , contacted the agent regarding a call they received from the number and their difficulty in returning it. The agent clarified that the call was about an email, which the customer no longer had, and advised them to ignore the call. The customer expressed their confusion and ended the call.</t>
  </si>
  <si>
    <t xml:space="preserve">2174255474</t>
  </si>
  <si>
    <t xml:space="preserve">The customer, , called to inquire about his Internet service not working after a transfer from his apartment to a new house. He provided the addresses for both the old and new locations. The agent attempted to verify the account by sending a code to 's phone, but did not receive the text. The call ended without resolving the issue.</t>
  </si>
  <si>
    <t xml:space="preserve">4300729</t>
  </si>
  <si>
    <t xml:space="preserve">The customer contacted the agent regarding a service disruption after receiving a text about work in their neighborhood. They reported that their TV picture was snowy and the sound was poor. The agent attempted to diagnose the issue and suggested checking the cable connections, but the customer insisted the problem arose after the service work. The customer expressed frustration and threatened to return their equipment if the issue was not resolved.</t>
  </si>
  <si>
    <t xml:space="preserve">2176806297</t>
  </si>
  <si>
    <t xml:space="preserve">The customer contacted the agent regarding a new modem that was not activating properly. After troubleshooting, the agent determined that the issue was related to the inside wiring and scheduled a technician visit for to resolve the problem. The customer confirmed the appointment and expressed satisfaction with the resolution.</t>
  </si>
  <si>
    <t xml:space="preserve">2178073873</t>
  </si>
  <si>
    <t xml:space="preserve">tonality has to be more enthusiastic , setting expectations has to be better </t>
  </si>
  <si>
    <t xml:space="preserve">2178296202</t>
  </si>
  <si>
    <t xml:space="preserve">cx is dissatisfied about the ivr waitning time only </t>
  </si>
  <si>
    <t xml:space="preserve">2178061873</t>
  </si>
  <si>
    <t xml:space="preserve">active listening, identifying route cause of the issue.</t>
  </si>
  <si>
    <t xml:space="preserve">2178065774</t>
  </si>
  <si>
    <t xml:space="preserve"> lack of rapport , active listening</t>
  </si>
  <si>
    <t xml:space="preserve">2174775607</t>
  </si>
  <si>
    <t xml:space="preserve">2177446844</t>
  </si>
  <si>
    <t xml:space="preserve">"The customer called to request a technician to replace a damaged line. The agent confirmed the issue and attempted to schedule a technician visit. The earliest appointment available was on , which the customer found unacceptable. The agent placed the customer on a waiting list for any sooner appointments and offered a free mobile line as an alternative, which the customer declined. The agent assured the customer they would be contacted with any updates regarding the appointment. slowly speaking with no emotions -good thing that you kept the cst engage during your proccess to look up for another tech apoinment   "</t>
  </si>
  <si>
    <t xml:space="preserve">2177411558</t>
  </si>
  <si>
    <t xml:space="preserve">did not attempt to deescalate call or show empathy</t>
  </si>
  <si>
    <t xml:space="preserve">2177723208</t>
  </si>
  <si>
    <t xml:space="preserve">billing issue, agent raised ticket for it</t>
  </si>
  <si>
    <t xml:space="preserve">2175735887</t>
  </si>
  <si>
    <t xml:space="preserve">"The customer called to express frustration about a missed technician appointment scheduled , as it was now without any technician arriving. The agent checked the status and confirmed that the technician would arrive within . The agent also assured the customer that they would be compensated for the time without service. The customer expressed understanding and ended the call on a positive note. aent showed ownership and assurance for the customer  mute  is not justified yet I know that this is not a behavior so please ensure to engage more with the customer  ask propping questions. "</t>
  </si>
  <si>
    <t xml:space="preserve">2174250051</t>
  </si>
  <si>
    <t xml:space="preserve">The customer called on behalf of regarding issues with their TV service after a technician visit. The technician had fixed some TVs but left others not working. The agent attempted to troubleshoot but could not resolve the issue and escalated the call to a supervisor for further assistance. The customer expressed frustration over the unresolved issues and the technician's actions.</t>
  </si>
  <si>
    <t xml:space="preserve">bp-bp-ezahra032</t>
  </si>
  <si>
    <t xml:space="preserve">2176322641</t>
  </si>
  <si>
    <t xml:space="preserve">The customer called regarding their printer not connecting to a new router they installed after receiving it from the store. The agent discovered that the customer had received a modem with a landline, which was with the printer. The agent instructed the customer to return the incorrect modem and obtain a new one without a landline, assuring them that their username and password would remain the same. A credit of $21.11 was applied to the customer's account for the inconvenience. The agent also offered to follow up in to ensure everything was working properly.</t>
  </si>
  <si>
    <t xml:space="preserve">2178256913</t>
  </si>
  <si>
    <t xml:space="preserve">1- Didn't ask about the customer 2- Didn't paraphrase 3- No AER 4- Didn't follow the ITG LOQ at it's time 5- Used mutes and an excessive one 6- Coaxial??? 7- CX hanged up and agent didn't manage to call back 8- No probing &amp; discovery questions</t>
  </si>
  <si>
    <t xml:space="preserve">1- NO sanas 2- Sounded Warm and chill 3- Excessive mute  4- Paraphrased the cocern late but did 5- Deviated from the main concern, must focus on the main concern first 6-Partial ITG Line of questions " Recommended Response" 7- Focused on the sale instead of the resolution.</t>
  </si>
  <si>
    <t xml:space="preserve">2178278864</t>
  </si>
  <si>
    <t xml:space="preserve">1- AER must be specific &amp; related to the customer's situation 2- Control your atmosphere and be on top of your calls 3- Lack of Ownership  4- Placed an excessive mute that led to cx hanging up the call and gave a detractor</t>
  </si>
  <si>
    <t xml:space="preserve">2177977902</t>
  </si>
  <si>
    <t xml:space="preserve">1- Listening instead of hearing &gt; am all ears 2- Sir &gt;&gt;&gt; say the name  3- Asking about the 2ndry cocnern early in the call 4- Match the cx is energy  5- Prepare and facilitate in a simple and easy way to be understood clearly</t>
  </si>
  <si>
    <t xml:space="preserve">2176440664</t>
  </si>
  <si>
    <t xml:space="preserve">"The customer contacted the agent regarding an issue with their buried line, which had been hanging out for after a 's visit. The agent confirmed the customer's account and scheduled a appointment for to resolve the issue. The customer expressed frustration over the delay but was generally satisfied with the service. The agent also discussed potential upgrades to the customer's internet service, but the customer declined the offers and wanted to maintain their current plan until it changed in . the cst asked the agent about the price grantee when it should be ending and the agent ignored the cst question and asked if there is anything to assist with agent kept asking the same question rushing the cst to end the call as the cst was not convenced with her offer  ""Attitude towrds customer"" "</t>
  </si>
  <si>
    <t xml:space="preserve">2174821402</t>
  </si>
  <si>
    <t xml:space="preserve">The customer, , called to complain about a previous agent's rude behavior during a recent interaction. She explained that she had made a payment arrangement but was charged twice, and the previous agent was unhelpful and disrespectful. The current agent acknowledged the complaint, reviewed the account details, and informed that a refund request was denied due to the account balance. The agent offered to escalate the complaint about the previous agent's behavior to the quality team. expressed her frustration but appreciated the current agent's assistance.</t>
  </si>
  <si>
    <t xml:space="preserve">2173821193</t>
  </si>
  <si>
    <t xml:space="preserve">Yahho email issue and the cst dissatisfied with the transfer to yahoo server</t>
  </si>
  <si>
    <t xml:space="preserve">2174358779</t>
  </si>
  <si>
    <t xml:space="preserve">The customer contacted the agent regarding issues with their cable box. They received a new box intended for an extra TV, but they needed the main DVR box instead. The customer expressed frustration over the mix-up and mentioned they would call back tomorrow to resolve the issue. The agent attempted to assist but the customer felt it was necessary to call back later.</t>
  </si>
  <si>
    <t xml:space="preserve">2173529268</t>
  </si>
  <si>
    <t xml:space="preserve">The customer called to express frustration over the delay in burying their cable, which has been pending for . They reported multiple previous calls and mentioned threats from their neighbor due to the unburied line. The agent checked the ticket and explained that bad weather had caused delays. The agent promised to call back on with an update. The customer remained unsatisfied with the service and expressed a strong desire for immediate action.</t>
  </si>
  <si>
    <t xml:space="preserve">"The customer contacted the agent regarding issues with their cable box. They received a new box intended for an extra TV, but they needed the main DVR box instead. The customer expressed frustration over the mix-up and mentioned they would call back tomorrow to resolve the issue. The agent attempted to assist but the customer felt it was necessary to call back later. CST already had a bad expiriance with the old agents and he was not sure she will be able to help  4 days is not a small time  need to know how to deliver the bad news "</t>
  </si>
  <si>
    <t xml:space="preserve">2174091675</t>
  </si>
  <si>
    <t xml:space="preserve">The customer called because their Internet was not working. The agent discovered a past due amount of $160, which included a $100 fee. After confirming the customer had set up the modem themselves, the agent agreed to waive the fee and instructed the customer to pay $64 to restore service. The customer opted to make the payment over the phone. The agent assured the customer that the Internet would be working within after the payment was processed.</t>
  </si>
  <si>
    <t xml:space="preserve">2177806534</t>
  </si>
  <si>
    <t xml:space="preserve">ITG</t>
  </si>
  <si>
    <t xml:space="preserve">2177351195</t>
  </si>
  <si>
    <t xml:space="preserve">&amp; ITG</t>
  </si>
  <si>
    <t xml:space="preserve">2177925900</t>
  </si>
  <si>
    <t xml:space="preserve">2177328999</t>
  </si>
  <si>
    <t xml:space="preserve">2176604118</t>
  </si>
  <si>
    <t xml:space="preserve">2177750405</t>
  </si>
  <si>
    <t xml:space="preserve">call transferred</t>
  </si>
  <si>
    <t xml:space="preserve">2177291132</t>
  </si>
  <si>
    <t xml:space="preserve">didn't provide the cst the feedback in decent way</t>
  </si>
  <si>
    <t xml:space="preserve">2178157049</t>
  </si>
  <si>
    <t xml:space="preserve">2177919299</t>
  </si>
  <si>
    <t xml:space="preserve">2177801409</t>
  </si>
  <si>
    <t xml:space="preserve">no appointments</t>
  </si>
  <si>
    <t xml:space="preserve">2178262523</t>
  </si>
  <si>
    <t xml:space="preserve">2177299237</t>
  </si>
  <si>
    <t xml:space="preserve">2177153212</t>
  </si>
  <si>
    <t xml:space="preserve">2176325868</t>
  </si>
  <si>
    <t xml:space="preserve">SOAK</t>
  </si>
  <si>
    <t xml:space="preserve">2178425862</t>
  </si>
  <si>
    <t xml:space="preserve">2178089230</t>
  </si>
  <si>
    <t xml:space="preserve">long AI IVR</t>
  </si>
  <si>
    <t xml:space="preserve">2176542625</t>
  </si>
  <si>
    <t xml:space="preserve">AI</t>
  </si>
  <si>
    <t xml:space="preserve">2177082788</t>
  </si>
  <si>
    <t xml:space="preserve">2177417308</t>
  </si>
  <si>
    <t xml:space="preserve">2177083674</t>
  </si>
  <si>
    <t xml:space="preserve">need 1000$ compensation out of the agent scope</t>
  </si>
  <si>
    <t xml:space="preserve">2173005393</t>
  </si>
  <si>
    <t xml:space="preserve">2178497152</t>
  </si>
  <si>
    <t xml:space="preserve">"The customer contacted the agent to add a new phone line to their account but faced issues with device compatibility and account details. The agent assisted in checking the IMEI number and confirmed compatibility. The customer expressed confusion regarding the activation process and the status of their existing lines. The agent attempted to guide the customer through the activation steps but faced communication challenges. The call ended without a clear resolution to the customer's concerns about the additional line and charges. Did not check with the XM support to remove the wrong device that was added. Even after the customer tried to confirm how many lines she will be pay for - she confirmed it is only 3 lines despite the fact that the device was already on the account and ready for activation"</t>
  </si>
  <si>
    <t xml:space="preserve">2178352845</t>
  </si>
  <si>
    <t xml:space="preserve">The customer contacted the agent due to ongoing issues with their cell phone service, specifically problems with making and receiving calls. The agent requested verification details and suggested updating the phone's software. The customer expressed frustration over previous unresolved issues and the suggestion of a signal booster, which they felt was not a viable solution. The conversation escalated with the customer requesting to speak to a supervisor due to dissatisfaction with the support provided. The call ended without a clear resolution.</t>
  </si>
  <si>
    <t xml:space="preserve">2178349496</t>
  </si>
  <si>
    <t xml:space="preserve">exceeding hold by 7min</t>
  </si>
  <si>
    <t xml:space="preserve">2178590685</t>
  </si>
  <si>
    <t xml:space="preserve">customer comment: hold for 15 minutes</t>
  </si>
  <si>
    <t xml:space="preserve">2178595802</t>
  </si>
  <si>
    <t xml:space="preserve">tv channels got removed but there was no empathy shown on the call</t>
  </si>
  <si>
    <t xml:space="preserve">2178557045</t>
  </si>
  <si>
    <t xml:space="preserve">The customer called to report that their mother's phone line was not functioning, preventing her from making or receiving calls for two days. The agent provided troubleshooting steps, including checking call blocking settings and resetting network settings. After confirming the issue, the agent added a compensation of $7.31 to the account for the inconvenience. The customer expressed satisfaction with the assistance provided. </t>
  </si>
  <si>
    <t xml:space="preserve">2178592482</t>
  </si>
  <si>
    <t xml:space="preserve">The customer called to update the credit card on their XFINITY mobile account but faced issues because the account was under their son's name, Alex. The agent explained that a verification link needed to be sent to Alex's contact information to proceed with the update. The customer expressed frustration over the repeated need to involve Alex and insisted that they should be the primary account holder. The call ended with the customer stating they would discuss the matter with Alex to resolve the issue.</t>
  </si>
  <si>
    <t xml:space="preserve">2178354949</t>
  </si>
  <si>
    <t xml:space="preserve">"The customer called to port their landline number to T-Mobile and needed assistance verifying their account number and pin. The agent provided the account number and instructed the customer to visit an XFINITY store with a valid photo ID to complete the transfer. The customer expressed frustration about not being able to complete the process online but appreciated the assistance provided. ""Releasing customer information """</t>
  </si>
  <si>
    <t xml:space="preserve">2178004674</t>
  </si>
  <si>
    <t xml:space="preserve">Call was great but the agent didn't manage to call back the customer as promised to finish everything</t>
  </si>
  <si>
    <t xml:space="preserve">2178141730</t>
  </si>
  <si>
    <t xml:space="preserve">Didn't paraphrase the customer's concern,Didn't show any AER, Didn’t absorp the customer's anger at all, Horrible mutes &amp; Holds </t>
  </si>
  <si>
    <t xml:space="preserve">2178238892</t>
  </si>
  <si>
    <t xml:space="preserve">1 min Delayed greeting, Didn't paraphrase the concern, Didn't try to resolve, didn't try to probe or open any kind of ITG and said that he is from the billing department which is clearly not, no resolution at all </t>
  </si>
  <si>
    <t xml:space="preserve">2178616272</t>
  </si>
  <si>
    <t xml:space="preserve">customer complains about a charge she was not intially aware of, agent educated her and provided credit for inconvenience</t>
  </si>
  <si>
    <t xml:space="preserve">2178162286</t>
  </si>
  <si>
    <t xml:space="preserve">The customer, &lt;PERSON&gt;, called regarding issues activating their own Netgear modem after previously activating service with Xfinity. The agent verified the customer's information and attempted to assist with the activation process. After troubleshooting, the agent determined that a technician would need to be sent to check the connections. An appointment was scheduled for &lt;DATE_TIME&gt; from &lt;DATE_TIME&gt;. The customer expressed frustration about the wait but ultimately agreed to the technician visit.</t>
  </si>
  <si>
    <t xml:space="preserve">2178381092</t>
  </si>
  <si>
    <t xml:space="preserve">2178602181</t>
  </si>
  <si>
    <t xml:space="preserve">customer gave detractor due to tech availability even tho agent scheduled the earliest one</t>
  </si>
  <si>
    <t xml:space="preserve">2178367981</t>
  </si>
  <si>
    <t xml:space="preserve">agent follows call flow flawlessly, customer dissatisfied with service itself</t>
  </si>
  <si>
    <t xml:space="preserve">2178489732</t>
  </si>
  <si>
    <t xml:space="preserve">2176980233</t>
  </si>
  <si>
    <t xml:space="preserve">njo tc appointment</t>
  </si>
  <si>
    <t xml:space="preserve">2179080161</t>
  </si>
  <si>
    <t xml:space="preserve">not 100% sure of the steps for resolving the issue</t>
  </si>
  <si>
    <t xml:space="preserve">2179052742</t>
  </si>
  <si>
    <t xml:space="preserve">the offer is valid via the SSO only</t>
  </si>
  <si>
    <t xml:space="preserve">2178995222</t>
  </si>
  <si>
    <t xml:space="preserve">we need to set expectation with the issue and the TC</t>
  </si>
  <si>
    <t xml:space="preserve">2178660438</t>
  </si>
  <si>
    <t xml:space="preserve">TC didn't arrive and mark the appointment as completed</t>
  </si>
  <si>
    <t xml:space="preserve">2178422069</t>
  </si>
  <si>
    <t xml:space="preserve">cst led the call</t>
  </si>
  <si>
    <t xml:space="preserve">2178495222</t>
  </si>
  <si>
    <t xml:space="preserve">mute 5 min. then mute 7 min. </t>
  </si>
  <si>
    <t xml:space="preserve">2178348699</t>
  </si>
  <si>
    <t xml:space="preserve">The customer contacted the agent regarding &lt;US_DRIVER_LICENSE&gt; in setting up their Internet service after picking up equipment from a local store. The agent informed the customer that a technician would need to be dispatched for &lt;US_DRIVER_LICENSE&gt;, which would incur a $100 charge. The customer expressed dissatisfaction with the fee, stating they were on a fixed income and could not afford it. The agent attempted to check with the back office for a possible waiver of the installation fee but was unable to do so. Ultimately, the customer decided to return the equipment and cancel the service due to the cost.</t>
  </si>
  <si>
    <t xml:space="preserve">the setting expectations part why the cx is experiencing intermeitency could have been better , mute can be lesser as well </t>
  </si>
  <si>
    <t xml:space="preserve">2178567771</t>
  </si>
  <si>
    <t xml:space="preserve">mute , too much AHT , hesitance intonation should indicates more confidence , over pitching before fixing the issue , we should introduce the line as a part of the resolution </t>
  </si>
  <si>
    <t xml:space="preserve">2178594597</t>
  </si>
  <si>
    <t xml:space="preserve">expressing frustration over a previous representative's unhelpful assistance.</t>
  </si>
  <si>
    <t xml:space="preserve">2178892128</t>
  </si>
  <si>
    <t xml:space="preserve">customer experienced significant call quality issues,</t>
  </si>
  <si>
    <t xml:space="preserve">2178223158</t>
  </si>
  <si>
    <t xml:space="preserve">NFL is no longer with xifinity </t>
  </si>
  <si>
    <t xml:space="preserve">2178103884</t>
  </si>
  <si>
    <t xml:space="preserve">The customer called regarding ongoing internet issues for their elderly parents, who were without service for extended periods. They expressed concern about the delay in technician visits and the lack of a working telephone for their parents. The agent scheduled a technician appointment for &lt;DATE_TIME&gt; and informed the customer about a waitlist option for an earlier visit. The customer was appreciative of the assistance provided.</t>
  </si>
  <si>
    <t xml:space="preserve">2179380396</t>
  </si>
  <si>
    <t xml:space="preserve">mute setting expectations part why the cx needs the interference of a technician to reduce the frustration of the cx , we shant wait for the cx to ask do I have to wait for a certain color , we proactively set the cx expectations dear ,  Yet other than that you did pretty awesome in building rapport , engaging with the cx etc . </t>
  </si>
  <si>
    <t xml:space="preserve">2179524487</t>
  </si>
  <si>
    <t xml:space="preserve">appointment got cancelled without the cx consent </t>
  </si>
  <si>
    <t xml:space="preserve">2178855175</t>
  </si>
  <si>
    <t xml:space="preserve">Great call but there no resolution due to a knowledge gap in the returning mobile devices and generating the return label and agent promised to give the customer a call back and never called back the customer. </t>
  </si>
  <si>
    <t xml:space="preserve">2179897014</t>
  </si>
  <si>
    <t xml:space="preserve">someone extracted his extension during the call , called the cx back , straight to vm </t>
  </si>
  <si>
    <t xml:space="preserve">2179931041</t>
  </si>
  <si>
    <t xml:space="preserve">tech visit would take a week </t>
  </si>
  <si>
    <t xml:space="preserve">very rapid pace of talking , mumbling , took it offensively when the cx expressed that he does have a hard time hearing you , we are speaking to seniors we need to slow the pace , explain in clusters and be patient and never take it offensively.</t>
  </si>
  <si>
    <t xml:space="preserve">2179933267</t>
  </si>
  <si>
    <t xml:space="preserve">man could hardly speak english, very bad accent, could barely unferstand him. deduced that my modem failed, and is sending a new one through the mail in 5 business days!!! i have no internet until then!!! could i just go to a comcast store and pick one up??? need a credit on my next bill for lack of service that was the cx verbatim and this is because of the raip pace and the aggressive offensive attitude </t>
  </si>
  <si>
    <t xml:space="preserve">the cx verbatim was about the agent language proficiency , agent should be clearer , work on intonation , pace should be slowe , word selection and sentence structure was very poor </t>
  </si>
  <si>
    <t xml:space="preserve">2179280367</t>
  </si>
  <si>
    <t xml:space="preserve">lack of AER - knowledge gap in product (Xfi Pod (Extender)) - mutes - mis information about Xfi Pods due tot knowledge gap and led to no resolution on the call.</t>
  </si>
  <si>
    <t xml:space="preserve">2179193127</t>
  </si>
  <si>
    <t xml:space="preserve">Didn't paraphrase the customer's concern - Didn't show any AER - Call dropped in the verification process and agent didn't call back the customer</t>
  </si>
  <si>
    <t xml:space="preserve">2179194471</t>
  </si>
  <si>
    <t xml:space="preserve">2178976707</t>
  </si>
  <si>
    <t xml:space="preserve">Lack of active listening and lack of checking for understandment and matching the cx's accessibility - fake fake fake breaking the ice - Mr Mr with sanas sounds AI - Mono tonic - Zero ITG LOQs -  Excessive mutes - not matching the customer's pace - Giving customer an attitude impatient - Call dropped and failed to called back the customer </t>
  </si>
  <si>
    <t xml:space="preserve">2178938284</t>
  </si>
  <si>
    <t xml:space="preserve">Zero AER " I understand "- Excessive mutes - No ownership - Doesn't sound professional Name of the guy is " Lewis" - Escalate him fired back and it's negative - Didn't offer any ECM SSO so the customers can check on the status of the opened ticket</t>
  </si>
  <si>
    <t xml:space="preserve">2178872295</t>
  </si>
  <si>
    <t xml:space="preserve">Fraud case and cx was frustrated but there were lack of preparation before talking and a difficult to understand verbatims</t>
  </si>
  <si>
    <t xml:space="preserve">Great call but there no resolution due to a knowledge gap in the returning mobile devices and generating the return label and agent promised to give the customer a call back and never called back the customer and there was a lot of mutes and silent gaps</t>
  </si>
  <si>
    <t xml:space="preserve">2178951845</t>
  </si>
  <si>
    <t xml:space="preserve">great call from the agent but agent was dissatisfied with the drop issue and resolution timestamp  </t>
  </si>
  <si>
    <t xml:space="preserve">2179285618</t>
  </si>
  <si>
    <t xml:space="preserve">huge amount of dead air and mutes  - Didn't paraphrase anything - unprofessional behavior - Offered a call back and never called back the customer</t>
  </si>
  <si>
    <t xml:space="preserve">2179312842</t>
  </si>
  <si>
    <t xml:space="preserve">miss information - knowledge gap - lack of professionalism on the call - assumed that there is no supervisors - no resolution on the call </t>
  </si>
  <si>
    <t xml:space="preserve">2179612724</t>
  </si>
  <si>
    <t xml:space="preserve">Lack of ownership - Knowledge gap and poor product knowledge -Zero ITG usage and discovering and probing - Mis Information to end the call  -Invalid credits</t>
  </si>
  <si>
    <t xml:space="preserve">2180122986</t>
  </si>
  <si>
    <t xml:space="preserve">over promising</t>
  </si>
  <si>
    <t xml:space="preserve">2180055754</t>
  </si>
  <si>
    <t xml:space="preserve">we need to ensure cst that we are here to help and the TC is part of the resolution</t>
  </si>
  <si>
    <t xml:space="preserve">2179899084</t>
  </si>
  <si>
    <t xml:space="preserve">huge amount of refund</t>
  </si>
  <si>
    <t xml:space="preserve">2176126245</t>
  </si>
  <si>
    <t xml:space="preserve">long waiting on IVR</t>
  </si>
  <si>
    <t xml:space="preserve">2172706787</t>
  </si>
  <si>
    <t xml:space="preserve">u need to lead the call</t>
  </si>
  <si>
    <t xml:space="preserve">2180670771</t>
  </si>
  <si>
    <t xml:space="preserve">the agent ran the wrong itg , it should have been no picture instead of video activation or pic quality as the cx stated the 3 boxes are not functioning at all , so there was no resolution and invalid tech scheduling and spend 27 min in the call and the cx got frustrated out of contacting us with the no resolution </t>
  </si>
  <si>
    <t xml:space="preserve">2179384566</t>
  </si>
  <si>
    <t xml:space="preserve">storm affecting the TC appointments</t>
  </si>
  <si>
    <t xml:space="preserve">2180715445</t>
  </si>
  <si>
    <t xml:space="preserve">Agent didn't even try to open the Reset Password ITG or to guide the customer through SSO to reset, Just informed the customer that it's out of scope which is clearly not </t>
  </si>
  <si>
    <t xml:space="preserve">2179385211</t>
  </si>
  <si>
    <t xml:space="preserve">The customer, , contacted the agent regarding issues with all of her TVs, which were displaying a black screen. The agent attempted to the problem but was unable to resolve it. After several attempts to verify account information and , the agent scheduled a technician appointment for between to address the issue. The customer confirmed the appointment and expressed frustration with the situation but appreciated the scheduling of the technician.</t>
  </si>
  <si>
    <t xml:space="preserve">2179266938</t>
  </si>
  <si>
    <t xml:space="preserve">Active listing the cs was having issue with disney plus yet he couldn't understand the cs concern he thought its speed issue and then thought it's a TV issue </t>
  </si>
  <si>
    <t xml:space="preserve">2180642205</t>
  </si>
  <si>
    <t xml:space="preserve">the after greeting part was unprepared/un professional - Excessive silent gaps - dead end case </t>
  </si>
  <si>
    <t xml:space="preserve">2180544001</t>
  </si>
  <si>
    <t xml:space="preserve">No Sanas - Didn't parahrase the customer's concern - No AER at all - Complicating it with the customer by using jargons - CX was literally crying and you didn't even do any thing you kept going on with the tech part zero empathy and made it harder to the customer by over explaining things </t>
  </si>
  <si>
    <t xml:space="preserve">2180464290</t>
  </si>
  <si>
    <t xml:space="preserve">Delayed greeting - Didn't paraphrase the customer's concern - Didn't break the Ice early  - Only had the R from the AER only - Repetitive - authenticates the mobile account before even probing on what is going on - no discovery questions - focused on the sale first thing - Language barrier - Interrogating the customer " do you know your wifi name first? " makes the customer feels dumb and agent lacked active listening since the customer already mentioned it before - un prepared before talking information delivery is quite hard - lack of probing or understanding the concern - made the customer feel dumb and unheard and got aggravated</t>
  </si>
  <si>
    <t xml:space="preserve">2177767475</t>
  </si>
  <si>
    <t xml:space="preserve">Delayed greeting - muted and weren't focused on the call - didn't paraphrase the customer's concern - Zero AER - Talking Arabic in the call - "maybe" - Mutes - Language barrier - incorrect info "Techs are third party?" - not collected or prepared before delivering info </t>
  </si>
  <si>
    <t xml:space="preserve">2179691739</t>
  </si>
  <si>
    <t xml:space="preserve">Didn't paraphrase the customer 's concern - Didn't break the Ice - Didn't ask any discovery and probing questions! - Not actively listening to the customer and picking cues - Pushy on the sale wihout reaching to a resolution - Didn't even check for the IMEI First if it's eligibile or not before pitching the sale - not making it effortless for the customer instead of confirming himself he is the one asking them to confirm which causes frustrations  and there was no resolution provided on the call</t>
  </si>
  <si>
    <t xml:space="preserve">2180824054</t>
  </si>
  <si>
    <t xml:space="preserve">agent placed customer on hold for 12 mins</t>
  </si>
  <si>
    <t xml:space="preserve">2180858498</t>
  </si>
  <si>
    <t xml:space="preserve">agent did perfectly, IVR took too long as per comment on the detractor</t>
  </si>
  <si>
    <t xml:space="preserve">2180702484</t>
  </si>
  <si>
    <t xml:space="preserve">tv issue, 4 mins silent gap without active engagement</t>
  </si>
  <si>
    <t xml:space="preserve">2180824544</t>
  </si>
  <si>
    <t xml:space="preserve">2180807464</t>
  </si>
  <si>
    <t xml:space="preserve">Xfinity stream app loggin issue. transferred to CSA unnecessarily. </t>
  </si>
  <si>
    <t xml:space="preserve">2180701911</t>
  </si>
  <si>
    <t xml:space="preserve">Internet speed issue. Incomplete audio</t>
  </si>
  <si>
    <t xml:space="preserve">2180652260</t>
  </si>
  <si>
    <t xml:space="preserve">agent did a good job.</t>
  </si>
  <si>
    <t xml:space="preserve">2172801787</t>
  </si>
  <si>
    <t xml:space="preserve">The customer contacted the agent regarding Internet service over and requested a credit for the inconvenience. After confirming the issue, the agent agreed to apply a $5 credit to the customer's next bill. The customer expressed gratitude for the assistance provided.</t>
  </si>
  <si>
    <t xml:space="preserve">2175234087</t>
  </si>
  <si>
    <t xml:space="preserve">"Using negative words (I Can't, No one will do anything)  The customer called to report an outage of TV and Internet services since 2 PM the previous day and expressed difficulty in scheduling a technician. The agent checked the situation and informed the customer that the next available appointment was on August 9, which the customer found unacceptable due to their work-from-home situation. The agent placed the customer on a waiting list for an earlier appointment if one became available. The customer expressed dissatisfaction with the service and indicated they would seek further assistance."</t>
  </si>
  <si>
    <t xml:space="preserve">2174446290</t>
  </si>
  <si>
    <t xml:space="preserve">The customer called to inquire about the status of their Internet installation request made prior. The agent provided vague updates about the installation process and mentioned that the order is still open. The customer expressed frustration over the lack of clear answers and requested to speak with a supervisor. The agent indicated that they would add a credit for the time without Internet service but could not provide definitive information. The call ended with the customer requesting a callback from a supervisor.  Agent information was not clear Need to ensure to organize the points before telling them to the customer  Since you are th expert on the call you need to ease the informaiton that you are telling to the customer and choose the words wisely.  If we say "They are working on it" while we speak on tech appoinment might be misunderstood that the tech is at site.   Instead you can educate the customer with the tech appoinment that was already within two hours from the call</t>
  </si>
  <si>
    <t xml:space="preserve">2176457885</t>
  </si>
  <si>
    <t xml:space="preserve">agent did not check the account status - call disconnected and did not call the cst back </t>
  </si>
  <si>
    <t xml:space="preserve">2174819141</t>
  </si>
  <si>
    <t xml:space="preserve">2175094029</t>
  </si>
  <si>
    <t xml:space="preserve">"The customer called to request a detailed breakdown of their cell phone bill, as they noticed discrepancies in the charges. The agent verified the customer's account and provided a detailed explanation of the bill, including the charges and device payments. The customer expressed satisfaction with the information provided and thanked the agent for their assistance. * Greeting was very welcoming and enegetic.  * *Over promising the customer that we can send him the bill over the email  *After seeing the charges of the device over the bill and going asking the customer where does this came from - WE need to check the system not asking the customer, utilizing the tools will save the customer time and show expertise.  *Mute for 5 min is not acceptable as we talked already about this previously as this is a work avoidance behavior.  *Called the cst back 22001058841785459420"</t>
  </si>
  <si>
    <t xml:space="preserve">2177928112</t>
  </si>
  <si>
    <t xml:space="preserve">The customer, , called to express frustration about a missed service appointment for a repair that was supposed to happen . They mentioned that they had been in contact with tech support , who confirmed the appointment. The agent checked the account and found that the appointment was not confirmed. After expressing dissatisfaction with the service, the customer requested to cancel their service. The agent offered to transfer the customer to the appropriate department to process the cancellation.</t>
  </si>
  <si>
    <t xml:space="preserve">2176732651</t>
  </si>
  <si>
    <t xml:space="preserve">2176295485</t>
  </si>
  <si>
    <t xml:space="preserve">The customer contacted the agent regarding issues accessing Disney Plus, which they believed was included in their subscription. After checking the account, the agent confirmed that Disney Plus should be included and suggested logging out and back in. The customer expressed frustration, stating this was their fifth conversation about the issue and ended the call without resolution. Agent used 3Min Mute  Agent lack active listening and the cst was talking about disney inculded in his backage yet the agent after the hold return to talk to the cst about peacock subscription.  Agent asked the cst to logout and then log in again and informed him will give him the number for CSA to assist him while the whole case is within our scope   </t>
  </si>
  <si>
    <t xml:space="preserve">2177350025</t>
  </si>
  <si>
    <t xml:space="preserve">"The customer, , called to inquire about the delivery of a modem they signed up for. After verifying their account, the agent informed them that the modem would take 3 to 5 business days to arrive. The customer expressed concern about delivery security and asked if they could pick it up instead. The agent confirmed that they could arrange for store pickup and provided the nearest store location. The customer appreciated the assistance and was informed about future service interactions through the app. "</t>
  </si>
  <si>
    <t xml:space="preserve">2178591984</t>
  </si>
  <si>
    <t xml:space="preserve">"The customer, , called to inquire about missing channels, specifically Disney Plus, which he believed he was paying for. The agent checked the account and confirmed that Disney Plus was not included in the package, and that HBO and Showtime were the only premium channels listed. The agent suggested that visit a local store for further assistance regarding the promotion and channel issues. expressed dissatisfaction with the lack of communication about the changes to his subscription. *Did not ack cst feeling *Asking the customer questions about the subscriptions while we can check it from the syste *Refer the customer to the store "</t>
  </si>
  <si>
    <t xml:space="preserve">2180331491</t>
  </si>
  <si>
    <t xml:space="preserve">"The customer called to report a sagging wire from the utility pole to their roof, which may affect their service. The agent confirmed the details and scheduled a service technician to visit the customer's address on . The customer provided their contact number for the technician to call. The customer expressed satisfaction with the service provided during the call. What went well :  Verifying the account  -understood the customrt issue and provided the solution on spot What needs to be improve: Did not ack the customer feeling Could've said that this is very dangerous and we will work on it ASAP to solve the issue could also advice the customer not to try to solve it by himself as it is dangerous  "</t>
  </si>
  <si>
    <t xml:space="preserve">2180357198</t>
  </si>
  <si>
    <t xml:space="preserve">"The customer called and she was not the primery holder on the account  agent confrimed the account holder name -agent confirmed the name of the caller on the account and she explained that he cannot talk the primery as she is 80 years old. caller complaint that her services are out for more than 4 years   agent confirmed that there is an outage should be ended during the call time  cst was asking for compensation. agent informed the cst to wait untill to recieve a call back for compensation  What went well : -verfifing the account in the correct way  -utilizing the tools checking the outages What needs to be improve: -needed to make sure the customer could use the internet and her services before ending the call  -compensation could've been added from your end through ITg to avoid the cst calling back"</t>
  </si>
  <si>
    <t xml:space="preserve">bp-ymoham998</t>
  </si>
  <si>
    <t xml:space="preserve">2180047964</t>
  </si>
  <si>
    <t xml:space="preserve">"The customer called because they were issues with Netflix not working since , while other services were functioning. The agent confirmed the issue and suggested that if it happens again, the customer should delete and reinstall the Netflix app. The customer expressed gratitude for the assistance provided. What went well: What needs to be improve: we couldve ask if the issue is repeated or not "</t>
  </si>
  <si>
    <t xml:space="preserve">2180883376</t>
  </si>
  <si>
    <t xml:space="preserve">The customer called because their XFINITY TV service was not working. They had already tried troubleshooting, but the issue was not fixed. I helped schedule a technician visit and added the customer to the waitlist for an earlier appointment if one becomes available. The customer was frustrated with the wait time and the ongoing service issues. I also confirmed they would receive a text message when the technician is on the way.</t>
  </si>
  <si>
    <t xml:space="preserve">2180410136</t>
  </si>
  <si>
    <t xml:space="preserve">The customer called about a billing issue because the monthly bill increased from $75 to $85. It was explained that the promotional discount had ended and the bill now reflected the regular rate. A credit request was submitted due to the confusion regarding the increase. The customer expressed frustration with ongoing billing concerns and requested to speak with a supervisor for further assistance.</t>
  </si>
  <si>
    <t xml:space="preserve">2180494180</t>
  </si>
  <si>
    <t xml:space="preserve">"The customer called about slow internet speeds and reported receiving only 200-250 Mbps while subscribed to a 1000 Mbps plan. Troubleshooting steps were completed, including restarting the modem and running speed tests. After testing, speeds were still as low as 170 Mbps. A ticket was opened for further investigation, and the customer was advised that a modem replacement may be needed if the issue continues. The customer expressed frustration with the service and stated they may consider switching providers if the problem is not resolved.  What went well : asking propping questions (how many device connected , on which device he tested the speed)  agent noticed that the speed gets diffrent when the customer got near the modem  What needs to be improve: lacking human interaction through out the call  Lack setting customer expectations for the next step after visiting the store to replace the modem  informing the customer that he will replace the modem yet it might not solve the problem while the ITG recommended two hours self heal  CR272055566Duplicate Ticket - General"</t>
  </si>
  <si>
    <t xml:space="preserve">2180677591</t>
  </si>
  <si>
    <t xml:space="preserve">"The customer called because the home phone service was not working after setting up new Comcast service. The internet and modem were working properly, but the home phone service had not been restored as expected. There was some confusion regarding the status of the service, and the customer was advised that the issue would be handled by the Disconnect team. Assurance was provided that the matter would be addressed and resolved. Call should've been transferred to ""disconnect "" to restore the device disconnection  MUTE !!! "</t>
  </si>
  <si>
    <t xml:space="preserve">2172918653</t>
  </si>
  <si>
    <t xml:space="preserve">The customer called because their cable service was not working, and the box showed no light. After troubleshooting, the agent determined that a technician was needed to resolve the issue. The customer expressed concern about the wait time for a technician, and the agent scheduled a visit for the soonest available time. The agent also mentioned a promotional offer for XFINITY mobile services, which the customer said they would think about. The call ended with the customer expressing appreciation for the agent's help. agent was building rapport during the call  customer was fraustrated that the appoinment is after 5 days agent assured the cst she will be compensated for the down time </t>
  </si>
  <si>
    <t xml:space="preserve">2180740742</t>
  </si>
  <si>
    <t xml:space="preserve">transfer call  , The customer, Amanda, called to inquire about accessing their account online as a new customer. They expressed frustration over not being able to log in due to not having received their Internet equipment yet. The agent explained that the customer needed an XFINITY ID and password to access their account and provided a phone number for the customer to reset their password. The call ended with the agent indicating they would transfer the customer to the appropriate department for further assistance.</t>
  </si>
  <si>
    <t xml:space="preserve">2180675548</t>
  </si>
  <si>
    <t xml:space="preserve">The customer expressed frustration about the missed appointment but was appreciative of the agent's assistance in rescheduling.</t>
  </si>
  <si>
    <t xml:space="preserve">2180653603</t>
  </si>
  <si>
    <t xml:space="preserve">Hold duration reached 44:30 minutes!</t>
  </si>
  <si>
    <t xml:space="preserve">2180398972</t>
  </si>
  <si>
    <t xml:space="preserve">call dropped and no record of callback</t>
  </si>
  <si>
    <t xml:space="preserve">bp-asalah910</t>
  </si>
  <si>
    <t xml:space="preserve">2181505798</t>
  </si>
  <si>
    <t xml:space="preserve">failed to callback when the call dropped</t>
  </si>
  <si>
    <t xml:space="preserve">2180357944</t>
  </si>
  <si>
    <t xml:space="preserve">18 mins hold, most of the call is refreshing hold and no active engagement</t>
  </si>
  <si>
    <t xml:space="preserve">2180229199</t>
  </si>
  <si>
    <t xml:space="preserve">call dropped, customer went silent, agent did not call her back</t>
  </si>
  <si>
    <t xml:space="preserve">2180046425</t>
  </si>
  <si>
    <t xml:space="preserve">Customer was very satisfied with the service provided.</t>
  </si>
  <si>
    <t xml:space="preserve">Agent did an exceptional job on the call.</t>
  </si>
  <si>
    <t xml:space="preserve">2179898050</t>
  </si>
  <si>
    <t xml:space="preserve">Customer complained tech was not same day. Availability issue not agent fault</t>
  </si>
  <si>
    <t xml:space="preserve">2179499429</t>
  </si>
  <si>
    <t xml:space="preserve">Call dropped and callback was made.</t>
  </si>
  <si>
    <t xml:space="preserve">2179380635</t>
  </si>
  <si>
    <t xml:space="preserve">Agent handled the call really well, did everything they could to avoid needing a technician but ended up scheduling as only available resolution.</t>
  </si>
  <si>
    <t xml:space="preserve">2179496631</t>
  </si>
  <si>
    <t xml:space="preserve">customer wanted do not disturb feature to be turned off, not disconnect landline service! misunderstood customer concern</t>
  </si>
  <si>
    <t xml:space="preserve">2179441091</t>
  </si>
  <si>
    <t xml:space="preserve">Over-verification. 11 min to access account. Customer had a simple question if tech will bring equipment or not. no need for verification.</t>
  </si>
  <si>
    <t xml:space="preserve">2179405723</t>
  </si>
  <si>
    <t xml:space="preserve">appointment availability issue</t>
  </si>
  <si>
    <t xml:space="preserve">2179436286</t>
  </si>
  <si>
    <t xml:space="preserve">Customer was happy with the call.</t>
  </si>
  <si>
    <t xml:space="preserve">2179364607</t>
  </si>
  <si>
    <t xml:space="preserve">Customer was happy with resolution</t>
  </si>
  <si>
    <t xml:space="preserve">2179361842</t>
  </si>
  <si>
    <t xml:space="preserve">Appointment availability issue</t>
  </si>
  <si>
    <t xml:space="preserve">2179402909</t>
  </si>
  <si>
    <t xml:space="preserve">Defended the company instead of showing empathy with the customer, customer asked for supervisor</t>
  </si>
  <si>
    <t xml:space="preserve">2179026210</t>
  </si>
  <si>
    <t xml:space="preserve">Did not provide clear resolution, customer was confused.</t>
  </si>
  <si>
    <t xml:space="preserve">2179022826</t>
  </si>
  <si>
    <t xml:space="preserve">Billing issue, bill increased by 60$ due to promo expiring, no best offers on CSG</t>
  </si>
  <si>
    <t xml:space="preserve">2178926922</t>
  </si>
  <si>
    <t xml:space="preserve">2178874422</t>
  </si>
  <si>
    <t xml:space="preserve">2178717338</t>
  </si>
  <si>
    <t xml:space="preserve">2181115645</t>
  </si>
  <si>
    <t xml:space="preserve">we have placed the call on mute from the moment 1.48 to 3.50 minutes//intonation should have been clearer dear // empathy should have been done in a better way </t>
  </si>
  <si>
    <t xml:space="preserve">100074089</t>
  </si>
  <si>
    <t xml:space="preserve">Connie called to confirm a technician appointment for a TV repair. The customer was frustrated with a previous automated system that repeatedly asked for a phone number. The appointment was confirmed, and reassurance was provided that the technician would call before arrival. The customer thanked the representative for the assistance.</t>
  </si>
  <si>
    <t xml:space="preserve">100070945</t>
  </si>
  <si>
    <t xml:space="preserve">The customer called to report frequent internet outages that were impacting the ability to work from home. The customer was frustrated that the issue had not been resolved and requested a technician visit. During the call, there were challenges confirming an appointment date. The customer expressed dissatisfaction with the service and stated that the service would be canceled if the issue was not resolved soon.</t>
  </si>
  <si>
    <t xml:space="preserve">2181088500</t>
  </si>
  <si>
    <t xml:space="preserve">"Customer called as he sold his house and needed the equipment to be removed from his account and he mentioned he cannot return it  agent explained that it is rental so he will be paying for it on monthly basis  CST asked to pay it in full to be removed -  Agent kept advising the cst to return the old equipment to the nearest store  cst asked for supervisor agent was depating then she went silent without advising the cst to wait - Mute for 3 min then the call dropped "</t>
  </si>
  <si>
    <t xml:space="preserve">After verifying the customer’s account, the agent assisted with pairing the voice-activated remote to the customer’s Samsung TV. The customer followed the pairing steps, but the remote did not function as expected. The agent recommended a factory reset of the modem and performed several troubleshooting steps, including verifying the remote model and having the customer press specific button combinations. After troubleshooting, the agent determined that the TV box required a software update and advised the customer that they would call back afterward to continue assisting with the issue.</t>
  </si>
  <si>
    <t xml:space="preserve">2180257876</t>
  </si>
  <si>
    <t xml:space="preserve">The customer called regarding intermittent TV service issues, specifically that the picture was freezing at times. After confirming the issue, the agent instructed the customer to unplug and reconnect the TV box to refresh the signal. The customer was advised that the process could take some time to complete. The agent thanked the customer for their patience throughout the troubleshooting process. call dropped</t>
  </si>
  <si>
    <t xml:space="preserve">2180039390</t>
  </si>
  <si>
    <t xml:space="preserve">called regarding her mother's home phone, which has been disconnected despite the bill being paid.  agent was unable to locate the phone number provided, stating it was not associated with the account. The customer expressed frustration and confusion about the situation and ended the call without a resolution. - cst was unable to verify </t>
  </si>
  <si>
    <t xml:space="preserve">2179937510</t>
  </si>
  <si>
    <t xml:space="preserve">The customer called to update the credit card on file for payments. After verifying the customer’s identity and reviewing the necessary details, the agent successfully updated the payment information. The customer confirmed that the new card would be used for future payments. The agent apologized for any delays and made sure the customer was satisfied before ending the call.</t>
  </si>
  <si>
    <t xml:space="preserve">2180550271</t>
  </si>
  <si>
    <t xml:space="preserve">Modem was not compatible with the add on the cst needed and she was misinfued </t>
  </si>
  <si>
    <t xml:space="preserve">bp-mabdel499</t>
  </si>
  <si>
    <t xml:space="preserve">2181583286</t>
  </si>
  <si>
    <t xml:space="preserve">someone changed the old plan for the cs</t>
  </si>
  <si>
    <t xml:space="preserve">2181900838</t>
  </si>
  <si>
    <t xml:space="preserve">store issue ,  The customer, , called to request assistance with setting up their newly received Apple Watch. The agent initially offered to send a link for account access but later clarified that in-person assistance at a store was preferred. After confirming the watch was delivered, the agent provided activation support over the phone, successfully activating the watch and ensuring it was ready for use. The agent also provided the address of the nearest store for any further assistance.</t>
  </si>
  <si>
    <t xml:space="preserve">2172554509</t>
  </si>
  <si>
    <t xml:space="preserve">CST was unable to authenticate  </t>
  </si>
  <si>
    <t xml:space="preserve">2174355721</t>
  </si>
  <si>
    <t xml:space="preserve">"Customer called as he sold his house and needed the equipment to be removed from his account and he mentioned he cannot return it  agent explained that it is rental so he will be paying for it on monthly basis  CST asked to pay it in full to be removed -  Agent kept advising the cst to return the old equipment to the nearest store  cst asked for supervisor agent was depating then she went silent without advising the cst to wait - Mute for 3 min then the call dropped  agent could've use the ITG to mark the equipment as stolen - equipment research"</t>
  </si>
  <si>
    <t xml:space="preserve">2180674992</t>
  </si>
  <si>
    <t xml:space="preserve">"The customer called to report that the cable service had been out. A technician appointment was scheduled and confirmed. A credit request was also submitted for the previous service outage. The customer expressed frustration with the recurring outages but had no additional questions at the end of the call. replying to the customer fraustration ""AHA:!  went directly to schedule Tech without running any ITG  explained the schedule date"</t>
  </si>
  <si>
    <t xml:space="preserve">2181190013</t>
  </si>
  <si>
    <t xml:space="preserve">2179903562</t>
  </si>
  <si>
    <t xml:space="preserve"> the agent confirmed that service could not be installed without a coaxial outlet. The customer then requested to cancel the order, and the agent processed the cancellation.</t>
  </si>
  <si>
    <t xml:space="preserve">The agent confirmed that a technician would be scheduled to address the issue and assured the customer that they would not be forgotten.</t>
  </si>
  <si>
    <t xml:space="preserve">2181110640</t>
  </si>
  <si>
    <t xml:space="preserve">2181164438</t>
  </si>
  <si>
    <t xml:space="preserve"> Agent showed the customer attitude after the customer felt insecure regarding entering his social security </t>
  </si>
  <si>
    <t xml:space="preserve">The customer called to update the credit card on file for payments. After verifying the customer’s identity and reviewing the necessary details,</t>
  </si>
  <si>
    <t xml:space="preserve">cst was unable to verify </t>
  </si>
  <si>
    <t xml:space="preserve">2180903530</t>
  </si>
  <si>
    <t xml:space="preserve">"The customer called because their cable service was not working, and the box showed no light. After troubleshooting, the agent determined that a technician was needed to resolve the issue. The customer expressed concern about the wait time for a technician, and the agent scheduled a visit for the soonest available time. The agent also mentioned a promotional offer for XFINITY mobile services, which the customer said they would think about. The call ended with the customer expressing appreciation for the agent's help. agent was building rapport during the call  customer was fraustrated that the appoinment is after 5 days agent assured the cst she will be compensated for the down time "</t>
  </si>
  <si>
    <t xml:space="preserve">2178595117</t>
  </si>
  <si>
    <t xml:space="preserve">The customer called about ongoing internet issues since moving in, including frequent disconnections and slow speeds. They were frustrated with a previous technician visit and concerned about being charged for another one. The agent scheduled a technician appointment to address the issue. The customer requested compensation for the service interruptions and expressed dissatisfaction with their experience. The agent advised that a credit would be applied to the account once the service was restored.</t>
  </si>
  <si>
    <t xml:space="preserve">2179880488</t>
  </si>
  <si>
    <t xml:space="preserve">Excessive mute and silent gaps and lack of ownership and there was no resolution on the call.</t>
  </si>
  <si>
    <t xml:space="preserve">2181849843</t>
  </si>
  <si>
    <t xml:space="preserve">tonality </t>
  </si>
  <si>
    <t xml:space="preserve">2181571471</t>
  </si>
  <si>
    <t xml:space="preserve">Overpitching - troubleshooting steps, including checking the modem and TV settings. Despite confirming that the internet was functioning properly, the customer expressed frustration over the TVs not connecting. The agent suggested contacting AT&amp;T for further assistance and mentioned potential charges for a technician visit if needed.</t>
  </si>
  <si>
    <t xml:space="preserve">2182215055</t>
  </si>
  <si>
    <t xml:space="preserve">lack of empathy , setting expectations why the tech was running late , vaidate cx emotions </t>
  </si>
  <si>
    <t xml:space="preserve">2182269269</t>
  </si>
  <si>
    <t xml:space="preserve">handling skills , language difficulties , sentence structure wasn't good , pace is fast </t>
  </si>
  <si>
    <t xml:space="preserve">2180979948</t>
  </si>
  <si>
    <t xml:space="preserve">Over-verification</t>
  </si>
  <si>
    <t xml:space="preserve">2181004227</t>
  </si>
  <si>
    <t xml:space="preserve">2182547581</t>
  </si>
  <si>
    <t xml:space="preserve"> system indicated that it might take a few more hours for the system to reflect the changes, </t>
  </si>
  <si>
    <t xml:space="preserve">2182627196</t>
  </si>
  <si>
    <t xml:space="preserve">2181025897</t>
  </si>
  <si>
    <t xml:space="preserve">Call lacked empathy</t>
  </si>
  <si>
    <t xml:space="preserve">2181057978</t>
  </si>
  <si>
    <t xml:space="preserve">Did not show empathy</t>
  </si>
  <si>
    <t xml:space="preserve">2182845931</t>
  </si>
  <si>
    <t xml:space="preserve">Call mishandling - Agent hanged up and didn't call back.</t>
  </si>
  <si>
    <t xml:space="preserve">2182714115</t>
  </si>
  <si>
    <t xml:space="preserve">No SANAS - No AER - Lack of parahrasing the concern for alignment &amp; lack of Probing and asking discovery questions - Found the account in the 14th min of the call - to  troubleshoot has to call the account owner  - Language barrier - Missing on the customer's cues - Cal dropped there was no follow up call </t>
  </si>
  <si>
    <t xml:space="preserve">2181264988</t>
  </si>
  <si>
    <t xml:space="preserve">Excessive mute for more than 50% of call duration</t>
  </si>
  <si>
    <t xml:space="preserve">2181257991</t>
  </si>
  <si>
    <t xml:space="preserve">No empathy throughout the call</t>
  </si>
  <si>
    <t xml:space="preserve">2181323679</t>
  </si>
  <si>
    <t xml:space="preserve">Customer's issue is with xfinity mobile upselling and being contacted about it multiple times.</t>
  </si>
  <si>
    <t xml:space="preserve">2181375906</t>
  </si>
  <si>
    <t xml:space="preserve">Customer wanted to deactivate mobile service. agent transferred call</t>
  </si>
  <si>
    <t xml:space="preserve">2181285096</t>
  </si>
  <si>
    <t xml:space="preserve">Storm and internet was out.</t>
  </si>
  <si>
    <t xml:space="preserve">2181405999</t>
  </si>
  <si>
    <t xml:space="preserve">Agent did not show empathy, even though customer was disconnecting service </t>
  </si>
  <si>
    <t xml:space="preserve">2181166113</t>
  </si>
  <si>
    <t xml:space="preserve">2181159796</t>
  </si>
  <si>
    <t xml:space="preserve">2181108722</t>
  </si>
  <si>
    <t xml:space="preserve">Agent placed hold for more than 70% of the call (15 mins) in a 20 min call</t>
  </si>
  <si>
    <t xml:space="preserve">2181058257</t>
  </si>
  <si>
    <t xml:space="preserve">did not resolve the mobile issue</t>
  </si>
  <si>
    <t xml:space="preserve">2181712216</t>
  </si>
  <si>
    <t xml:space="preserve">Call lacked empathy, customer had outage</t>
  </si>
  <si>
    <t xml:space="preserve">2181707164</t>
  </si>
  <si>
    <t xml:space="preserve">in comment, customer mentioned they are dissatisfied with the service itself not agent.</t>
  </si>
  <si>
    <t xml:space="preserve">2181740476</t>
  </si>
  <si>
    <t xml:space="preserve">2181900524</t>
  </si>
  <si>
    <t xml:space="preserve">Needed tech same day, no availability</t>
  </si>
  <si>
    <t xml:space="preserve">2181936877</t>
  </si>
  <si>
    <t xml:space="preserve">Technician appointment scheduled too far in the future. 27th of Aug.</t>
  </si>
  <si>
    <t xml:space="preserve">2181704652</t>
  </si>
  <si>
    <t xml:space="preserve">technincian did not show up</t>
  </si>
  <si>
    <t xml:space="preserve">2182091012</t>
  </si>
  <si>
    <t xml:space="preserve">Call required empathy</t>
  </si>
  <si>
    <t xml:space="preserve">2182144328</t>
  </si>
  <si>
    <t xml:space="preserve">customer had an outage, agent handled the call well</t>
  </si>
  <si>
    <t xml:space="preserve">2178570962</t>
  </si>
  <si>
    <t xml:space="preserve">did not listen to customer concern fully</t>
  </si>
  <si>
    <t xml:space="preserve">2178474977</t>
  </si>
  <si>
    <t xml:space="preserve">2178368046</t>
  </si>
  <si>
    <t xml:space="preserve">did not explain the email issue properly, customer left feeling misunderstood</t>
  </si>
  <si>
    <t xml:space="preserve">2178158676</t>
  </si>
  <si>
    <t xml:space="preserve">Call lacked active listening</t>
  </si>
  <si>
    <t xml:space="preserve">2178070804</t>
  </si>
  <si>
    <t xml:space="preserve">Agent handled the call well</t>
  </si>
  <si>
    <t xml:space="preserve">2178064503</t>
  </si>
  <si>
    <t xml:space="preserve">did not show empathy or built rapport</t>
  </si>
  <si>
    <t xml:space="preserve">2178022360</t>
  </si>
  <si>
    <t xml:space="preserve">2177951418</t>
  </si>
  <si>
    <t xml:space="preserve">agent did great</t>
  </si>
  <si>
    <t xml:space="preserve">2177746597</t>
  </si>
  <si>
    <t xml:space="preserve">no empathy, customer repeated herself too much</t>
  </si>
  <si>
    <t xml:space="preserve">2177776222</t>
  </si>
  <si>
    <t xml:space="preserve">agent handled the call well, customer dissatisfied with current bill</t>
  </si>
  <si>
    <t xml:space="preserve">2177677650</t>
  </si>
  <si>
    <t xml:space="preserve">interrupted customer and didnt actively listen to issue</t>
  </si>
  <si>
    <t xml:space="preserve">2177507538</t>
  </si>
  <si>
    <t xml:space="preserve">Did not build rapport even though there were plenty of opportunities</t>
  </si>
  <si>
    <t xml:space="preserve">2177415225</t>
  </si>
  <si>
    <t xml:space="preserve">customer was joking and agent sounded very monotonic</t>
  </si>
  <si>
    <t xml:space="preserve">2177628751</t>
  </si>
  <si>
    <t xml:space="preserve">Did not build rapport even though there were plenty of opportunities. </t>
  </si>
  <si>
    <t xml:space="preserve">2177471809</t>
  </si>
  <si>
    <t xml:space="preserve">Lack of empathy </t>
  </si>
  <si>
    <t xml:space="preserve">2177568158</t>
  </si>
  <si>
    <t xml:space="preserve">delayed pro install appointment</t>
  </si>
  <si>
    <t xml:space="preserve">2177332174</t>
  </si>
  <si>
    <t xml:space="preserve">did not activate peacock subscription</t>
  </si>
  <si>
    <t xml:space="preserve">bp-bbadra651</t>
  </si>
  <si>
    <t xml:space="preserve">2182690171</t>
  </si>
  <si>
    <t xml:space="preserve">issue with the tv that they kept trying to troubleshooting it for 3 hours</t>
  </si>
  <si>
    <t xml:space="preserve">bp-ssaeed053</t>
  </si>
  <si>
    <t xml:space="preserve">2182768129</t>
  </si>
  <si>
    <t xml:space="preserve"> The customer called to confirm a technician appointment, believing it was scheduled for . After verifying the appointment details, the agent confirmed the technician was indeed scheduled for and raised a ticket to ensure the technician's arrival. The customer also inquired about mobile service options, but decided to wait for a better promotion before proceeding.</t>
  </si>
  <si>
    <t xml:space="preserve">2183043396</t>
  </si>
  <si>
    <t xml:space="preserve">2177505706</t>
  </si>
  <si>
    <t xml:space="preserve">customer wanted a plan that is 50% lesser than what she is paying which was not available on CSG</t>
  </si>
  <si>
    <t xml:space="preserve">2181527461</t>
  </si>
  <si>
    <t xml:space="preserve">did not build rapport with the customer about paramount service (couldve easily been as promoter)</t>
  </si>
  <si>
    <t xml:space="preserve">2169551220</t>
  </si>
  <si>
    <t xml:space="preserve">Information delivery and sentences construction is hard to understand and easily spotted that isn't native - Zero Probing - Zero AER - Being cold and competitive with the customer not absorbing - Lack of handling skills &amp; empathy </t>
  </si>
  <si>
    <t xml:space="preserve">2182085463</t>
  </si>
  <si>
    <t xml:space="preserve">No sanas - Didn't break the ice - Lack of active listening - Paraphrasing the customer's concern was totaly wrong - Zero AER - Silent gaps and mutes - Words &amp; Sentences usage is really not easy and clear to be understood - Talking over the customer - Setting expectations way too late in the call - Knowledge gap and incorrect information - Hanged up on the customer </t>
  </si>
  <si>
    <t xml:space="preserve">2167542551</t>
  </si>
  <si>
    <t xml:space="preserve">2180931193</t>
  </si>
  <si>
    <t xml:space="preserve">Didn't parahrase the customer's concern at the beginning of the call - Didn't show any AER - Lack of probing and asking probing questions to really understand what happened before and after the tech visit </t>
  </si>
  <si>
    <t xml:space="preserve">2182906580</t>
  </si>
  <si>
    <t xml:space="preserve">No sanas - Awful stuttery greeting - Didn't probe and discover &amp; paraphrase the customer's concern from the beginning - Didn't show AER - Excessive mute &amp; Silent gaps - Not a professional greeting nor closing</t>
  </si>
  <si>
    <t xml:space="preserve">2181182825</t>
  </si>
  <si>
    <t xml:space="preserve">Stuttering a lot - Don't show appreciation - Lack of active listening &amp; understanding - Mobile Knowledge Gap - Silent Gaps &amp; Mutes - Poor pitch and with lack of the details &amp; info led the customer to doubt and lost ownership and credibility of the agent  </t>
  </si>
  <si>
    <t xml:space="preserve">2172690217</t>
  </si>
  <si>
    <t xml:space="preserve">No sanas - Didn't discover and probe and paraphrase - Rushed on the tech appointment without doing anything - Didn't Show AER - No Resolution on the call </t>
  </si>
  <si>
    <t xml:space="preserve">2172710933</t>
  </si>
  <si>
    <t xml:space="preserve">No sanas - Didn't probe what's going on exactly and discover the root cause - Zero ITG Compliance &amp; LOQs - non sense pitch timing and pitched without delivering a resolution - Poor closure</t>
  </si>
  <si>
    <t xml:space="preserve">2182149852</t>
  </si>
  <si>
    <t xml:space="preserve">No sanas - Didn't paraphrase the concern - Showed only the R but not the full AER - Excessive amount of mutes - Zero line of questions "ITG Compliance" - Talk time is ~ 6 mins out of 22 min call the rest is pure mute and it was an outage but kept the call longer </t>
  </si>
  <si>
    <t xml:space="preserve">2178555018</t>
  </si>
  <si>
    <t xml:space="preserve">Generic AER - Knowledge gap on the drop issues - Excessive gaps &amp; mutes </t>
  </si>
  <si>
    <t xml:space="preserve">2180856215</t>
  </si>
  <si>
    <t xml:space="preserve">Excessive mute &amp; silent gaps - Didn't show any AER - Went on mute and Call dropped and never called back the customer</t>
  </si>
  <si>
    <t xml:space="preserve">2173004939</t>
  </si>
  <si>
    <t xml:space="preserve">Call avoidance hanged up and never called the customer back </t>
  </si>
  <si>
    <t xml:space="preserve">2182528189</t>
  </si>
  <si>
    <t xml:space="preserve">2182267281</t>
  </si>
  <si>
    <t xml:space="preserve">2182116629</t>
  </si>
  <si>
    <t xml:space="preserve">2182059968</t>
  </si>
  <si>
    <t xml:space="preserve">Long IVR</t>
  </si>
  <si>
    <t xml:space="preserve">2181275748</t>
  </si>
  <si>
    <t xml:space="preserve">2183134996</t>
  </si>
  <si>
    <t xml:space="preserve">2182727129</t>
  </si>
  <si>
    <t xml:space="preserve">2182727341</t>
  </si>
  <si>
    <t xml:space="preserve">he has a tv issue when he didn't have tv services with us</t>
  </si>
  <si>
    <t xml:space="preserve">2181545249</t>
  </si>
  <si>
    <t xml:space="preserve">The conversation was incomplete, with the agent requesting the last four digits of the caller's Social Security number, but no clear issue or resolution , Duration 1:00:28 Hold time 42:30 was discussed. The call ended without further information or resolution. </t>
  </si>
  <si>
    <t xml:space="preserve">bad proper questions and the agent was confusing the whole call </t>
  </si>
  <si>
    <t xml:space="preserve">2181508062</t>
  </si>
  <si>
    <t xml:space="preserve">The agent collected Ty's information to further investigate the situation and determine if a technician visit is necessary. , it toook 1 hour to reschedule a tech yet the agent couldn't schedule a tech as the cs isn't verified </t>
  </si>
  <si>
    <t xml:space="preserve">2181213438</t>
  </si>
  <si>
    <t xml:space="preserve">overpitching and misleading , sales integrity </t>
  </si>
  <si>
    <t xml:space="preserve">2181083681</t>
  </si>
  <si>
    <t xml:space="preserve">2182545561</t>
  </si>
  <si>
    <t xml:space="preserve">2182329449</t>
  </si>
  <si>
    <t xml:space="preserve">it took so long to get a resolution , overpitching , he customer called Xfinity seeking help to watch their TV subscription on a MacBook Pro. The agent explained that there is no dedicated XFINITY Stream app for MacBooks but guided the customer to access their subscription through the XFINITY website. After some troubleshooting, the customer was able to log in and access their content successfully.</t>
  </si>
  <si>
    <t xml:space="preserve">cs was fasturated that issue required for tech </t>
  </si>
  <si>
    <t xml:space="preserve">was advised to call back if the service was not restored within </t>
  </si>
  <si>
    <t xml:space="preserve">2180973627</t>
  </si>
  <si>
    <t xml:space="preserve">escalation by foly</t>
  </si>
  <si>
    <t xml:space="preserve">2180793560</t>
  </si>
  <si>
    <t xml:space="preserve">he was so mad about the process for returning the equipment</t>
  </si>
  <si>
    <t xml:space="preserve">2180886225</t>
  </si>
  <si>
    <t xml:space="preserve">No Call structure &amp; Zero ownership and didn't want to put any efforts on the call.</t>
  </si>
  <si>
    <t xml:space="preserve">2181854032</t>
  </si>
  <si>
    <t xml:space="preserve">Careless call handling and hanged up and never called back</t>
  </si>
  <si>
    <t xml:space="preserve">2180651512</t>
  </si>
  <si>
    <t xml:space="preserve">The customer called to address a cable outage and reported a broken wire outside. The agent confirmed a technician appointment scheduled for . The customer expressed frustration about not receiving updates through the app and requested confirmation via text or email. The agent assured the customer that they would receive a confirmation and offered to assist with canceling an unnecessary mobile line. The customer appreciated the help but preferred to handle the cancellation later.</t>
  </si>
  <si>
    <t xml:space="preserve">2180586982</t>
  </si>
  <si>
    <t xml:space="preserve">The customer contacted the agent regarding issues connecting a camera to their Wi-Fi. They explained that others could connect previously, but now they were unable to do so. The agent provided troubleshooting steps, including checking the Wi-Fi password and using the XFINITY app for setup. The customer decided to wait until the camera arrived to further troubleshoot and agreed to call back if needed. not xifinity issue</t>
  </si>
  <si>
    <t xml:space="preserve">2180445519</t>
  </si>
  <si>
    <t xml:space="preserve">she's mad that can't get her account number for her account number </t>
  </si>
  <si>
    <t xml:space="preserve">2180283319</t>
  </si>
  <si>
    <t xml:space="preserve">The customer called to report that their cable service has been out since a hurricane on . They mentioned a previous appointment scheduled for and expressed urgency in getting the cable restored due to an upcoming doctor's appointment via Zoom. The agent is checking the account to arrange for a technician to restore the service as soon as possible.</t>
  </si>
  <si>
    <t xml:space="preserve">2180015901</t>
  </si>
  <si>
    <t xml:space="preserve">issue got resolved before she reached the cs </t>
  </si>
  <si>
    <t xml:space="preserve">2179684382</t>
  </si>
  <si>
    <t xml:space="preserve">The earliest appointment available was on , which frustrated the customer, who expressed urgency due to their business needs. The customer requested a faster resolution and indicated they might switch services if the issue was not addressed promptly.</t>
  </si>
  <si>
    <t xml:space="preserve">2179614987</t>
  </si>
  <si>
    <t xml:space="preserve">2176887149</t>
  </si>
  <si>
    <t xml:space="preserve">Agent is termed</t>
  </si>
  <si>
    <t xml:space="preserve">2183096603</t>
  </si>
  <si>
    <t xml:space="preserve">"The customer contacted Xfinity about ongoing internet outages after their account was reset. They were frustrated due to previous unsuccessful calls and requested immediate help. The agent identified a possible service issue and scheduled a technician visit. The customer was also informed that a technician fee might apply, which caused additional dissatisfaction. CST was already fraustrated from the long time on the phone with us -  Agent kept the cst on mute for 10 min to troubleshoot the service  agent mentioned he is trying to find an alternative solution Mute for 12 min  returned to infrom the cst that he got an exception to add a mobile line  agent found the device locked with other carrier  informed the cst that the tech appoinment was already scheduled  agent did not troubleshoot the account "</t>
  </si>
  <si>
    <t xml:space="preserve">2182790753</t>
  </si>
  <si>
    <t xml:space="preserve">"The customer contacted Xfinity to inquire about issues with their internet service and incorrect location information displayed in the app. The agent confirmed the service address and guided the customer to log out and log back into the app to resolve the issue. the agent went silent - call dropped with no call back  "</t>
  </si>
  <si>
    <t xml:space="preserve">2182907892</t>
  </si>
  <si>
    <t xml:space="preserve">The customer contacted Xfinity during a power outage that was affecting their Wi‑Fi service. After verifying the account details, the agent provided the phone number for the local electric company so the customer could report the outage and get assistance.</t>
  </si>
  <si>
    <t xml:space="preserve">2177496289</t>
  </si>
  <si>
    <t xml:space="preserve">and over pitching</t>
  </si>
  <si>
    <t xml:space="preserve">2183558142</t>
  </si>
  <si>
    <t xml:space="preserve">"The agent struggled to assist due to communication issues and informed the customer that the transfer pin could only be accessed through the XFINITY app or website. The customer expressed frustration and requested to speak with a supervisor. The agent confirmed that they would transfer the call to the disconnect department for further assistance. ""Anyway I'll not be able to help you with that"" !  Attitude towords the cst  lack of setting customer expectations  "</t>
  </si>
  <si>
    <t xml:space="preserve">2183256763</t>
  </si>
  <si>
    <t xml:space="preserve">"The customer contacted Comcast about a service outage that started on the 11th. They were frustrated with the difficulty of reaching customer support and the confusion around their account details. The agent checked for a supervisor to help speed up scheduling a technician visit and resolve the issue. tone of voice and handling skills agent was very patient and took the customer energy and assisted her </t>
  </si>
  <si>
    <t xml:space="preserve">2183284615</t>
  </si>
  <si>
    <t xml:space="preserve">"The customer contacted Xfinity because their home phone had no dial tone. After verifying the account and running diagnostics, the agent confirmed the issue and scheduled a technician appointment. The agent also offered a $10 loyalty discount, which the customer accepted through a text message link. mute behavior  could've switch the tech appointment to be text to tech "</t>
  </si>
  <si>
    <t xml:space="preserve">2182971626</t>
  </si>
  <si>
    <t xml:space="preserve">"called to transfer a phone number from another account. After verifying his identity, the agent attempted to assist but found that the number was deactivated and not associated with any account. The agent escalated the issue to another department for further assistance, as the customer had been informed that the number could be ported over. The call ended with the customer being placed on hold for the transfer. agent placed the cst on 10 min hold - call dropped by the end "</t>
  </si>
  <si>
    <t xml:space="preserve">2183458184</t>
  </si>
  <si>
    <t xml:space="preserve">"The customer called to express frustration over a missed technician appointment scheduled for . After verifying the customer's identity, the agent scheduled a new appointment for and placed the customer on a waiting list for an earlier visit. The customer requested a box relocation and an upgraded modem, but the agent struggled to understand the request clearly. The customer expressed dissatisfaction with the service. Custtomer was fraustrated due tomultiple calls for the same issue   customer was fraustrated from her way of handling the issue and was convenced that she doesn't understand him "</t>
  </si>
  <si>
    <t xml:space="preserve">2183404159</t>
  </si>
  <si>
    <t xml:space="preserve">"CST called to confirm if the store has the XP10 available.   Agent checked the stock and confirmed it is available.  Call ended after the agent confirmed the store has the device.  "</t>
  </si>
  <si>
    <t xml:space="preserve">2184203900</t>
  </si>
  <si>
    <t xml:space="preserve">the cx was on mute the whole call , call dropped </t>
  </si>
  <si>
    <t xml:space="preserve">2182922383</t>
  </si>
  <si>
    <t xml:space="preserve">: lack of empathy , wrong itg , there was an outage due to strom so we should have sat expectations about that , offering a work around like a line or extender , explaining how to check on the outage , tech will never come , will create aggravation due to appointment cancellation as during outage there shant be a tech appointment at all </t>
  </si>
  <si>
    <t xml:space="preserve">2184183780</t>
  </si>
  <si>
    <t xml:space="preserve">hesitance , hold and mute unexplainable ,  , skipping LOQs , over pitching ( not the right time ), no bill break down </t>
  </si>
  <si>
    <t xml:space="preserve">2184314215</t>
  </si>
  <si>
    <t xml:space="preserve">failed to call back </t>
  </si>
  <si>
    <t xml:space="preserve">bp-yattya281</t>
  </si>
  <si>
    <t xml:space="preserve">2184304436</t>
  </si>
  <si>
    <t xml:space="preserve">2184099735</t>
  </si>
  <si>
    <t xml:space="preserve">late tech visit and she needed a now resloution</t>
  </si>
  <si>
    <t xml:space="preserve">2184315622</t>
  </si>
  <si>
    <t xml:space="preserve">No sanas - Didn't paraphrase the concern - Poor self heal spiel - Not making it effortless for the customers - Sleepy TOV - Long holds - Stuttering and not prepared - Poor closure no recap no nothing </t>
  </si>
  <si>
    <t xml:space="preserve">bp-mmahmo532</t>
  </si>
  <si>
    <t xml:space="preserve">2184203054</t>
  </si>
  <si>
    <t xml:space="preserve">un-necessary question while he can check it from his own tools - Missing the reason of the call - Active listening - Excessive mutes - Incorrect information delivery and too early without investigation and keept mistaken the last agent and didn't probe or discover what are the channel - bad bad information delivery - non sense question - didn't call back the customer</t>
  </si>
  <si>
    <t xml:space="preserve">2184205757</t>
  </si>
  <si>
    <t xml:space="preserve">No-Sanas - Didn't break the ice - Didn't paraphrase the cusomer's concern properly - Poor AER - early diagnosis - False promise -  Knowledge gap between router and modem - ITG Compliance - Silent gaps - prmoises promises - </t>
  </si>
  <si>
    <t xml:space="preserve">2183538895</t>
  </si>
  <si>
    <t xml:space="preserve">No -Sanas - excessive amount of mutes - mute &amp; hold led to call drop and agent never called back the customer</t>
  </si>
  <si>
    <t xml:space="preserve">2182787820</t>
  </si>
  <si>
    <t xml:space="preserve">No - Sanas - Transition make it better - no AER - 3 MIN HOLD out of 6 mins call  - No recaping - No SSO - Bad closure</t>
  </si>
  <si>
    <t xml:space="preserve">2183136335</t>
  </si>
  <si>
    <t xml:space="preserve">Delayed Greeting a ZTP- NO Sanas - Zero AER  - No Recaping - Excessive amount of mutes - Call avoidance - Zero ownership -  call dropped after a long mute and never called back the customer </t>
  </si>
  <si>
    <t xml:space="preserve">bp-ahamma869</t>
  </si>
  <si>
    <t xml:space="preserve">2182696402</t>
  </si>
  <si>
    <t xml:space="preserve">great job for the greeting being confident yet we should have been more energetic , silence gab is insanely high from the min 1.20 to min 10 , that can be considered as call avoidance , also we haven't informed the cx about the credit how to check if the credit got applied or not , also although we have fixed the cx query yet due to the lack of connection between you and the cx the call ended up being a detractor </t>
  </si>
  <si>
    <t xml:space="preserve">bp-mabdel060</t>
  </si>
  <si>
    <t xml:space="preserve">2183220303</t>
  </si>
  <si>
    <t xml:space="preserve">mute from the min 4.42 to the min 9.05 this is mute abuse can be considered call avoidance , I know that was because there was a lack of knowledge so we should have kept on refreshing the cx //also  since the cx does have a pending order for moving the service the correct course of action was to   First, adding the old modem using the ECM tool via "Inventory Management" to re add the modem again on the old address account Secondly, add the needed services for the customer and sending the approval and complete the order with the modem added Thirdly, activate/ provision the modem using the ITG "No connectivity" which is going to troubleshoot the service thereafter to confirm the appropriated connection steps were taken to deliver the needed service and satisfaction for the customer.  Notice: You must inform the customer about reaching back for us to disconnect the account as you've restarted the service.</t>
  </si>
  <si>
    <t xml:space="preserve">2183991112</t>
  </si>
  <si>
    <t xml:space="preserve">pitching before resloution</t>
  </si>
  <si>
    <t xml:space="preserve">bp-heldes904</t>
  </si>
  <si>
    <t xml:space="preserve">2183542454</t>
  </si>
  <si>
    <t xml:space="preserve">mute // bill explanation </t>
  </si>
  <si>
    <t xml:space="preserve">2183886149</t>
  </si>
  <si>
    <t xml:space="preserve">intonation / skipping LOQs </t>
  </si>
  <si>
    <t xml:space="preserve">2183951710</t>
  </si>
  <si>
    <t xml:space="preserve">ZERO ACTIVE LISTING , sleeping during the call , tonality is so rude </t>
  </si>
  <si>
    <t xml:space="preserve">2183923952</t>
  </si>
  <si>
    <t xml:space="preserve">2183825956</t>
  </si>
  <si>
    <t xml:space="preserve"> The customer reported that a box truck damaged the cables connected to their house and their neighbor's house. The agent created a ticket for a technician to assess the damage. Later, the customer mentioned that Puget Sound Energy informed them that the wire was an old landline that was not in use, leading the customer to believe that service may not be needed at this tim</t>
  </si>
  <si>
    <t xml:space="preserve">2182954588</t>
  </si>
  <si>
    <t xml:space="preserve">Out of scope opportunity related to a third party app that the customer installed on his new phone and case had nothing to do with xfinity and the agent even tried as an extra mile but without success.</t>
  </si>
  <si>
    <t xml:space="preserve">bp-mmoham262</t>
  </si>
  <si>
    <t xml:space="preserve">2183464935</t>
  </si>
  <si>
    <t xml:space="preserve">Cold TOV - There is no structure followed on the call - No Sanas - Excessive Excessive amount of mutes - Mis &amp; Invalid  Information delivery </t>
  </si>
  <si>
    <t xml:space="preserve">2182924820</t>
  </si>
  <si>
    <t xml:space="preserve">Didn’t set proper expectations and reassurance to the customer no AER and recapping</t>
  </si>
  <si>
    <t xml:space="preserve">2183456367</t>
  </si>
  <si>
    <t xml:space="preserve">Someone made a gsr without the customer knowing and called to ask about what is going on and agent cancelled the shipment.</t>
  </si>
  <si>
    <t xml:space="preserve">2183598392</t>
  </si>
  <si>
    <t xml:space="preserve">12+ mins of mute in a 27 minute call - not making it effortless on the customer and asking for a different way to get the consent to crate an order therefore there was no resolution provided on the call - and didn't follow the sequence of the approval </t>
  </si>
  <si>
    <t xml:space="preserve">2183130687</t>
  </si>
  <si>
    <t xml:space="preserve">No Sanas - Zero Active listening &amp; No  paraphrasing of the concern to align with the customer from the beginning -No AER  - Didn't check and kept talking about something else - Thinking out loud not prepared and whispering his self - naïve questions - Zero ownership</t>
  </si>
  <si>
    <t xml:space="preserve">2184459875</t>
  </si>
  <si>
    <t xml:space="preserve">Wasn't even on the station nor prepared to take the call - Zero probing - Zero professionalism - Zero understanding of the situation and how to resolve - Zero AER - Talking bad about other agents - Zero de escalation</t>
  </si>
  <si>
    <t xml:space="preserve">2182842422</t>
  </si>
  <si>
    <t xml:space="preserve">Didn't do any AER - Didn’t probe to know which remote even to start working on it correctly - WHY WOULD YOU PITCH IN SUCH A CALL WITHOUT ANY KIND OF RESOLUTION!!!! - Invalid credit</t>
  </si>
  <si>
    <t xml:space="preserve">2184562307</t>
  </si>
  <si>
    <t xml:space="preserve">Down line and agent got them a tech but wasn't satisfied about date of the tech appointment </t>
  </si>
  <si>
    <t xml:space="preserve">2183400111</t>
  </si>
  <si>
    <t xml:space="preserve">Dead end case, CX did a trade in and forgot to turn off find my feature on the old phone and she keeps getting turn it off to get the trade in credit and the old device is already sent.</t>
  </si>
  <si>
    <t xml:space="preserve">2184274554</t>
  </si>
  <si>
    <t xml:space="preserve">2184911891</t>
  </si>
  <si>
    <t xml:space="preserve">CX Wanted to get a free line and she already claimed it before agent tried to see any work around to get her the line after contacting XM Support but it failed and customer was upset about it.</t>
  </si>
  <si>
    <t xml:space="preserve">2184792160</t>
  </si>
  <si>
    <t xml:space="preserve"> No AER , Zero ITG Utilization, No probing , Silent gaps , No resolution and sent out a Tech eventually, and still pitches for a sale</t>
  </si>
  <si>
    <t xml:space="preserve">2183135531</t>
  </si>
  <si>
    <t xml:space="preserve">Did not run itg equipment research to remove modem from acc as customer requested</t>
  </si>
  <si>
    <t xml:space="preserve">2185001042</t>
  </si>
  <si>
    <t xml:space="preserve">called the cx back she is dissatisfied about the countless outages , she said the agent was perfect // call also was perfect </t>
  </si>
  <si>
    <t xml:space="preserve">2185058904</t>
  </si>
  <si>
    <t xml:space="preserve">even after the ts the issue is not resolved and he is waiting on a tch visit , skipped the LOQs </t>
  </si>
  <si>
    <t xml:space="preserve">2183437142</t>
  </si>
  <si>
    <t xml:space="preserve">Did not show empathy even though customer mentioned there was a storm in the area</t>
  </si>
  <si>
    <t xml:space="preserve">2185060671</t>
  </si>
  <si>
    <t xml:space="preserve">call dropped , didnt call the cx back .</t>
  </si>
  <si>
    <t xml:space="preserve">2184993255</t>
  </si>
  <si>
    <t xml:space="preserve">The customer expressed frustration with previous interactions but appreciated the agent's assistance in resolving the issue.</t>
  </si>
  <si>
    <t xml:space="preserve">2183280547</t>
  </si>
  <si>
    <t xml:space="preserve">Sent customer to store when he shouldve transferred call to csa to create xfinity id for the customer</t>
  </si>
  <si>
    <t xml:space="preserve">2183464752</t>
  </si>
  <si>
    <t xml:space="preserve">Did not show empathy and over-verification without resolution</t>
  </si>
  <si>
    <t xml:space="preserve">2182716595</t>
  </si>
  <si>
    <t xml:space="preserve">Scheduled callback without resolution or expectation of a resolution</t>
  </si>
  <si>
    <t xml:space="preserve">2184556824</t>
  </si>
  <si>
    <t xml:space="preserve">Told customer to go to store when they really did not need to. Could've updated customer info from his end.</t>
  </si>
  <si>
    <t xml:space="preserve">2184594079</t>
  </si>
  <si>
    <t xml:space="preserve">Did not show empathy and gave vague resolution that customer should expect a callback from supervisor</t>
  </si>
  <si>
    <t xml:space="preserve">2183738427</t>
  </si>
  <si>
    <t xml:space="preserve">The agent explained that a promotional discount had ended, resulting in a higher charge. The customer expressed dissatisfaction with the new pricing and mentioned considering switching to another provider. The agent offered a new plan but clarified that it was only available for new customers. The customer decided to look for better options and may disconnect their service. Overpitching</t>
  </si>
  <si>
    <t xml:space="preserve">2183592614</t>
  </si>
  <si>
    <t xml:space="preserve">senior cs that got frustrated while troubleshooting till they scheduled a tech </t>
  </si>
  <si>
    <t xml:space="preserve">2183596818</t>
  </si>
  <si>
    <t xml:space="preserve">The customer called Xfinity to retrieve three deleted voicemails. After verifying their account, the agent informed the customer that deleted voicemails cannot be retrieved, despite the customer's belief that a tier 2 tech support could assist. The agent attempted to transfer the call to a supervisor but indicated that the supervisor would provide the same information.</t>
  </si>
  <si>
    <t xml:space="preserve">2183361466</t>
  </si>
  <si>
    <t xml:space="preserve">mute exceeding 17 min. !!!!</t>
  </si>
  <si>
    <t xml:space="preserve">2183399106</t>
  </si>
  <si>
    <t xml:space="preserve">8 min. mute !!</t>
  </si>
  <si>
    <t xml:space="preserve">2183407641</t>
  </si>
  <si>
    <t xml:space="preserve">2184454511</t>
  </si>
  <si>
    <t xml:space="preserve">Issue was not resolved and it couldve been</t>
  </si>
  <si>
    <t xml:space="preserve">2183713352</t>
  </si>
  <si>
    <t xml:space="preserve">2183585904</t>
  </si>
  <si>
    <t xml:space="preserve">Agent handled the call well, customer dissatisfied with service</t>
  </si>
  <si>
    <t xml:space="preserve">2183460541</t>
  </si>
  <si>
    <t xml:space="preserve">did not tell customer they would lose NESN</t>
  </si>
  <si>
    <t xml:space="preserve">2183592277</t>
  </si>
  <si>
    <t xml:space="preserve">Over-apologizing. Repeating himself too many times. </t>
  </si>
  <si>
    <t xml:space="preserve">Repeated himself too many times. Didnot give clear understanding of why the outasges happened</t>
  </si>
  <si>
    <t xml:space="preserve">2185445666</t>
  </si>
  <si>
    <t xml:space="preserve">2185420557</t>
  </si>
  <si>
    <t xml:space="preserve">Agent was great on the call but the installation tech didn't arrive after the call and job went on hold.</t>
  </si>
  <si>
    <t xml:space="preserve">Weak AER - Lack of discovery questions and probing - silent gaps - Weak Sales pitch and poorly timed - Didn't Do SSO about the tech</t>
  </si>
  <si>
    <t xml:space="preserve">2184684997</t>
  </si>
  <si>
    <t xml:space="preserve">No sanas - Breathing sounds?? - no AER - excessive mute at the end of the call and then call dropped without a call back as the agent promised he will get back to the customer if the call dropped but didn't call</t>
  </si>
  <si>
    <t xml:space="preserve">2185219058</t>
  </si>
  <si>
    <t xml:space="preserve">Self heal call </t>
  </si>
  <si>
    <t xml:space="preserve">2185223872</t>
  </si>
  <si>
    <t xml:space="preserve">Interrupting and excited and talks in the middle while a customer is speaking - Long Holds 28 mins - Excessive mutes - No AER - No paraphrasing for alignment - No active listening at all - wrong resolution</t>
  </si>
  <si>
    <t xml:space="preserve">Delayed greeting - Didn't paraphrase - Didn't probe - Excessive amount of mute &amp; holds of 30+ mins  - Elongated the call for no reason - Not speaking slowly &amp; clearly - Asking questions that agent can see from his end </t>
  </si>
  <si>
    <t xml:space="preserve">2185021476</t>
  </si>
  <si>
    <t xml:space="preserve">Weak breaking the ice - 12 minutes of hold - elongated verification process wihout asking the call driver didn't make it effortless for the customer took 11 minutes to verify the account -  Zero ITG Compliance - Call dropped and didn't call back the customer </t>
  </si>
  <si>
    <t xml:space="preserve">2184741357</t>
  </si>
  <si>
    <t xml:space="preserve">Lack of active listening and understanding of the customer's concern and there was no alignment which caused frustrations - No resolution and there is a knowledge gap on the international calling - call avoidance call </t>
  </si>
  <si>
    <t xml:space="preserve">2184968348</t>
  </si>
  <si>
    <t xml:space="preserve">broken english and customer was happy about the service but not with the strong accent of the agent </t>
  </si>
  <si>
    <t xml:space="preserve">2185929051</t>
  </si>
  <si>
    <t xml:space="preserve">2185483751</t>
  </si>
  <si>
    <t xml:space="preserve">"customer called to confirm his TV streaming,cst want to put the TV and he has no box and was waiting for it Mute for 5 min agent confirmed that he needs to wait for the TV to be deliverd "</t>
  </si>
  <si>
    <t xml:space="preserve">Cs didn't receive the package and the agent helpe and called UPS for her , not related to xifnity </t>
  </si>
  <si>
    <t xml:space="preserve">2185928407</t>
  </si>
  <si>
    <t xml:space="preserve">over pitching</t>
  </si>
  <si>
    <t xml:space="preserve">2185728201</t>
  </si>
  <si>
    <t xml:space="preserve">agent was great he was annoyed from the previous agent</t>
  </si>
  <si>
    <t xml:space="preserve">2184269232</t>
  </si>
  <si>
    <t xml:space="preserve">very robotic and did not engage the customer with what she is doing from the ITG.  excessive hold -customer issue was not resolved as the agent did not offer a follow up call and the cst verbatim was indicating the issue was not resolved </t>
  </si>
  <si>
    <t xml:space="preserve">2185956128</t>
  </si>
  <si>
    <t xml:space="preserve">call but quickly decided they did not need assistance and ended the conversation without providing any details about their issue.</t>
  </si>
  <si>
    <t xml:space="preserve">2184212461</t>
  </si>
  <si>
    <t xml:space="preserve">interrupting the cst - provided wrong solution </t>
  </si>
  <si>
    <t xml:space="preserve">2185907073</t>
  </si>
  <si>
    <t xml:space="preserve">CX wanted to call the store, However agent didn't show any kind of empathy or AER.</t>
  </si>
  <si>
    <t xml:space="preserve">2186296422</t>
  </si>
  <si>
    <t xml:space="preserve">handling skills , bill explanation  should have been smoother , the offer should have made in a way to make it sound like she is a valued cx with the company </t>
  </si>
  <si>
    <t xml:space="preserve">2186162433</t>
  </si>
  <si>
    <t xml:space="preserve">mute , bill explanation was rigid , harsh , should have walked the cx through the explanation without sounding iirritating </t>
  </si>
  <si>
    <t xml:space="preserve">bp-helada073</t>
  </si>
  <si>
    <t xml:space="preserve">2186002795</t>
  </si>
  <si>
    <t xml:space="preserve">skipping LOQ, mute , hesitance </t>
  </si>
  <si>
    <t xml:space="preserve">2185895598</t>
  </si>
  <si>
    <t xml:space="preserve">transfer to other department</t>
  </si>
  <si>
    <t xml:space="preserve">2185637732</t>
  </si>
  <si>
    <t xml:space="preserve">hesitance , empathy , setting expectations about time frame of the outage , offering alternative </t>
  </si>
  <si>
    <t xml:space="preserve">bp-gosama497</t>
  </si>
  <si>
    <t xml:space="preserve">2185631709</t>
  </si>
  <si>
    <t xml:space="preserve">skipped loqs , took very long time to open itg , some mute was not necessary , empathy was not matching the expectations </t>
  </si>
  <si>
    <t xml:space="preserve">2183151888</t>
  </si>
  <si>
    <t xml:space="preserve">Over verification</t>
  </si>
  <si>
    <t xml:space="preserve">2182745616</t>
  </si>
  <si>
    <t xml:space="preserve">Call lacked rapport and active engagement</t>
  </si>
  <si>
    <t xml:space="preserve">2182908259</t>
  </si>
  <si>
    <t xml:space="preserve">Did not offer SSO to have customer see available appontments</t>
  </si>
  <si>
    <t xml:space="preserve">bp-msamir990</t>
  </si>
  <si>
    <t xml:space="preserve">2182689281</t>
  </si>
  <si>
    <t xml:space="preserve">customer left the call confused about the resolution as it was unclear</t>
  </si>
  <si>
    <t xml:space="preserve">The customer called to confirm the of the exp 10 Wi-Fi box at a specific location in , . The agent verified that the box was available and informed the customer that there were 76 devices in stock. The customer expressed relief and gratitude before ending the call.</t>
  </si>
  <si>
    <t xml:space="preserve">2183586569</t>
  </si>
  <si>
    <t xml:space="preserve">c</t>
  </si>
  <si>
    <t xml:space="preserve">The customer contacted Xfinity about ongoing internet service issues and was frustrated after making multiple calls and being disconnected. They were originally promised a technician appointment, but it was later rescheduled without their approval. The agent tried to escalate the issue and provided contact information for a third-party technician, but the customer remained unhappy with the service.</t>
  </si>
  <si>
    <t xml:space="preserve">2184950701</t>
  </si>
  <si>
    <t xml:space="preserve">The customer contacted Xfinity after receiving the wrong equipment and was frustrated with previous customer service. The agent escalated the issue, submitted tickets regarding the misinformation, and offered to send the correct streaming box. The agent also offered a $36 account credit and a free line, but the customer declined. By the end of the call, the customer felt appreciated and satisfied with the resolution.</t>
  </si>
  <si>
    <t xml:space="preserve">2184999844</t>
  </si>
  <si>
    <t xml:space="preserve">The customer called on behalf of their mother to inquire about a service interruption, believing it was due to a past due balance. The agent confirmed the balance issue and attempted to refresh the modem but found it was not online. A technician visit was scheduled for to resolve the issue.</t>
  </si>
  <si>
    <t xml:space="preserve">2183855537</t>
  </si>
  <si>
    <t xml:space="preserve">The customer contacted Xfinity for assistance with setting up a new modem and connecting it to their router. After verifying account details and the modem's MAC address, the agent added the modem to the account and activated it. The customer confirmed that the Wi-Fi connection was working after the activation process was completed.</t>
  </si>
  <si>
    <t xml:space="preserve">2184270698</t>
  </si>
  <si>
    <t xml:space="preserve">2186543905</t>
  </si>
  <si>
    <t xml:space="preserve">silent call</t>
  </si>
  <si>
    <t xml:space="preserve">2186582137</t>
  </si>
  <si>
    <t xml:space="preserve">The customer contacted Xfinity about a billing issue after noticing their bill showed a computer connected to the service, even though they only use a Chromebook and a phone. The agent confirmed that the internet service was working properly and advised the customer to contact Chromebook support for assistance. The customer remained confused about the information shown on the bill.</t>
  </si>
  <si>
    <t xml:space="preserve">2187570012</t>
  </si>
  <si>
    <t xml:space="preserve">offered only the alternative option for the hot spot , skipped LOQs </t>
  </si>
  <si>
    <t xml:space="preserve">2187532075</t>
  </si>
  <si>
    <t xml:space="preserve">hold and mute </t>
  </si>
  <si>
    <t xml:space="preserve">2186767339</t>
  </si>
  <si>
    <t xml:space="preserve"> lack of empathy , delivery and clarity , no reassurance </t>
  </si>
  <si>
    <t xml:space="preserve">2186735450</t>
  </si>
  <si>
    <t xml:space="preserve">hold and mute //  skipping LOQs </t>
  </si>
  <si>
    <t xml:space="preserve">2186761507</t>
  </si>
  <si>
    <t xml:space="preserve">handling skills , mute , lack of empathy </t>
  </si>
  <si>
    <t xml:space="preserve">2186640865</t>
  </si>
  <si>
    <t xml:space="preserve">2187828638</t>
  </si>
  <si>
    <t xml:space="preserve">Customer put in the comment 10*</t>
  </si>
  <si>
    <t xml:space="preserve">2187802796</t>
  </si>
  <si>
    <t xml:space="preserve">2187415993</t>
  </si>
  <si>
    <t xml:space="preserve">agent over promised the agent that issue is resolved - The customer called Xfinity regarding issues with accessing channel 5, which was showing no signal. The agent confirmed the customer's current plan and offered a new plan with a discount and an extender to enhance the signal. The customer agreed to the new plan and was instructed on how to approve it. The agent assured the customer they would assist further once they returned home.</t>
  </si>
  <si>
    <t xml:space="preserve">2187368145</t>
  </si>
  <si>
    <t xml:space="preserve">agent placed the cs on mute for 7 min. , he was trying help her with peacock then he couldn't hear her so he stayed on line till the call dropped and didn't call back The customer contacted Xfinity regarding an unresolved issue with their streaming service, &lt;US_DRIVER_LICENSE&gt; related to accessing Peacock Premium Plus. They expressed frustration over not receiving a callback after &lt;DATE_TIME&gt; and detailed their previous interactions with representatives. The agent attempted to troubleshoot the issue but the customer ended the call before a resolution was achieved.</t>
  </si>
  <si>
    <t xml:space="preserve">2187294754</t>
  </si>
  <si>
    <t xml:space="preserve">The customer called Xfinity to express frustration over a missed technician appointment scheduled between 10 and 12. The agent verified the account and rescheduled the appointment for from , the agent applied a $25 credit to the customer's bill as compensation for the inconvenience. </t>
  </si>
  <si>
    <t xml:space="preserve">2187270325</t>
  </si>
  <si>
    <t xml:space="preserve">The customer called Xfinity regarding multiple missed appointments for connecting service to their home. After discussing the situation, the agent confirmed that a technician would be sent &lt;DATE_TIME&gt; to connect the cable and install the necessary equipment. The customer was informed they would receive a text message with the estimated arrival time.</t>
  </si>
  <si>
    <t xml:space="preserve">2187169434</t>
  </si>
  <si>
    <t xml:space="preserve">The customer called regarding an internet outage affecting their business. They expressed frustration over the impact on their operations and inquired about potential credits for the service disruption. The agent confirmed the outage was due to weather conditions and stated that credits could be requested once the service was restored. The customer remained dissatisfied with the lack of a clear resolution or timeline for restoration.</t>
  </si>
  <si>
    <t xml:space="preserve">2187116212</t>
  </si>
  <si>
    <t xml:space="preserve">Self her resolution and the cs was mad that she needs to wait . The customer called regarding issues with their streaming service, &lt;US_DRIVER_LICENSE&gt; not being able to access News Max 2 after a suspected upgrade. The agent attempted to assist by checking channel numbers and confirming the issue but was unable to resolve it. The customer expressed frustration over recurring problems with news channels during upgrades and mentioned connectivity issues due to nearby fiber optic installations.</t>
  </si>
  <si>
    <t xml:space="preserve">2187094939</t>
  </si>
  <si>
    <t xml:space="preserve">the agent was running wrong itg The customer called regarding an XFINITY order for a modem and a Wi-Fi Pro extender that was not connecting properly. After troubleshooting steps, including resetting the modem and extender, the agent confirmed that the extender should now be active and provided guidance on its placement for better signal strength.</t>
  </si>
  <si>
    <t xml:space="preserve">bp-rahmed716</t>
  </si>
  <si>
    <t xml:space="preserve">2184637241</t>
  </si>
  <si>
    <t xml:space="preserve">bp-hsaeed476</t>
  </si>
  <si>
    <t xml:space="preserve">2188175240</t>
  </si>
  <si>
    <t xml:space="preserve">bp-dabdel379</t>
  </si>
  <si>
    <t xml:space="preserve">2187786223</t>
  </si>
  <si>
    <t xml:space="preserve">hold and mute // delivery and clarity </t>
  </si>
  <si>
    <t xml:space="preserve">2177503423</t>
  </si>
  <si>
    <t xml:space="preserve">"The customer contacted the agent regarding issues with their main cable box, which has been losing connection frequently. The agent attempted to verify the account but needed confirmation from the customer's wife, as the account is under her phone number. The agent suggested that the customer could either wait for the wife to provide the verification or visit a nearby XFINITY store to replace the box. The customer expressed appreciation for the assistance provided. agent did not use ITG "</t>
  </si>
  <si>
    <t xml:space="preserve">2177422342</t>
  </si>
  <si>
    <t xml:space="preserve">agent was not professional with the cst ignored the cst req for sup </t>
  </si>
  <si>
    <t xml:space="preserve">2177351634</t>
  </si>
  <si>
    <t xml:space="preserve">. The customer was informed they have until to make the payment to avoid service interruption.</t>
  </si>
  <si>
    <t xml:space="preserve">2178118803</t>
  </si>
  <si>
    <t xml:space="preserve">, the agent confirmed the account and successfully canceled the appointment. did not ask questions </t>
  </si>
  <si>
    <t xml:space="preserve">2178140698</t>
  </si>
  <si>
    <t xml:space="preserve">interrupt the cst </t>
  </si>
  <si>
    <t xml:space="preserve">delivery and clarity // setting expectations </t>
  </si>
  <si>
    <t xml:space="preserve">2187542861</t>
  </si>
  <si>
    <t xml:space="preserve">skipping loqs </t>
  </si>
  <si>
    <t xml:space="preserve">2177180678</t>
  </si>
  <si>
    <t xml:space="preserve">intrruppt the cst - overtalking - non structure flow </t>
  </si>
  <si>
    <t xml:space="preserve">2187091037</t>
  </si>
  <si>
    <t xml:space="preserve">agent and sup were rude</t>
  </si>
  <si>
    <t xml:space="preserve">2188372262</t>
  </si>
  <si>
    <t xml:space="preserve">The customer called to inquire about their cable service, which has been disrupted since . They expressed frustration over multiple appointments set up and confusion regarding their status. The agent confirmed that the customer is on a waiting list for a technician appointment scheduled for and assured them that they would receive a call before the visit.</t>
  </si>
  <si>
    <t xml:space="preserve">2188368052</t>
  </si>
  <si>
    <t xml:space="preserve">The customer called Xfinity due to an Internet outage that lasted for following a tornado. They expressed frustration over not being able to connect despite receiving a message that service was restored. The agent attempted troubleshooting steps and indicated they would consult with the back office for further assistance. stayed on mute for 18 min. till the call dropped</t>
  </si>
  <si>
    <t xml:space="preserve">2188204344</t>
  </si>
  <si>
    <t xml:space="preserve">2188435425</t>
  </si>
  <si>
    <t xml:space="preserve">Overpitching , The customer called to request the relocation of a cable wire. The agent confirmed the request and scheduled a technician to come . The customer declined additional offers for service upgrades and confirmed their satisfaction with the scheduled appointment.</t>
  </si>
  <si>
    <t xml:space="preserve">2188028110</t>
  </si>
  <si>
    <t xml:space="preserve">7min. hold exceeding , The customer called Xfinity to resolve an issue with connecting a newly found iPad to their Wi-Fi network. The agent provided troubleshooting steps, including checking the password and using the Xfinity app, but the customer continued to experience difficulties. Ultimately, the agent suggested contacting Apple support for further assistance.</t>
  </si>
  <si>
    <t xml:space="preserve">2185573939</t>
  </si>
  <si>
    <t xml:space="preserve">agent and sup were rude </t>
  </si>
  <si>
    <t xml:space="preserve">2188147130</t>
  </si>
  <si>
    <t xml:space="preserve">lack of active listening - overtalking while the customer is not understanding what is being explained </t>
  </si>
  <si>
    <t xml:space="preserve">2188146424</t>
  </si>
  <si>
    <t xml:space="preserve">The customer called to verify if their system was in bridge mode due to issues with their Google Nest devices going offline. After authentication, the agent confirmed the system was in bridge mode and explained that this disables routing capabilities. The agent provided the customer with administrative access to the account and sent a verification code for further access. The customer was able to troubleshoot their devices and confirmed that the issue was resolved.</t>
  </si>
  <si>
    <t xml:space="preserve">2188694212</t>
  </si>
  <si>
    <t xml:space="preserve">Overpitching , The customer called Xfinity regarding an error message on their fire stick, indicating access was denied. They mentioned having set up an installment plan and that one device was working while the other was not. The agent attempted to troubleshoot the issue by confirming account details and suggesting steps to resolve the problem, but the issue remained unresolved by the end of the call.</t>
  </si>
  <si>
    <t xml:space="preserve">2187752073</t>
  </si>
  <si>
    <t xml:space="preserve">2187160910</t>
  </si>
  <si>
    <t xml:space="preserve">bp-sabdel833</t>
  </si>
  <si>
    <t xml:space="preserve">2188761761</t>
  </si>
  <si>
    <t xml:space="preserve">2188537475</t>
  </si>
  <si>
    <t xml:space="preserve">mute , hold , setyting expectations </t>
  </si>
  <si>
    <t xml:space="preserve">intonation </t>
  </si>
  <si>
    <t xml:space="preserve">delivery and clarity , way of explaination </t>
  </si>
  <si>
    <t xml:space="preserve">bp-asaiee351</t>
  </si>
  <si>
    <t xml:space="preserve">2189407938</t>
  </si>
  <si>
    <t xml:space="preserve">Appointment availability</t>
  </si>
  <si>
    <t xml:space="preserve">2183976471</t>
  </si>
  <si>
    <t xml:space="preserve">The customer, Amanda, called to inquire about the status of a modem order that was supposed to be delivered . The agent confirmed that the modem had not yet shipped and offered to add Amanda's son as a manager on the account so he could pick it up at an Xfinity store. After some verification steps, the agent successfully added the son and sent a text message for approval. The customer confirmed the pricing details for the service.</t>
  </si>
  <si>
    <t xml:space="preserve">2186588233</t>
  </si>
  <si>
    <t xml:space="preserve">CX was on the line with another agent and didn't know what happened and switched to the other call and gave a detractor to the agent.</t>
  </si>
  <si>
    <t xml:space="preserve">2187818707</t>
  </si>
  <si>
    <t xml:space="preserve">Agent couldn't hear the customer her voice was cutting out and glitching.</t>
  </si>
  <si>
    <t xml:space="preserve">2187889897</t>
  </si>
  <si>
    <t xml:space="preserve">bp-aabdel611</t>
  </si>
  <si>
    <t xml:space="preserve">2186584682</t>
  </si>
  <si>
    <t xml:space="preserve">No Sanas &amp; Call dropped and agent didn't call back </t>
  </si>
  <si>
    <t xml:space="preserve">Customer wanted to talk to someone from her nearby xfinity store agent stated that the there no direct number to the store and offered assistance but the customer refused </t>
  </si>
  <si>
    <t xml:space="preserve">2187894247</t>
  </si>
  <si>
    <t xml:space="preserve">Agent placed the call on mute and call dropped and didn't reach out to the customer.</t>
  </si>
  <si>
    <t xml:space="preserve">2188664455</t>
  </si>
  <si>
    <t xml:space="preserve">No Sanas &amp; Excessive mutes and cal dropped and didn't call back the customer.</t>
  </si>
  <si>
    <t xml:space="preserve">2187847556</t>
  </si>
  <si>
    <t xml:space="preserve">Knowledge gap when it comes to the unreturned eqp charges </t>
  </si>
  <si>
    <t xml:space="preserve">2189192087</t>
  </si>
  <si>
    <t xml:space="preserve">cx had issue with internet , agent didnt set cx expectations about the 2 h trouble call , and how to schedule the technician visit through out the text msg </t>
  </si>
  <si>
    <t xml:space="preserve">2188855607</t>
  </si>
  <si>
    <t xml:space="preserve">not following the itg LOQs </t>
  </si>
  <si>
    <t xml:space="preserve">2188867633</t>
  </si>
  <si>
    <t xml:space="preserve">agrent fixed the issue , cx is satisfied about the aagent and the service yet dissatisfied about previous rep </t>
  </si>
  <si>
    <t xml:space="preserve">2184686344</t>
  </si>
  <si>
    <t xml:space="preserve">Did not provide any resolution for the customer regarding the internet outage</t>
  </si>
  <si>
    <t xml:space="preserve">2184762050</t>
  </si>
  <si>
    <t xml:space="preserve">Agent resolved issue and customer was happy with him but with service.</t>
  </si>
  <si>
    <t xml:space="preserve">Customer had her plan downgraded, agent resolved the issue</t>
  </si>
  <si>
    <t xml:space="preserve">2184789535</t>
  </si>
  <si>
    <t xml:space="preserve">Did not assist customer on how to use admin tool</t>
  </si>
  <si>
    <t xml:space="preserve">Did not assist the customer with how to use the admin tool</t>
  </si>
  <si>
    <t xml:space="preserve">2184902056</t>
  </si>
  <si>
    <t xml:space="preserve">2185015909</t>
  </si>
  <si>
    <t xml:space="preserve">service is continuously unreliable on a daily basis. all cables in street boxes are old and worn and not well maintained. service time is slow. infinity is not good for anyone who works from home. there are just too many interruptions during my day to day work load. i stay more stressed about infinity working then my job itself. we can't count on you guys anymore!!</t>
  </si>
  <si>
    <t xml:space="preserve">2185025483</t>
  </si>
  <si>
    <t xml:space="preserve">did not build rapport or show empathy</t>
  </si>
  <si>
    <t xml:space="preserve">2185018231</t>
  </si>
  <si>
    <t xml:space="preserve">Did not show empathy at all</t>
  </si>
  <si>
    <t xml:space="preserve">2189570726</t>
  </si>
  <si>
    <t xml:space="preserve">2188331653</t>
  </si>
  <si>
    <t xml:space="preserve">sloughy tonality // hold and mute </t>
  </si>
  <si>
    <t xml:space="preserve">hesitation // setting expectations </t>
  </si>
  <si>
    <t xml:space="preserve">2186384910</t>
  </si>
  <si>
    <t xml:space="preserve">No sanas &amp; Sleepy tone of voice and lack of energy &amp; No ITG Compliance &amp; Slient gaps &amp; Poor Closure &amp; Lack of AER</t>
  </si>
  <si>
    <t xml:space="preserve">bp-otawfi367</t>
  </si>
  <si>
    <t xml:space="preserve">2189153976</t>
  </si>
  <si>
    <t xml:space="preserve">Customer is dissatisfied with having a TV issue even when the agent scheduled a tech visit on the very next day</t>
  </si>
  <si>
    <t xml:space="preserve">2189221593</t>
  </si>
  <si>
    <t xml:space="preserve">2185080643</t>
  </si>
  <si>
    <t xml:space="preserve">Did not build rapport with customer and only offered the bad news</t>
  </si>
  <si>
    <t xml:space="preserve">2185154953</t>
  </si>
  <si>
    <t xml:space="preserve">did not show empathy for lack of service</t>
  </si>
  <si>
    <t xml:space="preserve">2185315725</t>
  </si>
  <si>
    <t xml:space="preserve">agent handled the call well</t>
  </si>
  <si>
    <t xml:space="preserve">2185355077</t>
  </si>
  <si>
    <t xml:space="preserve">asked customer switch outlets and call us back if the issue persists even though isssue was not resolved</t>
  </si>
  <si>
    <t xml:space="preserve">2185382514</t>
  </si>
  <si>
    <t xml:space="preserve">did not show emapthy</t>
  </si>
  <si>
    <t xml:space="preserve">2185384528</t>
  </si>
  <si>
    <t xml:space="preserve">Lots of silent gaps and delivered bad news without any empathy</t>
  </si>
  <si>
    <t xml:space="preserve">2185414134</t>
  </si>
  <si>
    <t xml:space="preserve">did not explain process of SRO effectively, incomplete resolution</t>
  </si>
  <si>
    <t xml:space="preserve">2185488505</t>
  </si>
  <si>
    <t xml:space="preserve">call was transferred, recording is for someone else.</t>
  </si>
  <si>
    <t xml:space="preserve">2185638748</t>
  </si>
  <si>
    <t xml:space="preserve">2185638595</t>
  </si>
  <si>
    <t xml:space="preserve">2185679384</t>
  </si>
  <si>
    <t xml:space="preserve">Lack of ownership (blaming the fault on samsung)</t>
  </si>
  <si>
    <t xml:space="preserve">2185761355</t>
  </si>
  <si>
    <t xml:space="preserve">problem not resolved, customer comment</t>
  </si>
  <si>
    <t xml:space="preserve">2185875438</t>
  </si>
  <si>
    <t xml:space="preserve">Customer thanked the agent multiple times</t>
  </si>
  <si>
    <t xml:space="preserve">2185967485</t>
  </si>
  <si>
    <t xml:space="preserve">Remote issue but agent had customer call tv manufacturer instead of resolved the issue</t>
  </si>
  <si>
    <t xml:space="preserve">2186095802</t>
  </si>
  <si>
    <t xml:space="preserve">Transferred to disconnect for a billing issue that couldve been handled by us</t>
  </si>
  <si>
    <t xml:space="preserve">2186099053</t>
  </si>
  <si>
    <t xml:space="preserve">Agent did everything he could</t>
  </si>
  <si>
    <t xml:space="preserve">2186165529</t>
  </si>
  <si>
    <t xml:space="preserve">2186338295</t>
  </si>
  <si>
    <t xml:space="preserve">couldve resolved the issue but transferred the call instead</t>
  </si>
  <si>
    <t xml:space="preserve">2186392164</t>
  </si>
  <si>
    <t xml:space="preserve">Lots of dead air that couldve been utilized to build rapport with the customer</t>
  </si>
  <si>
    <t xml:space="preserve">2186438556</t>
  </si>
  <si>
    <t xml:space="preserve">Lack of promotions resulted in detractor</t>
  </si>
  <si>
    <t xml:space="preserve">2186543291</t>
  </si>
  <si>
    <t xml:space="preserve">Lack of empathy</t>
  </si>
  <si>
    <t xml:space="preserve">2186575414</t>
  </si>
  <si>
    <t xml:space="preserve">agent was very monotonic that customer thought they were speaking with a robot</t>
  </si>
  <si>
    <t xml:space="preserve">2186714878</t>
  </si>
  <si>
    <t xml:space="preserve">transferred the call unnecessarily</t>
  </si>
  <si>
    <t xml:space="preserve">2187072135</t>
  </si>
  <si>
    <t xml:space="preserve">rapport couldve saved the nps there</t>
  </si>
  <si>
    <t xml:space="preserve">Customer was satisfied with service provided by agent</t>
  </si>
  <si>
    <t xml:space="preserve">customer was happy</t>
  </si>
  <si>
    <t xml:space="preserve">2187364531</t>
  </si>
  <si>
    <t xml:space="preserve">Customer was happy</t>
  </si>
  <si>
    <t xml:space="preserve">2187542356</t>
  </si>
  <si>
    <t xml:space="preserve">2187550080</t>
  </si>
  <si>
    <t xml:space="preserve">customer was happy with the help</t>
  </si>
  <si>
    <t xml:space="preserve">2187549998</t>
  </si>
  <si>
    <t xml:space="preserve">Did not build rapport</t>
  </si>
  <si>
    <t xml:space="preserve">2189639276</t>
  </si>
  <si>
    <t xml:space="preserve">The customer called about the Starz channel broadcasting in Spanish instead of English. The agent attempted to troubleshoot the issue by guiding the customer through settings and suggested removing and re-adding the channel. The customer expressed dissatisfaction with the billing changes and requested a supervisor for further assistance. The agent promised to follow up and ensure a supervisor would call back within a couple of hours. </t>
  </si>
  <si>
    <t xml:space="preserve">2190720487</t>
  </si>
  <si>
    <t xml:space="preserve">call dropped , no call back </t>
  </si>
  <si>
    <t xml:space="preserve">2189347825</t>
  </si>
  <si>
    <t xml:space="preserve">the agent confirmed that the Internet was still offline due to a possible physical issue. A technician appointment was scheduled to address the problem. The customer expressed dissatisfaction with the service and billing adjustments discussed during the call.// issue was with intonation , setting expectations </t>
  </si>
  <si>
    <t xml:space="preserve">2189103865</t>
  </si>
  <si>
    <t xml:space="preserve">bp-mabdel291</t>
  </si>
  <si>
    <t xml:space="preserve">2190604180</t>
  </si>
  <si>
    <t xml:space="preserve">bp-mmoham541</t>
  </si>
  <si>
    <t xml:space="preserve">2190717664</t>
  </si>
  <si>
    <t xml:space="preserve">no active listening , line is for free , agent was not following the policy </t>
  </si>
  <si>
    <t xml:space="preserve">2190858813</t>
  </si>
  <si>
    <t xml:space="preserve">no propping questions</t>
  </si>
  <si>
    <t xml:space="preserve">2190722723</t>
  </si>
  <si>
    <t xml:space="preserve">Despite multiple attempts, the customer faced difficulties accessing the subscription and expressed frustration with the process. </t>
  </si>
  <si>
    <t xml:space="preserve">2187537996</t>
  </si>
  <si>
    <t xml:space="preserve">2187549846</t>
  </si>
  <si>
    <t xml:space="preserve">Hold was more than 50% of the duration of the call</t>
  </si>
  <si>
    <t xml:space="preserve">2187731107</t>
  </si>
  <si>
    <t xml:space="preserve">Tech cancelled appointment</t>
  </si>
  <si>
    <t xml:space="preserve">2187733611</t>
  </si>
  <si>
    <t xml:space="preserve">Did not build empathy</t>
  </si>
  <si>
    <t xml:space="preserve">2187771140</t>
  </si>
  <si>
    <t xml:space="preserve">Call lacked rapport</t>
  </si>
  <si>
    <t xml:space="preserve">Most of the call is mute</t>
  </si>
  <si>
    <t xml:space="preserve">2187824706</t>
  </si>
  <si>
    <t xml:space="preserve">Transferred call unnecessarily</t>
  </si>
  <si>
    <t xml:space="preserve">2187888592</t>
  </si>
  <si>
    <t xml:space="preserve">Tech got cancelled without customer knowing</t>
  </si>
  <si>
    <t xml:space="preserve">2187977072</t>
  </si>
  <si>
    <t xml:space="preserve">Did not specify when tech will come.</t>
  </si>
  <si>
    <t xml:space="preserve">2187988020</t>
  </si>
  <si>
    <t xml:space="preserve">Did not attempt to get the customer a discount</t>
  </si>
  <si>
    <t xml:space="preserve">Did not attempt to repackage plan to look for a discount</t>
  </si>
  <si>
    <t xml:space="preserve">2188085353</t>
  </si>
  <si>
    <t xml:space="preserve">mute for 5 mins when whole call is 12 min</t>
  </si>
  <si>
    <t xml:space="preserve">2188285156</t>
  </si>
  <si>
    <t xml:space="preserve">2188340498</t>
  </si>
  <si>
    <t xml:space="preserve">Call was good, customer dissatisfied with service</t>
  </si>
  <si>
    <t xml:space="preserve">2188084146</t>
  </si>
  <si>
    <t xml:space="preserve">Mute for the majority of the call</t>
  </si>
  <si>
    <t xml:space="preserve">2188182351</t>
  </si>
  <si>
    <t xml:space="preserve">2188537540</t>
  </si>
  <si>
    <t xml:space="preserve">Did not actively listen to the customer and kept interrupting her.</t>
  </si>
  <si>
    <t xml:space="preserve">2188666494</t>
  </si>
  <si>
    <t xml:space="preserve">No rapport was built and call was placed on mute for the majority of it</t>
  </si>
  <si>
    <t xml:space="preserve">2188694744</t>
  </si>
  <si>
    <t xml:space="preserve">2188893214</t>
  </si>
  <si>
    <t xml:space="preserve">Customer was happy with the call</t>
  </si>
  <si>
    <t xml:space="preserve">2189000544</t>
  </si>
  <si>
    <t xml:space="preserve">2188997161</t>
  </si>
  <si>
    <t xml:space="preserve">Over pitching</t>
  </si>
  <si>
    <t xml:space="preserve">2190972415</t>
  </si>
  <si>
    <t xml:space="preserve">2189485740</t>
  </si>
  <si>
    <t xml:space="preserve">Dissatisfied that tech is so far in the future</t>
  </si>
  <si>
    <t xml:space="preserve">2190814571</t>
  </si>
  <si>
    <t xml:space="preserve">2189523246</t>
  </si>
  <si>
    <t xml:space="preserve">2189570908</t>
  </si>
  <si>
    <t xml:space="preserve">Did not actively listen to customer and they needed to repeat themselves too much</t>
  </si>
  <si>
    <t xml:space="preserve">2189580355</t>
  </si>
  <si>
    <t xml:space="preserve">2189785926</t>
  </si>
  <si>
    <t xml:space="preserve">2189913180</t>
  </si>
  <si>
    <t xml:space="preserve">Did not check notes on the account. Could've offered to replace tv box. Did not paraphrase the issue</t>
  </si>
  <si>
    <t xml:space="preserve">2190050038</t>
  </si>
  <si>
    <t xml:space="preserve">Mute for over 10 mins and scheduled callback for no reason</t>
  </si>
  <si>
    <t xml:space="preserve">2190140237</t>
  </si>
  <si>
    <t xml:space="preserve">bp-kalatf015</t>
  </si>
  <si>
    <t xml:space="preserve">2193425706</t>
  </si>
  <si>
    <t xml:space="preserve">cx stated he was so fast through out the call // call dropped with  no resolution // old equipment</t>
  </si>
  <si>
    <t xml:space="preserve">2191972219</t>
  </si>
  <si>
    <t xml:space="preserve">handling skills , lack of empathy , no active listening </t>
  </si>
  <si>
    <t xml:space="preserve">No empathy, AER was very weak </t>
  </si>
  <si>
    <t xml:space="preserve">2191207981</t>
  </si>
  <si>
    <t xml:space="preserve">xfinity cancelled the subscription for the channel  </t>
  </si>
  <si>
    <t xml:space="preserve">2190013214</t>
  </si>
  <si>
    <t xml:space="preserve">the issue was related to another agent // cx was satisfied with hussiens's performance over the call </t>
  </si>
  <si>
    <t xml:space="preserve">2192330093</t>
  </si>
  <si>
    <t xml:space="preserve">2192573912</t>
  </si>
  <si>
    <t xml:space="preserve">he couldn't share the store location with cs so she can get a tech for the internet , didn't utilize the itg </t>
  </si>
  <si>
    <t xml:space="preserve">2192564117</t>
  </si>
  <si>
    <t xml:space="preserve">2192649960</t>
  </si>
  <si>
    <t xml:space="preserve">The customer contacted Xfinity regarding ongoing internet connectivity issues, expressing frustration over poor service and buffering. The agent attempted to perform basic troubleshooting but the customer felt the assistance was inadequate and chose to end the call.</t>
  </si>
  <si>
    <t xml:space="preserve">2192687273</t>
  </si>
  <si>
    <t xml:space="preserve">2192702454</t>
  </si>
  <si>
    <t xml:space="preserve">2192330788</t>
  </si>
  <si>
    <t xml:space="preserve">mute 4 min. then 5 min. , overpitching ,  The customer called Xfinity to add the entertainment and more package, which was incorrectly priced at $20 instead of $9.95. After verifying the account and addressing the issue, the agent sent a consent for the package addition via text. The customer was informed that the changes would take to reflect.</t>
  </si>
  <si>
    <t xml:space="preserve">2192258963</t>
  </si>
  <si>
    <t xml:space="preserve">call dropped and didn't take the right phone number to call back , The customer contacted Xfinity to inquire about a potential internet outage in their area. The agent experienced technical difficulties while accessing the account and proposed to call the customer back in to resolve the issue.</t>
  </si>
  <si>
    <t xml:space="preserve">2192184068</t>
  </si>
  <si>
    <t xml:space="preserve">The customer called Xfinity to report an internet outage that was supposed to be resolved by but was still ongoing. After troubleshooting steps, the agent confirmed the issue and scheduled a technician to visit. The customer expressed frustration over the delay and the lack of service, emphasizing the urgency of the situation.</t>
  </si>
  <si>
    <t xml:space="preserve">2192097371</t>
  </si>
  <si>
    <t xml:space="preserve">overpitching when the issue is not resolved , The customer contacted Xfinity due to a service outage at their location. The agent confirmed the modem was offline and guided the customer through troubleshooting steps. After determining the issue could not be resolved remotely, the agent scheduled a technician to visit and check the equipment. The customer was also informed about a promotional internet plan but ultimately decided to proceed with scheduling the technician.</t>
  </si>
  <si>
    <t xml:space="preserve">2191920741</t>
  </si>
  <si>
    <t xml:space="preserve">the cs needed more assurance , The customer contacted Xfinity to report receiving excessive phone calls, totaling 72 calls since acquiring their account. They expressed frustration over the harassment and requested that their number be added to a do not contact list. The agent confirmed they would note the request and ensure the customer would not receive further calls.</t>
  </si>
  <si>
    <t xml:space="preserve">2191783370</t>
  </si>
  <si>
    <t xml:space="preserve">The customer contacted Xfinity regarding issues with porting their phone number for voice over Internet. They reported that their previous phone service had not received any information about the porting. The agent confirmed that a ticket was submitted to change the number and initiated a transfer to the appropriate department for further assistance. The customer expressed frustration over previous disconnections during transfers.</t>
  </si>
  <si>
    <t xml:space="preserve">2190029589</t>
  </si>
  <si>
    <t xml:space="preserve">you guys give the worst service i have ever had lately and i think i am going to cancel my account with you. is that clear enough? that was her comment  , The customer called Xfinity to express frustration over the removal of the red zone from their TV package, which they had been paying for. The agent explained that red zone is now an add-on for $9.99. After a lengthy discussion about the customer's high bill, the agent offered a $40 credit to cover the red zone for . The customer remained dissatisfied and indicated they might cancel their service</t>
  </si>
  <si>
    <t xml:space="preserve">ahamma869</t>
  </si>
  <si>
    <t xml:space="preserve">2192787156</t>
  </si>
  <si>
    <t xml:space="preserve">remote contol issue , agent followed itg but had struggles explaining the resolution to the cx , also was not leading the call </t>
  </si>
  <si>
    <t xml:space="preserve">2190939334</t>
  </si>
  <si>
    <t xml:space="preserve">2190241257</t>
  </si>
  <si>
    <t xml:space="preserve">Did not show emapthy</t>
  </si>
  <si>
    <t xml:space="preserve">bp-amofta326</t>
  </si>
  <si>
    <t xml:space="preserve">2193145010</t>
  </si>
  <si>
    <t xml:space="preserve">The customer contacted Xfinity regarding multiple channels freezing on their television. After verifying the customer's information, the agent attempted to troubleshoot the issue. However, the customer was unwilling to continue troubleshooting and expressed frustration, suggesting there might be an area-wide problem. The call ended without a resolution.</t>
  </si>
  <si>
    <t xml:space="preserve">bp-bibrah101</t>
  </si>
  <si>
    <t xml:space="preserve">2193294615</t>
  </si>
  <si>
    <t xml:space="preserve">cx needs to get in touch with the direct manager of the store which is not possible , agnet did his best </t>
  </si>
  <si>
    <t xml:space="preserve">2192813247</t>
  </si>
  <si>
    <t xml:space="preserve">No AER about the service outage, Mumbling while delivering info wasn't ready yet with the info didn't seem professional.</t>
  </si>
  <si>
    <t xml:space="preserve">2193556042</t>
  </si>
  <si>
    <t xml:space="preserve">CX wanted to calling to hang up the call, Weird call but the agent didn’t mange to probe early and didn’t save the AICR by checking what is actually going on with the customer to prevent the call back and resolve.</t>
  </si>
  <si>
    <t xml:space="preserve">2193899329</t>
  </si>
  <si>
    <t xml:space="preserve">hold and mute // cx verbatim stated (i doubt my input will be considered.)  Which after listening to the call , the agent was not confident enough in the news delivery and this is a coaching opportunity .</t>
  </si>
  <si>
    <t xml:space="preserve">2193685421</t>
  </si>
  <si>
    <t xml:space="preserve">Didn’t show any kind of AER, Lack of Active listening, Stuttering and low energetic, Excessive mutes, Not setting proper expectations about the tech charge &amp; Incorrect about that the tech would call .</t>
  </si>
  <si>
    <t xml:space="preserve">2193118649</t>
  </si>
  <si>
    <t xml:space="preserve">Didn’t probe about the disconnection and didn’t show any AER and didn’t make it effortless to verify or to even transfer the call to it’s intended destination. No resolution on the call.</t>
  </si>
  <si>
    <t xml:space="preserve">2192785327</t>
  </si>
  <si>
    <t xml:space="preserve">2193627489</t>
  </si>
  <si>
    <t xml:space="preserve">Didn’t show AER, Didn’t paraphrase, Cutt of the customer while verifying, Excessive mute, not using Sanas, not muting and talking arabic</t>
  </si>
  <si>
    <t xml:space="preserve">bp-kismai187</t>
  </si>
  <si>
    <t xml:space="preserve">2192898438</t>
  </si>
  <si>
    <t xml:space="preserve">bp-asaeed965</t>
  </si>
  <si>
    <t xml:space="preserve">2193007914</t>
  </si>
  <si>
    <t xml:space="preserve">2193122702</t>
  </si>
  <si>
    <t xml:space="preserve">2193272490</t>
  </si>
  <si>
    <t xml:space="preserve">2193294704</t>
  </si>
  <si>
    <t xml:space="preserve">2192800881</t>
  </si>
  <si>
    <t xml:space="preserve">2192849172</t>
  </si>
  <si>
    <t xml:space="preserve">Did not put customer on waitlist even tho they said they would</t>
  </si>
  <si>
    <t xml:space="preserve">2193438994</t>
  </si>
  <si>
    <t xml:space="preserve">2193033675</t>
  </si>
  <si>
    <t xml:space="preserve">Customer was happy with interaction but unhappy with previous interation</t>
  </si>
  <si>
    <t xml:space="preserve">2193436464</t>
  </si>
  <si>
    <t xml:space="preserve">2193248073</t>
  </si>
  <si>
    <t xml:space="preserve">Customer provided positive feedback</t>
  </si>
  <si>
    <t xml:space="preserve">2193687044</t>
  </si>
  <si>
    <t xml:space="preserve">Restrictions related to changing the bill language from the app</t>
  </si>
  <si>
    <t xml:space="preserve">2192827589</t>
  </si>
  <si>
    <t xml:space="preserve">closed the ECM ticket before fixing the issue </t>
  </si>
  <si>
    <t xml:space="preserve">2193069886</t>
  </si>
  <si>
    <t xml:space="preserve">The customer called to finish porting their mom's phone number. The agent confirmed that the order was pending and instructed the customer to visit a nearby store to complete the process. The customer expressed frustration about needing to go to the store, as they believed the process could be completed online or over the phone. The agent apologized for the inconvenience and provided store details.// agent could have completed that using ecm suppoty </t>
  </si>
  <si>
    <t xml:space="preserve">helada073</t>
  </si>
  <si>
    <t xml:space="preserve">the policy for the pending order would take 24 h </t>
  </si>
  <si>
    <t xml:space="preserve">bp-amoham050</t>
  </si>
  <si>
    <t xml:space="preserve">2193874183</t>
  </si>
  <si>
    <t xml:space="preserve">2193869142</t>
  </si>
  <si>
    <t xml:space="preserve">Lack of knowledge of stream saver</t>
  </si>
  <si>
    <t xml:space="preserve">bp-smatta543</t>
  </si>
  <si>
    <t xml:space="preserve">2193367264</t>
  </si>
  <si>
    <t xml:space="preserve">42 min call, lots of silent gaps</t>
  </si>
  <si>
    <t xml:space="preserve">bp-omoham037</t>
  </si>
  <si>
    <t xml:space="preserve">2193363176</t>
  </si>
  <si>
    <t xml:space="preserve">did not understand customer's issue</t>
  </si>
  <si>
    <t xml:space="preserve">bp-omahmo278</t>
  </si>
  <si>
    <t xml:space="preserve">2193841340</t>
  </si>
  <si>
    <t xml:space="preserve">2193935839</t>
  </si>
  <si>
    <t xml:space="preserve">Lack of AER, TOV , Lack of ownership, no probing by checking notes or reason for the reschedule ,no resolution delivery on the call.</t>
  </si>
  <si>
    <t xml:space="preserve">2193936157</t>
  </si>
  <si>
    <t xml:space="preserve">Lack of probing to pin point what is exactly the concern, incorrect information, CX requested a call back and agent failed to call back the customer.</t>
  </si>
  <si>
    <t xml:space="preserve">2194394545</t>
  </si>
  <si>
    <t xml:space="preserve">Delayed Greeting, Agent released the call while the customer was calling. </t>
  </si>
  <si>
    <t xml:space="preserve">2193774999</t>
  </si>
  <si>
    <t xml:space="preserve">customer been transferred multiple times , refuse to troubleshoot as she was in hurry and the previous agent left her in hold for too long before transferring , The customer, , called regarding a landline phone that was not working despite being charged and set up. After a lengthy discussion, the agent discovered that the service had not been activated. The agent offered to send new equipment to resolve the issue. However, the customer expressed frustration over the time spent on the call and decided to call back later. </t>
  </si>
  <si>
    <t xml:space="preserve">2194380124</t>
  </si>
  <si>
    <t xml:space="preserve">TOV, Agent is freestyling not using any kind of ITG or LOQs and is not delivering any kind of resolutions, No AER, Call avoidance Airplane mode on.</t>
  </si>
  <si>
    <t xml:space="preserve">2194289586</t>
  </si>
  <si>
    <t xml:space="preserve">Low Energetic TOV, Lack of AER, Zero  ITG LOQs, Excessive mutes, Lack of probing and just sent a tech.</t>
  </si>
  <si>
    <t xml:space="preserve">bp-maboel157</t>
  </si>
  <si>
    <t xml:space="preserve">Customer contacted regarding internet being disconnected for approximately 3 days. Agent verified the account and completed troubleshooting, and the connection was restored. However, during troubleshooting, the agent advised that the likely cause of the issue was the customer being on a legacy package and stated that upgrading to a next-generation package would help avoid future outages. This was not supported by the interaction, especially since the customer mentioned recent repair work in the area and service was restored through troubleshooting. The sales positioning created additional dissatisfaction around pricing. Classified as Agent Opportunity – Incorrect/Incomplete Resolution.</t>
  </si>
  <si>
    <t xml:space="preserve">2195340133</t>
  </si>
  <si>
    <t xml:space="preserve">lack of empathy , not offering the alternative solution of placing the cx on the waiting list  The customer called Xfinity to schedule a technician visit due to issues with their service. After some initial confusion and frustration, the agent successfully scheduled an appointment for October 1 from 12 PM to 2 PM. The customer expressed dissatisfaction with the text confirmation process but ultimately received the appointment confirmation.</t>
  </si>
  <si>
    <t xml:space="preserve">by bp-ahussi461</t>
  </si>
  <si>
    <t xml:space="preserve">2195022174</t>
  </si>
  <si>
    <t xml:space="preserve">The customer called Xfinity to inquire about a scheduled installation of a fiber optic line that did not occur. They expressed frustration over previous calls and the lack of service. The agent explained that the installation process involves multiple visits and that the customer was currently on the third step of the process. The customer remained dissatisfied and indicated they might consider staying wit// summary lack of active, listening , cutting cx off a loyt , dead air </t>
  </si>
  <si>
    <t xml:space="preserve">bp-ttawfi587</t>
  </si>
  <si>
    <t xml:space="preserve">2193915952</t>
  </si>
  <si>
    <t xml:space="preserve">Professional Greeting Tried to break the ice, No AER , No Recapping early to absorp and show care, Lost XM opportunity.</t>
  </si>
  <si>
    <t xml:space="preserve">Didn’t show AER, I don’t know (Lost ownership and professionalism), Was rushy into delivying info, lack of SSO Education. </t>
  </si>
  <si>
    <t xml:space="preserve">2194751939</t>
  </si>
  <si>
    <t xml:space="preserve">Lack of probing and understanding the reason of the call  - Didn't call back the customer </t>
  </si>
  <si>
    <t xml:space="preserve">bp-mismai525</t>
  </si>
  <si>
    <t xml:space="preserve">2194507619</t>
  </si>
  <si>
    <t xml:space="preserve">NO Breaking ICE, No AER to absorp, Robotic, Too fast, No Recapping, Not Prepared with the info and mumbling a lot doesn’t sound informative &amp; professional be more collected in delivering info , no branding  at the end of call to be an ambassador </t>
  </si>
  <si>
    <t xml:space="preserve">2194470652</t>
  </si>
  <si>
    <t xml:space="preserve">Did not paraphrase the issue correctly</t>
  </si>
  <si>
    <t xml:space="preserve">2193994331</t>
  </si>
  <si>
    <t xml:space="preserve">2195164144</t>
  </si>
  <si>
    <t xml:space="preserve">Weak TOV - Didn't paraphrase - No AER - MAAM? Lack of focus not paying attention - Incorrect Information misleading customer</t>
  </si>
  <si>
    <t xml:space="preserve">2194180576</t>
  </si>
  <si>
    <t xml:space="preserve">Mute for majority of call and lack of active egagement with customer</t>
  </si>
  <si>
    <t xml:space="preserve">2194670426</t>
  </si>
  <si>
    <t xml:space="preserve">Delayed Greeting - Didn't break the ice - Sanas isn't activated - no AER -  No ITG LOQs - Excessive mute - Not setting proper expectation regarding swapping the modem has to have activations after the swap &amp; didn't offer an alternative like shipping a modem and giving her a line as a way to get connected  - 100% sale loss opportunity - no resolution what so ever by end of call </t>
  </si>
  <si>
    <t xml:space="preserve">bp-mabdel547</t>
  </si>
  <si>
    <t xml:space="preserve">2193469203</t>
  </si>
  <si>
    <t xml:space="preserve">Didnot deescalate the call properly</t>
  </si>
  <si>
    <t xml:space="preserve">2196097521</t>
  </si>
  <si>
    <t xml:space="preserve">Agent had most of the call on mute, coaching already sent to the agent </t>
  </si>
  <si>
    <t xml:space="preserve">2196172757</t>
  </si>
  <si>
    <t xml:space="preserve">agent did his best , cx is dissatisfied about the tech appointment , agent placed the cx on waiting list</t>
  </si>
  <si>
    <t xml:space="preserve">2196062802</t>
  </si>
  <si>
    <t xml:space="preserve">agent intonation is so fast , mumbling , fog horns , not confident , struggle with delivery and clarity </t>
  </si>
  <si>
    <t xml:space="preserve">2195830934</t>
  </si>
  <si>
    <t xml:space="preserve"> The customer expressed ongoing concerns about service reliability and compatibility with their devices.</t>
  </si>
  <si>
    <t xml:space="preserve">2197201826</t>
  </si>
  <si>
    <t xml:space="preserve">if the phone is not working we dont ask the vcx to pay us visit at the store , this is integrity voiolation , as the agent failed to state that the cx will be eligible for such offer if the cx is having a second line </t>
  </si>
  <si>
    <t xml:space="preserve">2196295747</t>
  </si>
  <si>
    <t xml:space="preserve">Customer was frustrated because the tv box was not working so the agent directed the customer to the nearest xfinity store so she can replace the box </t>
  </si>
  <si>
    <t xml:space="preserve">2194999841</t>
  </si>
  <si>
    <t xml:space="preserve">Customer modem didn't work after the troubleshooting, so the agent requested a tech visit.</t>
  </si>
  <si>
    <t xml:space="preserve">2195016170</t>
  </si>
  <si>
    <t xml:space="preserve">Customer comment :because the person who signed me up lied to me telling my install would be 9/28. struggled with century link for several days and cancelled. i got a text saying my install is 10/04 . so both co have messed with me and after 51 min on phone no resolve. i will be cancelling xfinity tomorrow</t>
  </si>
  <si>
    <t xml:space="preserve">2195271176</t>
  </si>
  <si>
    <t xml:space="preserve">Customer had an issue with her cable service, she called xfinity a day before and the agent told her that the tech visit will be on the same day however it wasn't so the customer requested a tech visit again but there was no availability at the same day </t>
  </si>
  <si>
    <t xml:space="preserve">2195664884</t>
  </si>
  <si>
    <t xml:space="preserve">Customer wanted to return a mobile device and the agent kept telling the customer that she will give her the tracking number however the customer needed a return label . agent is coached  </t>
  </si>
  <si>
    <t xml:space="preserve">bp-melshe065</t>
  </si>
  <si>
    <t xml:space="preserve">2195774619</t>
  </si>
  <si>
    <t xml:space="preserve">Customer wanted an old offer that was already expired so the agent tried to get her the best possible offer customer thanked the agent but was dissatisfied with the xfinity  </t>
  </si>
  <si>
    <t xml:space="preserve">2195776072</t>
  </si>
  <si>
    <t xml:space="preserve">Customer wasn't educated on how to use the tv, agent tried to explain however the customer didn't want to listen </t>
  </si>
  <si>
    <t xml:space="preserve">2195958327</t>
  </si>
  <si>
    <t xml:space="preserve">2196088934</t>
  </si>
  <si>
    <t xml:space="preserve">Customer had an issue with her modem, and the agent was doing the troubleshooting however the customer hung up , the agent tried to reach the customer back but was directed to the voicemail </t>
  </si>
  <si>
    <t xml:space="preserve">2194954542</t>
  </si>
  <si>
    <t xml:space="preserve">The customer contacted Xfinity regarding issues with their new cable box, which was not functioning properly after being replaced. After troubleshooting steps were attempted, the agent determined that a technician visit was necessary to resolve the ongoing issues. The customer expressed frustration over the situation and requested compensation for the service disruption. the customer was frustrated that the previous tech visit didn't solve anything.</t>
  </si>
  <si>
    <t xml:space="preserve">2195343651</t>
  </si>
  <si>
    <t xml:space="preserve">Customer had an issue with his internet the agent was trying to verify the account then the call dropped the agent didn't call the customer back </t>
  </si>
  <si>
    <t xml:space="preserve">bp-nibrah583</t>
  </si>
  <si>
    <t xml:space="preserve">2196177563</t>
  </si>
  <si>
    <t xml:space="preserve">2193687570</t>
  </si>
  <si>
    <t xml:space="preserve">The customer contacted Xfinity regarding an issue with a phone upgrade order that was incorrectly delivered by FedEx. The agent confirmed the correct address and informed the customer that they should call FedEx to ensure the next delivery attempt is made to the right location. The agent noted that FedEx had attempted delivery but reported the customer was unavailable.</t>
  </si>
  <si>
    <t xml:space="preserve">bp-myouss098</t>
  </si>
  <si>
    <t xml:space="preserve">2193156868</t>
  </si>
  <si>
    <t xml:space="preserve">The customer called regarding an order for two iPhones, having received one but receiving an email stating the second order was canceled due to identity verification issues. The agent attempted to assist with account access but faced challenges with the customer's approval process. The customer expressed frustration over the lack of resolution and indicated they would try again later.</t>
  </si>
  <si>
    <t xml:space="preserve">2192986719</t>
  </si>
  <si>
    <t xml:space="preserve"> The customer called Xfinity regarding issues with their Wi-Fi extender, which was not functioning properly after a dropped call with tech support. The agent assisted by guiding the customer through troubleshooting steps, including checking the Xfinity app and resetting the modem. Ultimately, the extender was confirmed to be connected, and the customer was satisfied with the resolution.</t>
  </si>
  <si>
    <t xml:space="preserve">2193292026</t>
  </si>
  <si>
    <t xml:space="preserve">2193299937</t>
  </si>
  <si>
    <t xml:space="preserve">empathy -Assurant - setting expectations</t>
  </si>
  <si>
    <t xml:space="preserve">2194289087</t>
  </si>
  <si>
    <t xml:space="preserve">The customer called regarding a missed technician appointment that occurred early, causing frustration. They requested to speak with a supervisor to address the issue. The agent acknowledged the request and placed the call on hold to transfer the customer to a supervisor, noting previous requests for service adjustments.</t>
  </si>
  <si>
    <t xml:space="preserve">2192932764</t>
  </si>
  <si>
    <t xml:space="preserve">The customer called regarding their wife's email issues, stating that despite being informed that the problem would be resolved, the email account remained non-functional. The agent guided the customer through steps to verify the email account and suggested accessing it via the Xfinity website for further troubleshooting.</t>
  </si>
  <si>
    <t xml:space="preserve">2193007870</t>
  </si>
  <si>
    <t xml:space="preserve">The call was disconnected due to poor audio quality, and the agent attempted to reconnect but did not successfully communicate with the customer.</t>
  </si>
  <si>
    <t xml:space="preserve">bp-faboel486</t>
  </si>
  <si>
    <t xml:space="preserve">2194356825</t>
  </si>
  <si>
    <t xml:space="preserve">2193995401</t>
  </si>
  <si>
    <t xml:space="preserve">2194153964</t>
  </si>
  <si>
    <t xml:space="preserve">The customer called Xfinity to obtain their account number. The agent guided them through the process of downloading the XFINITY app and provided the account number after some troubleshooting. The customer successfully retrieved their account information and expressed appreciation for the assistance.</t>
  </si>
  <si>
    <t xml:space="preserve">2194776693</t>
  </si>
  <si>
    <t xml:space="preserve">The customer contacted Xfinity because their cable was not working and displayed a connection error. The agent diagnosed the issue and guided the customer through troubleshooting steps, including unplugging the cable. After following the steps, the cable service was restored, and the customer was able to change channels successfully.</t>
  </si>
  <si>
    <t xml:space="preserve">2192785477</t>
  </si>
  <si>
    <t xml:space="preserve">"The customer contacted Xfinity regarding issues with new equipment that was installed, which has caused intermittent Internet connection problems since installation. After multiple troubleshooting attempts, the agent scheduled a technician visit and applied a credit to the customer's account for the service disruption. The customer expressed frustration over the ongoing issues and the need for a stable connection.  jump into conclution to schedule a tech  Repeat Call Insights Mohamed started the call to a highly frustrated customer experiencing intermittent internet and TV service issues since installing new equipment. The customer believed the new modem was defective and had a history of previous technician appointments being canceled. While Mohamed attempted troubleshooting and offered solutions, the immediate next step for a technician appointment was deferred to an SMS, and the customer still asked for their service to be fixed. The customer ultimately called back the next day to successfully schedule a technician appointment. Strengths Mohamed showed confidence by offering immediate solutions like ordering new equipment or scheduling a technician early in the call. This demonstrated a proactive attitude and willingness to resolve the issue for the customer. Interaction Examples Mohamed consistently thanked the customer for their patience, especially during hold times. Acknowledging the customer's effort and time helps validate their experience and builds rapport.  Interaction Examples Opportunities Mohamed could have asked more questions to fully understand why the customer received new equipment and why they believed it was defective compared to their old modem. Deeper probing into the history of the equipment exchange might have helped pinpoint the root cause more quickly. Interaction Examples ITG ITG: Adhered to questions applicable for ITG selected 4/4 Mohamed deferred the critical step of scheduling a technician visit by telling the customer they would receive an SMS to arrange it later. This left the customer without a confirmed resolution and contributed to the need for a follow-up call. Interaction Examples Mohamed's explanation about receiving an SMS for scheduling was not clear enough, as the customer still asked if their service could be restored immediately. Clear communication about what to expect next helps set proper customer expectations and prevents confusion. Interaction Examples Coaching Recommendations On future calls, when new equipment is a concern, Mohamed could ask open-ended questions like, 'What was the reason for getting new equipment?' or 'What did the old one do differently?' to get to the root of the problem. Instead of deferring a technician appointment, Mohamed could try to schedule it directly during the call, ensuring the customer leaves with a confirmed plan for resolution. After explaining any next steps, Mohamed could ask the customer, 'Does that sound clear, and do you feel good about what happens next?' to ensure full understanding and prevent further questions. Insights are powered by our AI, and mistakes are possible. Please validate insights before use and share feedback so we can continue improving the experience and output quality. "</t>
  </si>
  <si>
    <t xml:space="preserve">2193151623</t>
  </si>
  <si>
    <t xml:space="preserve">The customer called to inquire about discounts on their bill, expressing concern about rising costs. The agent provided information about available plans and discounts, but the customer was not satisfied with the options presented. Ultimately, the customer decided to remain on their current plan despite expressing frustration with the pricing.</t>
  </si>
  <si>
    <t xml:space="preserve">2193011433</t>
  </si>
  <si>
    <t xml:space="preserve">The customer, , called Xfinity regarding a missed call and voicemail. The agent checked the account and confirmed that everything was fine. They scheduled a technician visit to install an underground cable from the tap to the house, confirming the appointment time of .</t>
  </si>
  <si>
    <t xml:space="preserve">2193826406</t>
  </si>
  <si>
    <t xml:space="preserve">"The customer called Xfinity regarding a recurring issue with their TV service, specifically that Disney and Hulu freeze during commercials. The agent verified the customer's account and sent a signal to the TV box, indicating that further troubleshooting would be needed. The customer was informed they would receive a text message in regarding the status of the issue and potential scheduling of a technician if the problem persisted.  agent asked the cst if she is remembering her address  ITG - picture quality issue  customer was fraustrated and agent did not even try to handle her - agent should let the cst know why she is reading the information from the back of the router despite having it on the system  agent was offering the cst to use youtube instead of the abs that she needs ""did not solve the cst issue"" sent message to the cst to scheduled tech without telling the cst  informed the cst that there is self heal while this was not the case  "</t>
  </si>
  <si>
    <t xml:space="preserve">bp-aahmed133</t>
  </si>
  <si>
    <t xml:space="preserve">2193465196</t>
  </si>
  <si>
    <t xml:space="preserve">The customer called Xfinity expressing frustration over being unable to access the Netflix app on their smart TV, despite other apps working fine. The agent confirmed that the customer's internet connection was functioning and that they do not have a Netflix subscription through Xfinity. The agent advised the customer to contact Netflix directly for further assistance.</t>
  </si>
  <si>
    <t xml:space="preserve">bp-mkamel051</t>
  </si>
  <si>
    <t xml:space="preserve">2194102791</t>
  </si>
  <si>
    <t xml:space="preserve">The customer called regarding a transfer code for one of their lines, which they had not received despite previous requests. The agent attempted to assist by sending a verification code and guiding the customer through the app to find the transfer PIN. After several attempts, the agent suggested using a default PIN of four zeros to facilitate the transfer. The customer expressed frustration but was appreciative of the assistance provided.</t>
  </si>
  <si>
    <t xml:space="preserve">2194523642</t>
  </si>
  <si>
    <t xml:space="preserve">The customer contacted Xfinity due to their internet service going out multiple times in . The agent checked the connection and placed the modem on self-healing mode. They informed the customer that a technician department would follow up regarding the ongoing issues. The customer expressed frustration over the frequent outages and the cost of service.</t>
  </si>
  <si>
    <t xml:space="preserve">2194452481</t>
  </si>
  <si>
    <t xml:space="preserve">high prices</t>
  </si>
  <si>
    <t xml:space="preserve">2195797555</t>
  </si>
  <si>
    <t xml:space="preserve">The customer called Xfinity because their television had no picture or sound. After verifying account details and troubleshooting steps, the agent identified an error code indicating a potential issue with the cable box's connection to the Internet. A technician visit was scheduled for to resolve the issue.</t>
  </si>
  <si>
    <t xml:space="preserve">2195361346</t>
  </si>
  <si>
    <t xml:space="preserve">"Agent answered after 29 sec  CST was talking to another agent and she hanged up the call on him  The customer, , expressed frustration over account overages and high internet costs while on a fixed income. After a lengthy discussion, the agent removed extra charges and adjusted 's bill to $82.34 for , ensuring future bills would remain at $92. appreciated the assistance and expressed gratitude for the resolution. "</t>
  </si>
  <si>
    <t xml:space="preserve">bp-jelsay291</t>
  </si>
  <si>
    <t xml:space="preserve">2196147392</t>
  </si>
  <si>
    <t xml:space="preserve">The customer contacted Xfinity regarding issues with their phone, including problems with receiving calls and sending messages. The agent confirmed the customer's phone model and guided them to reset their network settings to address the connectivity issues. The customer had previously removed the SIM card as instructed by another representative, which led to confusion about activation and functionality.</t>
  </si>
  <si>
    <t xml:space="preserve">2194109995</t>
  </si>
  <si>
    <t xml:space="preserve">The customer contacted Xfinity regarding an issue accessing their email, receiving a 'server unreachable' error. The agent attempted to verify the account and troubleshoot the issue but discovered that the email was not associated with the account. The agent suggested that the customer visit a Comcast store for further assistance.</t>
  </si>
  <si>
    <t xml:space="preserve">2194626735</t>
  </si>
  <si>
    <t xml:space="preserve">The customer called to establish new XFINITY service but was frustrated by the technician's appointment being scheduled for , after they move in on . The agent advised the customer to visit the nearest store to pick up the necessary equipment for activation instead of waiting for a technician. The customer expressed confusion about the process and the need for a technician.</t>
  </si>
  <si>
    <t xml:space="preserve">2194676936</t>
  </si>
  <si>
    <t xml:space="preserve">bp-mammar838</t>
  </si>
  <si>
    <t xml:space="preserve">2196550037</t>
  </si>
  <si>
    <t xml:space="preserve">Customer contacted regarding persistent network/connectivity issues and stated the problem had been ongoing for several months. Customer expressed significant dissatisfaction with the quality of service and advised that she may change providers if the issue continues. Agent attempted multiple account verification methods; however, the account was under the customer's husband and the customer was unable to complete verification through the account holder, payment card, or registered email. As a result, the agent was unable to proceed with account-level troubleshooting. Primary detractor driver was the customer's ongoing dissatisfaction with the network/service rather than an agent-created issue.</t>
  </si>
  <si>
    <t xml:space="preserve">2196122081</t>
  </si>
  <si>
    <t xml:space="preserve">HSD Repair - Controllable — not because the agent controlled the available pricing, but because empathy, expectation-setting, and clarity around promotional eligibility could have been stronger.</t>
  </si>
  <si>
    <t xml:space="preserve">2196030751</t>
  </si>
  <si>
    <t xml:space="preserve">The customer contacted because Comcast work in the area caused a service interruption and she was frustrated that she did not believe she had been notified. Once Mohammed accessed the account, he identified an outage notification and provided an estimated restoration time of approximately 4:40 PM. The outage itself was outside the agent's control.</t>
  </si>
  <si>
    <t xml:space="preserve"> the xfinity app is absolutely terrible for trying to manage anything on that modem advanced wise. the ai bot is worthless for anything other than resetting a password.</t>
  </si>
  <si>
    <t xml:space="preserve">Customer comment: i pay too much for xfinity service per month and i\u2019m tired of having constant problems with your service. i am seriously considering dropping all your services despite being a 25+ year customer. your services have gotten extremely worse. i would not recommend to anyone. i\u2019m going to go streaming and switch cellular providers as well as internet, as ez fiber has just laid fiber optic in my neighborhood. yall should try connecting customers to a local call center.</t>
  </si>
  <si>
    <t xml:space="preserve">Customer comment :customer service representative did not understand my inquiry would not let me speak with a manager or supervisor and would not transfer me to technical support in the united states. Agent tried to help the customer however the customer didn't allow her </t>
  </si>
  <si>
    <t xml:space="preserve">2193839605</t>
  </si>
  <si>
    <t xml:space="preserve">Customer comment :because i waited on hold and was on the phone for an hour. i told the representative i was talking with to please call me back if the call ended somehow. he assured me he would. he did not. so now i got nothing resolved and have to call again after an hour on the phone.</t>
  </si>
  <si>
    <t xml:space="preserve">2193887847</t>
  </si>
  <si>
    <t xml:space="preserve">Customer had an outage and the agent suggested her to have the line so she can have the internet connection back.</t>
  </si>
  <si>
    <t xml:space="preserve">2196942911</t>
  </si>
  <si>
    <t xml:space="preserve">The customer, , contacted Xfinity regarding an internet outage lasting over , which had previously occurred . He mentioned purchasing a new modem and requested assistance in diagnosing the issue. The agent confirmed a technician appointment for and discussed potential problems with the modem and connections. The customer declined an offer for a mobile plan, stating they only needed their internet to work.</t>
  </si>
  <si>
    <t xml:space="preserve">2194947051</t>
  </si>
  <si>
    <t xml:space="preserve">2193896278</t>
  </si>
  <si>
    <t xml:space="preserve">Agent kept putting the customer on hold and mute for no reason - Agent is coached </t>
  </si>
  <si>
    <t xml:space="preserve">bp-nkhate151</t>
  </si>
  <si>
    <t xml:space="preserve">2194108404</t>
  </si>
  <si>
    <t xml:space="preserve">The customer called because her internet had just gone down and immediately asked whether the issue was on Comcast’s side. Mohammed told her, without validating first, that “unfortunately, it’s just you” and suggested it was probably a signal issue. Later in the same call, the customer received an Xfinity notification confirming that service was unavailable due to an issue with the Comcast network.</t>
  </si>
  <si>
    <t xml:space="preserve">2194133660</t>
  </si>
  <si>
    <t xml:space="preserve">Customer couldn't authenticate </t>
  </si>
  <si>
    <t xml:space="preserve">2194159420</t>
  </si>
  <si>
    <t xml:space="preserve">2194272660</t>
  </si>
  <si>
    <t xml:space="preserve">Customer had messages that says he has past due balance and he wanted them to stop so the agent did make a report regarding the issue.</t>
  </si>
  <si>
    <t xml:space="preserve">2194295617</t>
  </si>
  <si>
    <t xml:space="preserve">Customer said he supposed to have a tech visit however there were none, so the agent did schedule him a tech visit.</t>
  </si>
  <si>
    <t xml:space="preserve">2194692763</t>
  </si>
  <si>
    <t xml:space="preserve">agent assist the cs and been able to fix the issue yet the internet got disconnected again </t>
  </si>
  <si>
    <t xml:space="preserve">bp-kabdel423</t>
  </si>
  <si>
    <t xml:space="preserve">2194362324</t>
  </si>
  <si>
    <t xml:space="preserve">Customer had an outage and The agent scheduled a technician appointment for and assured the customer that they would be compensated for the service outage.</t>
  </si>
  <si>
    <t xml:space="preserve">2194607651</t>
  </si>
  <si>
    <t xml:space="preserve">Customer had an issue with her internet; the call was dropped agent didn't call the customer back. Agent is coached </t>
  </si>
  <si>
    <t xml:space="preserve">2194693578</t>
  </si>
  <si>
    <t xml:space="preserve">Delayed Greeting - Excessive Mutes - NO AER - No deescalation - No Resolution - Call dropped and didn't call back the customer </t>
  </si>
  <si>
    <t xml:space="preserve">2196899118</t>
  </si>
  <si>
    <t xml:space="preserve">Customer was trying to get Netflix as an additional channel so the agent explained to the customer how to download the app cuz it's not channel The customer expressed appreciation for the assistance and confirmed they would try again later.h </t>
  </si>
  <si>
    <t xml:space="preserve">2196930084</t>
  </si>
  <si>
    <t xml:space="preserve">NO AER - Knowledge Gap about Payment Arrangement - Sounded Robotic </t>
  </si>
  <si>
    <t xml:space="preserve">2196635185</t>
  </si>
  <si>
    <t xml:space="preserve">NO Ice breaker - NO AER - NO Recap - Excessive mute - No SSO - </t>
  </si>
  <si>
    <t xml:space="preserve">2194294849</t>
  </si>
  <si>
    <t xml:space="preserve">The customer called regarding a payment they made through Western Union to avoid disconnection of their Internet service. They mentioned a minimum payment of $289, of which they paid $265. The agent checked the account and confirmed that the payment was not yet reflected. The agent advised the customer to contact to track the payment and informed them that the service would be restored once the payment was confirmed.</t>
  </si>
  <si>
    <t xml:space="preserve">2193996770</t>
  </si>
  <si>
    <t xml:space="preserve">Delayed Greeting - Excessive amount of mute - Mic is so close - NO AER - No ITG Compliance -  Call Dropped and failed to call back the customer </t>
  </si>
  <si>
    <t xml:space="preserve">Customer was frustrated because of service outage.</t>
  </si>
  <si>
    <t xml:space="preserve">2194138174</t>
  </si>
  <si>
    <t xml:space="preserve">Spanish Call and was transferred.</t>
  </si>
  <si>
    <t xml:space="preserve">Customer was dissatisfied with the prices, and the agent did his best to assist him. Customer comment :customer service was ok. prices are too high, even with your \"deals\"</t>
  </si>
  <si>
    <t xml:space="preserve">Customer comment: it takes entirely too long to be able to talk to a real person. it was over 40-45 minutes before i was finally talking to a person.</t>
  </si>
  <si>
    <t xml:space="preserve">2194377705</t>
  </si>
  <si>
    <t xml:space="preserve">i meant 8</t>
  </si>
  <si>
    <t xml:space="preserve">2196671042</t>
  </si>
  <si>
    <t xml:space="preserve">Agent kept interrupting the customer and required him with verification steps however the customer has a general simple question. agent is coached </t>
  </si>
  <si>
    <t xml:space="preserve">2196326250</t>
  </si>
  <si>
    <t xml:space="preserve">Call Avoidance - 20 mins of mute </t>
  </si>
  <si>
    <t xml:space="preserve">2193570634</t>
  </si>
  <si>
    <t xml:space="preserve">The customer, , called regarding a landline phone that was not working despite being charged and set up. After a lengthy discussion, the agent discovered that the service had not been activated. The agent offered to send new equipment to resolve the issue. However, the customer expressed frustration over the time spent on the call and decided to call back later.</t>
  </si>
  <si>
    <t xml:space="preserve">2194926007</t>
  </si>
  <si>
    <t xml:space="preserve">Controllable — because Mohammed controlled whether he listened to the customer's repeated refusal, kept the interaction focused on the TV issue, and explained the troubleshooting steps clearly.</t>
  </si>
  <si>
    <t xml:space="preserve">bp-arofae999</t>
  </si>
  <si>
    <t xml:space="preserve">2194861164</t>
  </si>
  <si>
    <t xml:space="preserve">bp-aelshe876</t>
  </si>
  <si>
    <t xml:space="preserve">2197129523</t>
  </si>
  <si>
    <t xml:space="preserve">Amr demonstrated good empathy and reassurance early in the call. The customer clearly felt heard initially, and Amr explained what troubleshooting he was performing. The problem was ownership throughout the full interaction. Once Amr went to work with the back office, the customer was left without communication. Regardless of whether Amr was muted, researching, or experiencing another issue, the customer experienced several minutes of silence and ultimately believed he had been abandoned. So the controllability is not because Amr lacked empathy throughout the entire call. It is because he failed to maintain ownership, communication, and reassurance until the interaction was completed.</t>
  </si>
  <si>
    <t xml:space="preserve">bp-mmoham306</t>
  </si>
  <si>
    <t xml:space="preserve">2196852752</t>
  </si>
  <si>
    <t xml:space="preserve">Online Store </t>
  </si>
  <si>
    <t xml:space="preserve">2196866536</t>
  </si>
  <si>
    <t xml:space="preserve">Customer wanted a tech visit ASAP however there was no availability </t>
  </si>
  <si>
    <t xml:space="preserve">2196867779</t>
  </si>
  <si>
    <t xml:space="preserve">Customer had an issue with Paramount Plus subscription that it's not working so the agent advised the customer to reach their customer service for assistance . Customer comment poor assistance with my paramount+ subscription. spent more than 1 hours on phone with you and problem not resolved. referred me to paramount. another hour on phone. turns out subscription expired! re-subscribed. problem solved. but not before you had me reset all locally stored data which fixed nothing. had to log on anew to all my streaming platforms.</t>
  </si>
  <si>
    <t xml:space="preserve">2196852560</t>
  </si>
  <si>
    <t xml:space="preserve">Delayed &amp; Hold Greeting - No AER - No Sanas -Call Avoidance - 14  mins of mute - Weak Closure</t>
  </si>
  <si>
    <t xml:space="preserve">2193986969</t>
  </si>
  <si>
    <t xml:space="preserve">language barrier and itg run wrong , very bad assurance skills </t>
  </si>
  <si>
    <t xml:space="preserve">2193747605</t>
  </si>
  <si>
    <t xml:space="preserve">Most of the call was on mute, lack of active engagement</t>
  </si>
  <si>
    <t xml:space="preserve">2194134516</t>
  </si>
  <si>
    <t xml:space="preserve">The customer called to change their Wi-Fi password but faced communication issues with the agent. The agent attempted to assist but struggled to understand the customer's requests, leading to frustration on both sides. The call ended without a resolution.</t>
  </si>
  <si>
    <t xml:space="preserve">overpitching</t>
  </si>
  <si>
    <t xml:space="preserve">2196890191</t>
  </si>
  <si>
    <t xml:space="preserve">The customer called Xfinity for assistance in setting up a new television with the XFINITY remote after experiencing disconnections with previous agents. The agent provided guidance on connecting the cable box to the TV and pairing the remote, but the customer faced challenges with the TV input and remote functionality.</t>
  </si>
  <si>
    <t xml:space="preserve">p-aelshe876</t>
  </si>
  <si>
    <t xml:space="preserve">during the interaction, the customer explicitly contrasted Amr with the previous experience and told him: “Sonya screwed me over here… you’re doing everything perfect. I give you an 8 now.</t>
  </si>
  <si>
    <t xml:space="preserve">2193437602</t>
  </si>
  <si>
    <t xml:space="preserve">agent did not build rapport with the customer kept refreshing hold most of the call</t>
  </si>
  <si>
    <t xml:space="preserve">2195342301</t>
  </si>
  <si>
    <t xml:space="preserve">Amr first helped the customer regain access to the account by walking him through the password-reset and verification process. The customer was clearly struggling with the technology, but Amr stayed with him through the process. During that portion, the customer explicitly told Amr: “You’re nice man. You’re very patient.</t>
  </si>
  <si>
    <t xml:space="preserve">2193802597</t>
  </si>
  <si>
    <t xml:space="preserve">Did not check notes on the account and misinformed customer about the tech bill</t>
  </si>
  <si>
    <t xml:space="preserve">2194689303</t>
  </si>
  <si>
    <t xml:space="preserve">The customer's reaction was positive—she responded, “Oh wonderful. Why didn't somebody do that a long time ago.” That statement reinforces that her frustration was with what had happened before reaching Amr, not with his handling.</t>
  </si>
  <si>
    <t xml:space="preserve">bp-mtadro821</t>
  </si>
  <si>
    <t xml:space="preserve">2194889759</t>
  </si>
  <si>
    <t xml:space="preserve">the customer called to protect her service while delaying payment until October 10, but the conversation became centered on changing her plan and additional offers before that core concern was clearly and safely resolved.</t>
  </si>
  <si>
    <t xml:space="preserve">Did not check notes and misinformed customer about tech fee</t>
  </si>
  <si>
    <t xml:space="preserve">2194416588</t>
  </si>
  <si>
    <t xml:space="preserve">The customer called regarding a cable service issue, stating that both their cable boxes were not displaying any picture and were showing an error message. The agent attempted to troubleshoot the problem but the customer expressed frustration over the ongoing issue and decided to call back instead of waiting for a resolution.</t>
  </si>
  <si>
    <t xml:space="preserve">bp-jsolim238</t>
  </si>
  <si>
    <t xml:space="preserve">2194816382</t>
  </si>
  <si>
    <t xml:space="preserve">he customer came in dissatisfied because of the unresolved refund, while Jana's opportunity was to make the current interaction feel more structured, more transparent, and less like the same vague reassurance he had already received from previous agents.</t>
  </si>
  <si>
    <t xml:space="preserve">2195398449</t>
  </si>
  <si>
    <t xml:space="preserve">the way he pitched on the cs while she mentioned he pays more , The customer contacted Xfinity to cancel their Hulu and Acorn subscriptions. After verifying the account, the agent canceled both subscriptions and applied a $10 discount, reducing the estimated bill to $319.33. The customer expressed appreciation for the assistance and discussed potential future savings with Xfinity mobile services.</t>
  </si>
  <si>
    <t xml:space="preserve">bp-yawade572</t>
  </si>
  <si>
    <t xml:space="preserve">2196196507</t>
  </si>
  <si>
    <t xml:space="preserve">The customer contacted Xfinity because he could not access Wi-Fi. Youssef checked the account and identified the actual reason quickly: the account had been soft disconnected because of a $192.32 past-due balance. He then clearly explained that the Wi-Fi could not be restored until the payment was made. The customer understood the explanation and essentially accepted the situation: “Okay got it… what I’ll do that then I’ll call you.”  There is no strong indication that the customer became frustrated specifically because of Youssef.</t>
  </si>
  <si>
    <t xml:space="preserve">2195266726</t>
  </si>
  <si>
    <t xml:space="preserve">The customer called Xfinity regarding an error message on their bedroom TV after a power outage. The agent initially suggested a technician visit but later confirmed that the equipment had been removed from the billing system. The agent added the necessary charges to restore service. The customer expressed frustration over the situation but ultimately agreed to the solution.</t>
  </si>
  <si>
    <t xml:space="preserve">2193436912</t>
  </si>
  <si>
    <t xml:space="preserve">The customer called Xfinity to change the account name from their deceased mother to their name. The agent explained that the name change must be handled by a specific department and provided the customer with the contact number for that department. The customer expressed their frustration regarding the situation, and the agent offered condolences.</t>
  </si>
  <si>
    <t xml:space="preserve">2193361137</t>
  </si>
  <si>
    <t xml:space="preserve">5 min. mute !! , The customer contacted Xfinity regarding notifications about blocked security threats on their devices. The agent clarified that the customer's home network is protected and that the alerts indicate that suspicious sites were blocked automatically. The agent provided guidance on how to check the security settings through the Xfinity app. No further action was required from the customer.</t>
  </si>
  <si>
    <t xml:space="preserve">bp-mismai363</t>
  </si>
  <si>
    <t xml:space="preserve">2194053006</t>
  </si>
  <si>
    <t xml:space="preserve">The customer contacted Xfinity regarding a no signal issue with their cable TV after maintenance was performed. The agent ran diagnostics and created a ticket for the issue. They informed the customer that they would receive a text message in to confirm if the service was restored. If not, a technician could be scheduled. The customer opted for a technician visit instead of waiting.</t>
  </si>
  <si>
    <t xml:space="preserve">bp-emoham608</t>
  </si>
  <si>
    <t xml:space="preserve">2194293579</t>
  </si>
  <si>
    <t xml:space="preserve">2193361573</t>
  </si>
  <si>
    <t xml:space="preserve">call avoidance , most of the call was mute </t>
  </si>
  <si>
    <t xml:space="preserve">2193996823</t>
  </si>
  <si>
    <t xml:space="preserve">Proceeded with  a tech without troubleshooting properly</t>
  </si>
  <si>
    <t xml:space="preserve">2195770811</t>
  </si>
  <si>
    <t xml:space="preserve">he made the correct decision to route the customer, but with a repeat-contact customer this frustrated, the experience needs stronger empathy upfront and a much clearer explanation of exactly what is happening before another transfer.</t>
  </si>
  <si>
    <t xml:space="preserve">bp-nabdul032</t>
  </si>
  <si>
    <t xml:space="preserve">2194160372</t>
  </si>
  <si>
    <t xml:space="preserve">2194239302</t>
  </si>
  <si>
    <t xml:space="preserve">The customer, , called to confirm a technician appointment for issues with their TV box. The agent confirmed the appointment for the following . The agent also mentioned a promotion for a free mobile line for , but the customer declined the offer. The call ended with the customer expressing appreciation for the assistance.</t>
  </si>
  <si>
    <t xml:space="preserve">2195832264</t>
  </si>
  <si>
    <t xml:space="preserve">The customer called regarding issues with sending messages, which had been failing. After multiple troubleshooting steps, including checking settings and verifying the device, the agent confirmed that the messaging issue was resolved. The customer expressed frustration over the repeated processes but ultimately was able to send and receive messages successfully.</t>
  </si>
  <si>
    <t xml:space="preserve">2194253548</t>
  </si>
  <si>
    <t xml:space="preserve">did not offer sso so customer can check appt from the app</t>
  </si>
  <si>
    <t xml:space="preserve">The customer called Xfinity to update their phone number for online access after experiencing a security issue. The agent attempted to assist but determined that the customer needed to be transferred to the security department. The agent provided the customer with the direct contact number for that department.</t>
  </si>
  <si>
    <t xml:space="preserve">2195316971</t>
  </si>
  <si>
    <t xml:space="preserve">promised to call back but couldn't reach the cs after , The customer, , called to finalize a mobile phone purchase and change their phone number. After verifying their identity, the agent confirmed the customer's existing phone number and explained the options for changing it. The customer decided to keep their current number and finalize the purchase of a new phone. The agent provided details about the costs associated with the phone and insurance. The call ended with the customer satisfied with the resolution.</t>
  </si>
  <si>
    <t xml:space="preserve">2194495910</t>
  </si>
  <si>
    <t xml:space="preserve">Mute for most of the call</t>
  </si>
  <si>
    <t xml:space="preserve">2196888374</t>
  </si>
  <si>
    <t xml:space="preserve">The customer called about their computer showing offline and DNS errors. The agent checked the modem and confirmed there were no internet issues. They suggested the customer try different browsers and ultimately recommended contacting the computer manufacturer for further assistance. excessive mute</t>
  </si>
  <si>
    <t xml:space="preserve">2193422837</t>
  </si>
  <si>
    <t xml:space="preserve">no itg used neither any solution The customer called about their computer showing offline and DNS errors. The agent checked the modem and confirmed there were no internet issues. They suggested the customer try different browsers and ultimately recommended contacting the computer manufacturer for further assistance.</t>
  </si>
  <si>
    <t xml:space="preserve">2195225926</t>
  </si>
  <si>
    <t xml:space="preserve">2192928084</t>
  </si>
  <si>
    <t xml:space="preserve">The customer called Xfinity because their phone and Internet were not working after switching services. The agent assisted by verifying the customer's information and guiding them through the process of resetting their network settings and checking for software updates on their iPhone. The customer expressed gratitude for the help provided.</t>
  </si>
  <si>
    <t xml:space="preserve">2194437705</t>
  </si>
  <si>
    <t xml:space="preserve">did not verify if the customer booked the appointment!!!!!!</t>
  </si>
  <si>
    <t xml:space="preserve">2194696842</t>
  </si>
  <si>
    <t xml:space="preserve">The customer called Xfinity to set up an Apple Watch they received. After verifying the service address and account details, the agent provided for activating the watch's eSIM. The customer experienced issues with the setup, and the agent explained that activation could take . The customer expressed appreciation for the assistance provided.</t>
  </si>
  <si>
    <t xml:space="preserve">2192880190</t>
  </si>
  <si>
    <t xml:space="preserve">The customer called Xfinity reporting issues with Internet connectivity on their TV and cell phone. The agent troubleshot the problem by guiding the customer to unplug and reset their modem. After following the steps, the customer confirmed that their devices were working again, including their ring camera. The agent provided reassurance and assistance throughout the call.</t>
  </si>
  <si>
    <t xml:space="preserve">2197508518</t>
  </si>
  <si>
    <t xml:space="preserve">fake promises of sending extender box which is not on the acc by all means </t>
  </si>
  <si>
    <t xml:space="preserve">2196868127</t>
  </si>
  <si>
    <t xml:space="preserve">The customer contacted Xfinity due to a complete service interruption (Outage) affecting both internet and television.</t>
  </si>
  <si>
    <t xml:space="preserve">2196885291</t>
  </si>
  <si>
    <t xml:space="preserve">Internet outage, agent did advise the customer that how to know an upcoming outage </t>
  </si>
  <si>
    <t xml:space="preserve">2197037180</t>
  </si>
  <si>
    <t xml:space="preserve">The customer expressed dissatisfaction with the service and the lack of local support.</t>
  </si>
  <si>
    <t xml:space="preserve">2196886961</t>
  </si>
  <si>
    <t xml:space="preserve">The customer expressed frustration with previous interactions but felt satisfied with the information received during this call.</t>
  </si>
  <si>
    <t xml:space="preserve">2196900152</t>
  </si>
  <si>
    <t xml:space="preserve">agent has major struggles in the bill breakdown explanation // language selection // delivery and clarity </t>
  </si>
  <si>
    <t xml:space="preserve">2196865620</t>
  </si>
  <si>
    <t xml:space="preserve">skipped LOQs , extender was not the right solution // hold and mute // pacing was very fast // intonation wasnt clear </t>
  </si>
  <si>
    <t xml:space="preserve">2196799935</t>
  </si>
  <si>
    <t xml:space="preserve">hold and mute // no smart interruption </t>
  </si>
  <si>
    <t xml:space="preserve">2196775443</t>
  </si>
  <si>
    <t xml:space="preserve">issue with the avaya , cx wasn't able to hear us </t>
  </si>
  <si>
    <t xml:space="preserve">bp-akatar815</t>
  </si>
  <si>
    <t xml:space="preserve">2196538978</t>
  </si>
  <si>
    <t xml:space="preserve">2196552124</t>
  </si>
  <si>
    <t xml:space="preserve">closed ECM ticket as the acc does have pending installation order , nothing could be done , yet the agebt failed to set proper expectations </t>
  </si>
  <si>
    <t xml:space="preserve">skipped LOQs </t>
  </si>
  <si>
    <t xml:space="preserve">failed to walk the cx through how to reset password for the authentication purposes </t>
  </si>
  <si>
    <t xml:space="preserve"> the modem and created a new network name and password. The customer expressed ongoing concerns about service reliability and compatibility with their devices.</t>
  </si>
  <si>
    <t xml:space="preserve">2195751688</t>
  </si>
  <si>
    <t xml:space="preserve">wrong rating The customer called to inquire about a phone call they received regarding their service appointment. The agent confirmed that there was no issue with the customer's account or service and that the scheduled technician appointment for October 2nd remained unchanged. The customer expressed satisfaction with the information provided. </t>
  </si>
  <si>
    <t xml:space="preserve">2194469247</t>
  </si>
  <si>
    <t xml:space="preserve">The customer contacted Xfinity regarding a service interruption and confusion about their account status. They mentioned a previous conversation with a representative who indicated that they would receive free service due to their loyalty. The agent attempted to verify the account details but faced difficulties accessing the account information. The customer expressed frustration over the lack of clarity and resolution.</t>
  </si>
  <si>
    <t xml:space="preserve">2196965893</t>
  </si>
  <si>
    <t xml:space="preserve">The customer called for assistance with accessing their NFL ticket purchased for $240, which was not working on the YouTube app. The agent provided some guidance but was unable to resolve the issue and decided to transfer the customer to tier 2 support for further assistance.</t>
  </si>
  <si>
    <t xml:space="preserve">2197508520</t>
  </si>
  <si>
    <t xml:space="preserve">Customer had an issue with their internet, the call was dropped however the agent didn't call back </t>
  </si>
  <si>
    <t xml:space="preserve">2195755133</t>
  </si>
  <si>
    <t xml:space="preserve">30005052011790804960</t>
  </si>
  <si>
    <t xml:space="preserve">2195694957</t>
  </si>
  <si>
    <t xml:space="preserve">delivery and clarity // mute and hold // bill explanation opportunity </t>
  </si>
  <si>
    <t xml:space="preserve">2195571589</t>
  </si>
  <si>
    <t xml:space="preserve">no smart inturruptions // active listening , lack of notes checking </t>
  </si>
  <si>
    <t xml:space="preserve">skipping LOQs and jump into tech scheduling </t>
  </si>
  <si>
    <t xml:space="preserve">multiple outages </t>
  </si>
  <si>
    <t xml:space="preserve">2194977805</t>
  </si>
  <si>
    <t xml:space="preserve">wrong department </t>
  </si>
  <si>
    <t xml:space="preserve">2194692212</t>
  </si>
  <si>
    <t xml:space="preserve">hold and mute //invalid tech appointment </t>
  </si>
  <si>
    <t xml:space="preserve">aladdin</t>
  </si>
  <si>
    <t xml:space="preserve">2194638345</t>
  </si>
  <si>
    <t xml:space="preserve">setting expectations // SSO </t>
  </si>
  <si>
    <t xml:space="preserve">2194466750</t>
  </si>
  <si>
    <t xml:space="preserve">skipped loqs </t>
  </si>
  <si>
    <t xml:space="preserve">2194432629</t>
  </si>
  <si>
    <t xml:space="preserve">very fast based /// hold and mute // bored tonality </t>
  </si>
  <si>
    <t xml:space="preserve">2194399842</t>
  </si>
  <si>
    <t xml:space="preserve">lack of active listening // AER statment </t>
  </si>
  <si>
    <t xml:space="preserve">2194400525</t>
  </si>
  <si>
    <t xml:space="preserve">active listening // no probing qs , investigations </t>
  </si>
  <si>
    <t xml:space="preserve">i doubt my input will be considered. that was the cx verbatim // hesitance through out the ca;ll </t>
  </si>
  <si>
    <t xml:space="preserve">2193885158</t>
  </si>
  <si>
    <t xml:space="preserve">hesitance // hold and mute </t>
  </si>
  <si>
    <t xml:space="preserve">2193360557</t>
  </si>
  <si>
    <t xml:space="preserve">lack of ownership // issue with inturruptions </t>
  </si>
  <si>
    <t xml:space="preserve">2193076227</t>
  </si>
  <si>
    <t xml:space="preserve"> The customer contacted Xfinity regarding issues with their new cable box, which was not functioning properly after being replaced. After troubleshooting steps were attempted, the agent determined that a technician visit was necessary to resolve the ongoing issues. The customer expressed frustration over the situation and requested compensation for the service disruption.</t>
  </si>
  <si>
    <t xml:space="preserve">remote control issue </t>
  </si>
  <si>
    <t xml:space="preserve">2194536119</t>
  </si>
  <si>
    <t xml:space="preserve">The customer called regarding issues with their Wi-Fi setup, which was preventing a camera from connecting. The agent explained the presence of two Wi-Fi networks and recommended contacting the camera manufacturer for assistance. The agent then scheduled a technician visit to address the setup issue, informing the customer they would receive a confirmation message regarding the appointment.</t>
  </si>
  <si>
    <t xml:space="preserve">2194813093</t>
  </si>
  <si>
    <t xml:space="preserve">Did not deescalate the call</t>
  </si>
  <si>
    <t xml:space="preserve">2194915597</t>
  </si>
  <si>
    <t xml:space="preserve">did not run itg email issues</t>
  </si>
  <si>
    <t xml:space="preserve">2194954969</t>
  </si>
  <si>
    <t xml:space="preserve">no rapport</t>
  </si>
  <si>
    <t xml:space="preserve">2197492269</t>
  </si>
  <si>
    <t xml:space="preserve"> The customer called regarding an issue with accessing TCM after signing up for it in-store. The agent confirmed that the TCM service was not added to the customer's account despite being promised. The customer expressed frustration and decided to visit the store for further assistance. The agent noted the situation for the store's reference.</t>
  </si>
  <si>
    <t xml:space="preserve">2197030742</t>
  </si>
  <si>
    <t xml:space="preserve"> The customer contacted Xfinity regarding a locked phone, the Moto G stylus, and requested the PIN to unlock it. The agent discovered that the customer had a past due amount of $762.26, which was preventing the unlock. The agent provided options to either pay the past due amount or consider trading in the phone with another carrier. The customer expressed frustration with the situation and indicated dissatisfaction with Xfinity's service.</t>
  </si>
  <si>
    <t xml:space="preserve">2197036645</t>
  </si>
  <si>
    <t xml:space="preserve">the person on the phone worked hard to help, but he had to ask 3 people until he managed to get us signed up for the peacock we are entitled to as diamond level members. no way i could have done that at the website, it did not list peacock as a benefit to be activated although we are entitled according to your website. very frustrating.</t>
  </si>
  <si>
    <t xml:space="preserve">2196600647</t>
  </si>
  <si>
    <t xml:space="preserve">Agent wasn't able to guide the customer through the app to reset the password. Agent is coached </t>
  </si>
  <si>
    <t xml:space="preserve">2196633603</t>
  </si>
  <si>
    <t xml:space="preserve">Didn't Probe &amp; discover - No AER - Didn't Utilize ITG - Poor Closure</t>
  </si>
  <si>
    <t xml:space="preserve">2196778554</t>
  </si>
  <si>
    <t xml:space="preserve">Sounded Robotic due to Sanas Software &amp;  Low TOV and the spealomg pattern- Didn't make the verification process effortless - no ITG Compliance " Recommended Response" - CX got bored and hanged up and agent failed to call back the customer </t>
  </si>
  <si>
    <t xml:space="preserve">bp-akahal350</t>
  </si>
  <si>
    <t xml:space="preserve">Customer can not get more moves to watch the limit was 70 per month and she wanted more she thanked the agent but she was upset with Xfinity </t>
  </si>
  <si>
    <t xml:space="preserve">Excessive Hold/Mute, Customer Education – Setting Expectations, Communication / Rapport</t>
  </si>
  <si>
    <t xml:space="preserve">2194692323</t>
  </si>
  <si>
    <t xml:space="preserve">Excessive amount of mute  9 minutes killed all the effort made at the greeting section - call dropped and agent failed to call back incomplete resolution </t>
  </si>
  <si>
    <t xml:space="preserve">2197494370</t>
  </si>
  <si>
    <t xml:space="preserve">Low TOV - No ITG Compliance - Proactively offering a tech appointment without probing and utilizing the ITG to the fullest and going the probing and discovering journey before leaning into sending a tech to home - leaned into sales without resolution first and didn't manage to bundle the loyality discount and the mobile like as 1 offer and provide the benefit of both but the cx can choose if they only want both or not but the pitch should have included both </t>
  </si>
  <si>
    <t xml:space="preserve">2195261281</t>
  </si>
  <si>
    <t xml:space="preserve">Excessive amount of mute  most of the call 13 mins  - No AER - No setting proper expectations about the billing concern </t>
  </si>
  <si>
    <t xml:space="preserve">2195578652</t>
  </si>
  <si>
    <t xml:space="preserve">did not provide a clear resolution for the call</t>
  </si>
  <si>
    <t xml:space="preserve">2195097754</t>
  </si>
  <si>
    <t xml:space="preserve">The customer contacted Xfinity regarding a suspicious phone call they received from an unknown number claiming to be Xfinity. The agent confirmed that the call was legitimate and provided information about a promotional mobile service offer. The customer expressed appreciation for the clarification and requested not to receive unsolicited promotional calls in the future.</t>
  </si>
  <si>
    <t xml:space="preserve">2197144562</t>
  </si>
  <si>
    <t xml:space="preserve">Not making it effortless for the customer - No ITG  LOQs -  proactively offered to send a tech without fully troubleshoot and utilizing the ITG - Lack of active listening to what the customer's needs from the beginning and the whole replacing of the boxes -excessive amount of mute - Call dropped and failed to call back the customer </t>
  </si>
  <si>
    <t xml:space="preserve">The customer contacted Xfinity regarding a suspicious phone call they received from an unknown number claiming to be Xfinity. The agent confirmed that the call was legitimate and provided information about a promotional mobile service offer. The customer expressed appreciation for the clarification and requested not to receive unsolicited promotional calls in the future. however they still called back for the same issue</t>
  </si>
  <si>
    <t xml:space="preserve">2196032446</t>
  </si>
  <si>
    <t xml:space="preserve">I'm not happy with the prices, but the guy who help us from Cairo Egypt was awesome. very helpful and very friendly.</t>
  </si>
  <si>
    <t xml:space="preserve">2195603652</t>
  </si>
  <si>
    <t xml:space="preserve">The customer called to activate a new iPhone but encountered a 'no service' message. The agent confirmed the customer's intent to transfer their mobile line from a Samsung Galaxy to the iPhone. The agent initiated the transfer process and requested the customer to approve access via a link. The agent will follow up with the customer after checking the account.</t>
  </si>
  <si>
    <t xml:space="preserve">2195337019</t>
  </si>
  <si>
    <t xml:space="preserve"> The customer called Xfinity to obtain a return label for a device that was removed from their account. After confirming the customer's details, the agent explained that the customer could return the device at no cost through UPS, even without a label. The customer expressed frustration over the process and indicated dissatisfaction with the service, threatening to drop their account due to the complications faced.</t>
  </si>
  <si>
    <t xml:space="preserve">2194627866</t>
  </si>
  <si>
    <t xml:space="preserve">The customer called Xfinity after spending significant time trying to access their Peacock account, which was showing as unavailable. The agent discovered that the account was not activated, despite the customer having a free subscription for . The agent provided the customer with the Peacock support number for further assistance, as they could not resolve the issue from their end.</t>
  </si>
  <si>
    <t xml:space="preserve">2194414432</t>
  </si>
  <si>
    <t xml:space="preserve">Agent kept putting the customer on mute multiple times. agent is coached </t>
  </si>
  <si>
    <t xml:space="preserve">2193217143</t>
  </si>
  <si>
    <t xml:space="preserve">Delayed Greeting - not showing appreciation - excessive amount of mutes -</t>
  </si>
  <si>
    <t xml:space="preserve">2194951301</t>
  </si>
  <si>
    <t xml:space="preserve">The customer contacted Xfinity regarding an outage affecting their internet and TV services. After confirming the outage, the agent offered a backup mobile service for free for . The customer expressed dissatisfaction with the service and mentioned previous issues. A technician appointment was scheduled for to address the TV problem. The agent also provided a $10 loyalty discount on the account.</t>
  </si>
  <si>
    <t xml:space="preserve">2195880387</t>
  </si>
  <si>
    <t xml:space="preserve">language barrier , The customer contacted Xfinity to activate their phone number, which was previously with T-Mobile. They experienced with the activation process and communication with the agent. The agent requested the customer's T-Mobile account number and transfer PIN to complete the porting process. The customer expressed frustration with the process and indicated they would need to call T-Mobile for the required information. The agent promised to call back in to follow up.</t>
  </si>
  <si>
    <t xml:space="preserve">2195063919</t>
  </si>
  <si>
    <t xml:space="preserve">The customer contacted Xfinity regarding intermittent phone and internet service since . The agent identified the issue, sent a new modem and extender for free, and provided a loyalty discount to lower the bill. A technician visit was scheduled to address ongoing service issues. The customer expressed dissatisfaction with the temporary nature of the discount and the service issues experienced.</t>
  </si>
  <si>
    <t xml:space="preserve">2197221803</t>
  </si>
  <si>
    <t xml:space="preserve">Excessive amount of mutes - Information delivery isn't professional and isn't on point - Didn't set proper expectations  &amp; wasn't fully ready with the promotion offered - Invalid Transfer &amp; Call avoidance after mis informing the customer.</t>
  </si>
  <si>
    <t xml:space="preserve">2197295862</t>
  </si>
  <si>
    <t xml:space="preserve">The customer wanted reliable internet without another significant price increase. Ahmed concentrated on presenting equipment and package solutions while the customer continued expressing concerns about affordability and whether the changes would actually work. One important distinction: the existing internet problems and price increases were Comcast-driven, but Ahmed's communication, diagnosis, and promises were controllable</t>
  </si>
  <si>
    <t xml:space="preserve">2196854076</t>
  </si>
  <si>
    <t xml:space="preserve">The customer expressed frustration over the lengthy process and lack of resolution.</t>
  </si>
  <si>
    <t xml:space="preserve">2195726387</t>
  </si>
  <si>
    <t xml:space="preserve">The customer called Xfinity to resolve an issue connecting their iPad to Wi-Fi, which was not appearing and indicated no Internet connection. The agent attempted to verify the account but encountered difficulties with the verification process, including outdated contact information. The call ended without a resolution.</t>
  </si>
  <si>
    <t xml:space="preserve">Discovery / Identifying Customer Needs / Offering Relevant Solutions</t>
  </si>
  <si>
    <t xml:space="preserve">2195162416</t>
  </si>
  <si>
    <t xml:space="preserve">Technician Scheduling </t>
  </si>
  <si>
    <t xml:space="preserve">2196091126</t>
  </si>
  <si>
    <t xml:space="preserve">vague resolution</t>
  </si>
  <si>
    <t xml:space="preserve">2195905493</t>
  </si>
  <si>
    <t xml:space="preserve">Excessive amount of mute for a drop issue concern - considered as call avoidance - misinformation about that the tech will be calling - Didn't manage to resolve and send a drop issue tech - Stayed on mute camping in the call since the customer didn't release the call </t>
  </si>
  <si>
    <t xml:space="preserve">missed asking key clarifying questions about the customer's strong resistance to a technician and the specific reasons for their belief that the issue was with the company's network. Exploring these points earlier could have uncovered the root cause faster or helped address the customer's concerns more effectively.</t>
  </si>
  <si>
    <t xml:space="preserve">While this teammate suggested a modem exchange, they did not clearly outline the next steps for the customer or confirm their understanding. The customer took charge of the resolution path at the end of the call, indicating a missed opportunity for this teammate to provide a clear, agent-led plan.</t>
  </si>
  <si>
    <t xml:space="preserve">2196332258</t>
  </si>
  <si>
    <t xml:space="preserve">call lacked rapport, customer was frustrated and attempts to deescalate were not attempted</t>
  </si>
  <si>
    <t xml:space="preserve">2194755719</t>
  </si>
  <si>
    <t xml:space="preserve">No ITG Utilization &amp; ITG Compliance - Provided a GSR internet upgrade as a Solution but didn't probe or discover for the real cause behind the concer and to give a real resolution - Incomplete resoultion &amp; customer hanged up and agent failed to follow up and call back </t>
  </si>
  <si>
    <t xml:space="preserve">2196690925</t>
  </si>
  <si>
    <t xml:space="preserve">Didn't break the Ice at the begenning of the call - Didn't show any kind of AER - Not making it effortless and teaming up with the customer agent is jist leading the customer to search it on their own</t>
  </si>
  <si>
    <t xml:space="preserve">2195084146</t>
  </si>
  <si>
    <t xml:space="preserve">Delayed Greeting - Excessive mute - No ITG LOQs - Zero Probing and discovery questions and sent a tech before going through the proper troubleshooting &amp; True probing and discovery process </t>
  </si>
  <si>
    <t xml:space="preserve">2196367026</t>
  </si>
  <si>
    <t xml:space="preserve">Return label comcast policy is so hard for customer to generate from their end </t>
  </si>
  <si>
    <t xml:space="preserve">2196575727</t>
  </si>
  <si>
    <t xml:space="preserve">The caller contacted Sprint seeking assistance with a business account but was informed that they needed to be transferred to Comcast business. The agent agreed to transfer the caller after confirming their request.</t>
  </si>
  <si>
    <t xml:space="preserve">2193293265</t>
  </si>
  <si>
    <t xml:space="preserve">Didn't probe or discover or utilize any kind of ITG, Just tried to upsell as a solution to the intermittent speed and was pushy and focused on sales</t>
  </si>
  <si>
    <t xml:space="preserve">2196426459</t>
  </si>
  <si>
    <t xml:space="preserve">Did not show empathy towards customer outrage with xfinity</t>
  </si>
  <si>
    <t xml:space="preserve">2196797130</t>
  </si>
  <si>
    <t xml:space="preserve">No AER - Excessive mutes - no itg compliance - didn't get  a call back number proactively - agent managed to get 2 tech appointments at the same time  ??</t>
  </si>
  <si>
    <t xml:space="preserve">The customer expressed dissatisfaction with the temporary nature of the discount and the service issues experienced.</t>
  </si>
  <si>
    <t xml:space="preserve">2196892733</t>
  </si>
  <si>
    <t xml:space="preserve">Abdelrahman could have asked more questions about the customer's previous experiences with similar issues or current maintenance in their area. This would have helped pinpoint the root cause more quickly, possibly preventing the need for a deferred resolution</t>
  </si>
  <si>
    <t xml:space="preserve">2197085843</t>
  </si>
  <si>
    <t xml:space="preserve">customer expressed appreciation for the agent's help and understanding throughout the call.</t>
  </si>
  <si>
    <t xml:space="preserve">2197089524</t>
  </si>
  <si>
    <t xml:space="preserve">The customer expressed dissatisfaction with the service and the inability to receive proper documentation.</t>
  </si>
  <si>
    <t xml:space="preserve">2197134056</t>
  </si>
  <si>
    <t xml:space="preserve">did not humanize the interaction he did not build rapport throughout the call</t>
  </si>
  <si>
    <t xml:space="preserve">2194535360</t>
  </si>
  <si>
    <t xml:space="preserve">No breaking Ice - no AER - NO EMPATHETIC TOV - NO ITG LOQs - Excessive mutes and hold - Selfheal</t>
  </si>
  <si>
    <t xml:space="preserve">Tech appointment was too far and customer demanded service restart now.</t>
  </si>
  <si>
    <t xml:space="preserve">2197128126</t>
  </si>
  <si>
    <t xml:space="preserve">Call was transferred to another agent and myperformance shows another agent's name on the call </t>
  </si>
  <si>
    <t xml:space="preserve">2193469666</t>
  </si>
  <si>
    <t xml:space="preserve">Excessive amount of mute - no AER - No ITG LOQs - no resolution &amp; sent a tech</t>
  </si>
  <si>
    <t xml:space="preserve">2197221332</t>
  </si>
  <si>
    <t xml:space="preserve">customer did not like that tech was not available same day</t>
  </si>
  <si>
    <t xml:space="preserve">2196594238</t>
  </si>
  <si>
    <t xml:space="preserve">Delayed greeting -No recap of the concern - no AER - offered a tech in the first minute - Excessive amount of mute - no probing no ITG utilization or Compliance -Call Avoidance </t>
  </si>
  <si>
    <t xml:space="preserve">2197220483</t>
  </si>
  <si>
    <t xml:space="preserve">bill got increased and there were no available promotions</t>
  </si>
  <si>
    <t xml:space="preserve">2193318819</t>
  </si>
  <si>
    <t xml:space="preserve">Disconnect/Loyalty Transfer</t>
  </si>
  <si>
    <t xml:space="preserve">2196228870</t>
  </si>
  <si>
    <t xml:space="preserve">no AER - Xfinity Public Hotspot knowledge gap - mis informed the customer at first and then made it right but lost the customer's trust and ownership on the call </t>
  </si>
  <si>
    <t xml:space="preserve">2194360841</t>
  </si>
  <si>
    <t xml:space="preserve">Didn't break the ice - Excessive amount of Mute - Was upgrading and tried to make it verbal but the call dropped and failed to call back the customer there was no resolution provided</t>
  </si>
  <si>
    <t xml:space="preserve">2197335876</t>
  </si>
  <si>
    <t xml:space="preserve">Customer was dissatisfied with the service</t>
  </si>
  <si>
    <t xml:space="preserve">2197487763</t>
  </si>
  <si>
    <t xml:space="preserve">customer was spanish and agent did not understand his poor english, therefore The customer expressed frustration with the situation and the agent's inability to resolve the problem.</t>
  </si>
  <si>
    <t xml:space="preserve">2197496531</t>
  </si>
  <si>
    <t xml:space="preserve">call was not deescalated properly as their was no empathy shown over the call</t>
  </si>
  <si>
    <t xml:space="preserve">2194782848</t>
  </si>
  <si>
    <t xml:space="preserve">The call ended without a clear resolution.</t>
  </si>
  <si>
    <t xml:space="preserve">2194821734</t>
  </si>
  <si>
    <t xml:space="preserve">The customer expressed frustration over the delay for the tech appointment and potential liability.</t>
  </si>
  <si>
    <t xml:space="preserve">2194198617</t>
  </si>
  <si>
    <t xml:space="preserve">Pure Handling Skills </t>
  </si>
  <si>
    <t xml:space="preserve">bp-yabdel208</t>
  </si>
  <si>
    <t xml:space="preserve">They had already received approximately their fourth replacement box, the internet had been cutting out multiple times every day for months, technicians had repeatedly visited the home, equipment had been replaced, and wiring had been worked on without a lasting fix.    Pasted text The customer then  told Youssef: technicians keep coming out and nothing gets fixed.</t>
  </si>
  <si>
    <t xml:space="preserve">bp-mmahmo022</t>
  </si>
  <si>
    <t xml:space="preserve">2197860585</t>
  </si>
  <si>
    <t xml:space="preserve">bp-ahassa042</t>
  </si>
  <si>
    <t xml:space="preserve">2197465776</t>
  </si>
  <si>
    <t xml:space="preserve">Call got disconnected and the customer was never called back </t>
  </si>
  <si>
    <t xml:space="preserve">bp-okamel106</t>
  </si>
  <si>
    <t xml:space="preserve">2197421005</t>
  </si>
  <si>
    <t xml:space="preserve">The customer's original problem was a complete loss of internet/TV service. Omar's diagnostics pointed toward a coax/wiring issue requiring a technician. That technical failure existed before Omar handled the interaction.</t>
  </si>
  <si>
    <t xml:space="preserve">2195718905</t>
  </si>
  <si>
    <t xml:space="preserve">Customer could not authentication </t>
  </si>
  <si>
    <t xml:space="preserve">bp-aali048</t>
  </si>
  <si>
    <t xml:space="preserve">2197341018</t>
  </si>
  <si>
    <t xml:space="preserve">Agent was friendly assured help showed empathy yet the customer had an outage and was upset cuz of it </t>
  </si>
</sst>
</file>

<file path=xl/styles.xml><?xml version="1.0" encoding="utf-8"?>
<styleSheet xmlns="http://schemas.openxmlformats.org/spreadsheetml/2006/main">
  <numFmts count="13">
    <numFmt numFmtId="164" formatCode="General"/>
    <numFmt numFmtId="165" formatCode="#,##0"/>
    <numFmt numFmtId="166" formatCode="0.0%"/>
    <numFmt numFmtId="167" formatCode="\+0;\-0;0"/>
    <numFmt numFmtId="168" formatCode="\+0.0&quot; pts&quot;;\-0.0&quot; pts&quot;"/>
    <numFmt numFmtId="169" formatCode="\+0.0%;\-0.0%"/>
    <numFmt numFmtId="170" formatCode="0%"/>
    <numFmt numFmtId="171" formatCode="ddd\ dd\-mmm\-yy"/>
    <numFmt numFmtId="172" formatCode="General"/>
    <numFmt numFmtId="173" formatCode="\+0.0;\-0.0;0.0"/>
    <numFmt numFmtId="174" formatCode="mmm\-yy"/>
    <numFmt numFmtId="175" formatCode="yyyy\-mm\-dd"/>
    <numFmt numFmtId="176" formatCode="yyyy\-mm\-dd\ hh:mm"/>
  </numFmts>
  <fonts count="20">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0"/>
      <color rgb="FFDCE3EE"/>
      <name val="Arial"/>
      <family val="0"/>
      <charset val="1"/>
    </font>
    <font>
      <b val="true"/>
      <sz val="9"/>
      <color rgb="FFFFFFFF"/>
      <name val="Arial"/>
      <family val="0"/>
      <charset val="1"/>
    </font>
    <font>
      <b val="true"/>
      <sz val="20"/>
      <color rgb="FFF28C28"/>
      <name val="Arial"/>
      <family val="0"/>
      <charset val="1"/>
    </font>
    <font>
      <b val="true"/>
      <sz val="12"/>
      <color rgb="FF0B2545"/>
      <name val="Arial"/>
      <family val="0"/>
      <charset val="1"/>
    </font>
    <font>
      <sz val="10"/>
      <name val="Arial"/>
      <family val="0"/>
      <charset val="1"/>
    </font>
    <font>
      <i val="true"/>
      <sz val="8"/>
      <color rgb="FF8D99AE"/>
      <name val="Arial"/>
      <family val="0"/>
      <charset val="1"/>
    </font>
    <font>
      <b val="true"/>
      <sz val="10"/>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1"/>
      <name val="Arial"/>
      <family val="0"/>
      <charset val="1"/>
    </font>
    <font>
      <i val="true"/>
      <sz val="9"/>
      <color rgb="FF8D99AE"/>
      <name val="Arial"/>
      <family val="0"/>
      <charset val="1"/>
    </font>
    <font>
      <b val="true"/>
      <sz val="11"/>
      <color rgb="FFF28C28"/>
      <name val="Arial"/>
      <family val="0"/>
      <charset val="1"/>
    </font>
    <font>
      <sz val="9"/>
      <name val="Arial"/>
      <family val="0"/>
      <charset val="1"/>
    </font>
    <font>
      <i val="true"/>
      <sz val="9"/>
      <name val="Arial"/>
      <family val="0"/>
      <charset val="1"/>
    </font>
  </fonts>
  <fills count="7">
    <fill>
      <patternFill patternType="none"/>
    </fill>
    <fill>
      <patternFill patternType="gray125"/>
    </fill>
    <fill>
      <patternFill patternType="solid">
        <fgColor rgb="FF0B2545"/>
        <bgColor rgb="FF13315C"/>
      </patternFill>
    </fill>
    <fill>
      <patternFill patternType="solid">
        <fgColor rgb="FFF28C28"/>
        <bgColor rgb="FFFF8080"/>
      </patternFill>
    </fill>
    <fill>
      <patternFill patternType="solid">
        <fgColor rgb="FF13315C"/>
        <bgColor rgb="FF0B2545"/>
      </patternFill>
    </fill>
    <fill>
      <patternFill patternType="solid">
        <fgColor rgb="FFEEF2F7"/>
        <bgColor rgb="FFFFFFFF"/>
      </patternFill>
    </fill>
    <fill>
      <patternFill patternType="solid">
        <fgColor rgb="FFFCE4CC"/>
        <bgColor rgb="FFFFEB9C"/>
      </patternFill>
    </fill>
  </fills>
  <borders count="3">
    <border diagonalUp="false" diagonalDown="false">
      <left/>
      <right/>
      <top/>
      <bottom/>
      <diagonal/>
    </border>
    <border diagonalUp="false" diagonalDown="false">
      <left/>
      <right/>
      <top/>
      <bottom style="medium">
        <color rgb="FFF28C28"/>
      </bottom>
      <diagonal/>
    </border>
    <border diagonalUp="false" diagonalDown="false">
      <left style="thin">
        <color rgb="FFD0D7E2"/>
      </left>
      <right style="thin">
        <color rgb="FFD0D7E2"/>
      </right>
      <top style="thin">
        <color rgb="FFD0D7E2"/>
      </top>
      <bottom style="thin">
        <color rgb="FFD0D7E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4" borderId="0" xfId="0" applyFont="true" applyBorder="true" applyAlignment="true" applyProtection="false">
      <alignment horizontal="center" vertical="bottom" textRotation="0" wrapText="false" indent="0" shrinkToFit="false"/>
      <protection locked="true" hidden="false"/>
    </xf>
    <xf numFmtId="165" fontId="7" fillId="5" borderId="0" xfId="0" applyFont="true" applyBorder="true" applyAlignment="true" applyProtection="false">
      <alignment horizontal="center" vertical="bottom" textRotation="0" wrapText="false" indent="0" shrinkToFit="false"/>
      <protection locked="true" hidden="false"/>
    </xf>
    <xf numFmtId="166" fontId="7" fillId="5" borderId="0" xfId="0" applyFont="true" applyBorder="true" applyAlignment="true" applyProtection="false">
      <alignment horizontal="center" vertical="bottom" textRotation="0" wrapText="false" indent="0" shrinkToFit="false"/>
      <protection locked="true" hidden="false"/>
    </xf>
    <xf numFmtId="167" fontId="7" fillId="5" borderId="0"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4" borderId="2"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64" fontId="9" fillId="5" borderId="2" xfId="0" applyFont="true" applyBorder="true" applyAlignment="false" applyProtection="false">
      <alignment horizontal="general" vertical="bottom" textRotation="0" wrapText="false" indent="0" shrinkToFit="false"/>
      <protection locked="true" hidden="false"/>
    </xf>
    <xf numFmtId="166" fontId="9" fillId="5" borderId="2" xfId="0" applyFont="true" applyBorder="true" applyAlignment="false" applyProtection="false">
      <alignment horizontal="general" vertical="bottom" textRotation="0" wrapText="false" indent="0" shrinkToFit="false"/>
      <protection locked="true" hidden="false"/>
    </xf>
    <xf numFmtId="168" fontId="9" fillId="5" borderId="2" xfId="0" applyFont="true" applyBorder="true" applyAlignment="false" applyProtection="false">
      <alignment horizontal="general" vertical="bottom" textRotation="0" wrapText="false" indent="0" shrinkToFit="false"/>
      <protection locked="true" hidden="false"/>
    </xf>
    <xf numFmtId="166" fontId="9" fillId="0" borderId="2" xfId="0" applyFont="true" applyBorder="true" applyAlignment="false" applyProtection="false">
      <alignment horizontal="general" vertical="bottom" textRotation="0" wrapText="false" indent="0" shrinkToFit="false"/>
      <protection locked="true" hidden="false"/>
    </xf>
    <xf numFmtId="168" fontId="9" fillId="0" borderId="2" xfId="0" applyFont="true" applyBorder="true" applyAlignment="false" applyProtection="false">
      <alignment horizontal="general" vertical="bottom" textRotation="0" wrapText="false" indent="0" shrinkToFit="false"/>
      <protection locked="true" hidden="false"/>
    </xf>
    <xf numFmtId="169" fontId="9" fillId="5" borderId="2" xfId="0" applyFont="true" applyBorder="true" applyAlignment="false" applyProtection="false">
      <alignment horizontal="general" vertical="bottom" textRotation="0" wrapText="false" indent="0" shrinkToFit="false"/>
      <protection locked="true" hidden="false"/>
    </xf>
    <xf numFmtId="170" fontId="9" fillId="0" borderId="2" xfId="0" applyFont="true" applyBorder="true" applyAlignment="false" applyProtection="false">
      <alignment horizontal="general" vertical="bottom" textRotation="0" wrapText="false" indent="0" shrinkToFit="false"/>
      <protection locked="true" hidden="false"/>
    </xf>
    <xf numFmtId="171" fontId="9" fillId="0" borderId="2" xfId="0" applyFont="true" applyBorder="true" applyAlignment="false" applyProtection="false">
      <alignment horizontal="general" vertical="bottom" textRotation="0" wrapText="false" indent="0" shrinkToFit="false"/>
      <protection locked="true" hidden="false"/>
    </xf>
    <xf numFmtId="171" fontId="9" fillId="5" borderId="2" xfId="0" applyFont="true" applyBorder="true" applyAlignment="false" applyProtection="false">
      <alignment horizontal="general" vertical="bottom" textRotation="0" wrapText="false" indent="0" shrinkToFit="false"/>
      <protection locked="true" hidden="false"/>
    </xf>
    <xf numFmtId="170" fontId="9" fillId="5" borderId="2" xfId="0" applyFont="true" applyBorder="true" applyAlignment="fals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2" fontId="9" fillId="0" borderId="2" xfId="0" applyFont="true" applyBorder="true" applyAlignment="false" applyProtection="false">
      <alignment horizontal="general" vertical="bottom" textRotation="0" wrapText="false" indent="0" shrinkToFit="false"/>
      <protection locked="true" hidden="false"/>
    </xf>
    <xf numFmtId="167" fontId="9" fillId="0" borderId="2" xfId="0" applyFont="true" applyBorder="true" applyAlignment="false" applyProtection="false">
      <alignment horizontal="general" vertical="bottom" textRotation="0" wrapText="false" indent="0" shrinkToFit="false"/>
      <protection locked="true" hidden="false"/>
    </xf>
    <xf numFmtId="173" fontId="9" fillId="0" borderId="2" xfId="0" applyFont="true" applyBorder="true" applyAlignment="false" applyProtection="false">
      <alignment horizontal="general" vertical="bottom" textRotation="0" wrapText="false" indent="0" shrinkToFit="false"/>
      <protection locked="true" hidden="false"/>
    </xf>
    <xf numFmtId="172" fontId="9" fillId="5" borderId="2" xfId="0" applyFont="true" applyBorder="true" applyAlignment="false" applyProtection="false">
      <alignment horizontal="general" vertical="bottom" textRotation="0" wrapText="false" indent="0" shrinkToFit="false"/>
      <protection locked="true" hidden="false"/>
    </xf>
    <xf numFmtId="167" fontId="9" fillId="5" borderId="2" xfId="0" applyFont="true" applyBorder="true" applyAlignment="false" applyProtection="false">
      <alignment horizontal="general" vertical="bottom" textRotation="0" wrapText="false" indent="0" shrinkToFit="false"/>
      <protection locked="true" hidden="false"/>
    </xf>
    <xf numFmtId="173" fontId="9" fillId="5" borderId="2" xfId="0" applyFont="true" applyBorder="true" applyAlignment="false" applyProtection="false">
      <alignment horizontal="general" vertical="bottom" textRotation="0" wrapText="false" indent="0" shrinkToFit="false"/>
      <protection locked="true" hidden="false"/>
    </xf>
    <xf numFmtId="174" fontId="9" fillId="0" borderId="2" xfId="0" applyFont="true" applyBorder="true" applyAlignment="false" applyProtection="false">
      <alignment horizontal="general" vertical="bottom" textRotation="0" wrapText="false" indent="0" shrinkToFit="false"/>
      <protection locked="true" hidden="false"/>
    </xf>
    <xf numFmtId="175" fontId="9" fillId="0" borderId="2" xfId="0" applyFont="true" applyBorder="true" applyAlignment="false" applyProtection="false">
      <alignment horizontal="general" vertical="bottom" textRotation="0" wrapText="false" indent="0" shrinkToFit="false"/>
      <protection locked="true" hidden="false"/>
    </xf>
    <xf numFmtId="174" fontId="9" fillId="5" borderId="2" xfId="0" applyFont="true" applyBorder="true" applyAlignment="false" applyProtection="false">
      <alignment horizontal="general" vertical="bottom" textRotation="0" wrapText="false" indent="0" shrinkToFit="false"/>
      <protection locked="true" hidden="false"/>
    </xf>
    <xf numFmtId="175" fontId="9" fillId="5" borderId="2" xfId="0" applyFont="true" applyBorder="true" applyAlignment="false" applyProtection="false">
      <alignment horizontal="general" vertical="bottom" textRotation="0" wrapText="false" indent="0" shrinkToFit="false"/>
      <protection locked="true" hidden="false"/>
    </xf>
    <xf numFmtId="164" fontId="15" fillId="5" borderId="2"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2" xfId="0" applyFont="true" applyBorder="true" applyAlignment="false" applyProtection="false">
      <alignment horizontal="general" vertical="bottom" textRotation="0" wrapText="false" indent="0" shrinkToFit="false"/>
      <protection locked="true" hidden="false"/>
    </xf>
    <xf numFmtId="170" fontId="17" fillId="0" borderId="2" xfId="0" applyFont="true" applyBorder="true" applyAlignment="false" applyProtection="false">
      <alignment horizontal="general" vertical="bottom" textRotation="0" wrapText="false" indent="0" shrinkToFit="false"/>
      <protection locked="true" hidden="false"/>
    </xf>
    <xf numFmtId="173" fontId="17" fillId="0" borderId="2" xfId="0" applyFont="true" applyBorder="true" applyAlignment="false" applyProtection="false">
      <alignment horizontal="general" vertical="bottom" textRotation="0" wrapText="false" indent="0" shrinkToFit="false"/>
      <protection locked="true" hidden="false"/>
    </xf>
    <xf numFmtId="164" fontId="15" fillId="6" borderId="0" xfId="0" applyFont="true" applyBorder="false" applyAlignment="false" applyProtection="false">
      <alignment horizontal="general" vertical="bottom" textRotation="0" wrapText="false" indent="0" shrinkToFit="false"/>
      <protection locked="true" hidden="false"/>
    </xf>
    <xf numFmtId="170" fontId="15" fillId="6"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75" fontId="18" fillId="0" borderId="0" xfId="0" applyFont="true" applyBorder="false" applyAlignment="false" applyProtection="false">
      <alignment horizontal="general" vertical="bottom" textRotation="0" wrapText="false" indent="0" shrinkToFit="false"/>
      <protection locked="true" hidden="false"/>
    </xf>
    <xf numFmtId="176"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bgColor rgb="FFF8CBAD"/>
        </patternFill>
      </fill>
    </dxf>
    <dxf>
      <fill>
        <patternFill>
          <bgColor rgb="FFFFEB9C"/>
        </patternFill>
      </fill>
    </dxf>
    <dxf>
      <font>
        <name val="Arial"/>
        <charset val="1"/>
        <family val="0"/>
        <color rgb="FFC00000"/>
      </font>
    </dxf>
    <dxf>
      <font>
        <name val="Arial"/>
        <charset val="1"/>
        <family val="0"/>
        <color rgb="FF007A33"/>
      </font>
    </dxf>
    <dxf>
      <fill>
        <patternFill patternType="solid">
          <fgColor rgb="FF13315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7A33"/>
      <rgbColor rgb="FF000080"/>
      <rgbColor rgb="FF808000"/>
      <rgbColor rgb="FF800080"/>
      <rgbColor rgb="FF008080"/>
      <rgbColor rgb="FFD9D9D9"/>
      <rgbColor rgb="FF878787"/>
      <rgbColor rgb="FF9999FF"/>
      <rgbColor rgb="FF993366"/>
      <rgbColor rgb="FFEEF2F7"/>
      <rgbColor rgb="FFDCE3EE"/>
      <rgbColor rgb="FF660066"/>
      <rgbColor rgb="FFFF8080"/>
      <rgbColor rgb="FF0066CC"/>
      <rgbColor rgb="FFD0D7E2"/>
      <rgbColor rgb="FF000080"/>
      <rgbColor rgb="FFFF00FF"/>
      <rgbColor rgb="FFFFFF00"/>
      <rgbColor rgb="FF00FFFF"/>
      <rgbColor rgb="FF800080"/>
      <rgbColor rgb="FF800000"/>
      <rgbColor rgb="FF008080"/>
      <rgbColor rgb="FF0000FF"/>
      <rgbColor rgb="FF00CCFF"/>
      <rgbColor rgb="FFCCFFFF"/>
      <rgbColor rgb="FFFCE4CC"/>
      <rgbColor rgb="FFFFEB9C"/>
      <rgbColor rgb="FF99CCFF"/>
      <rgbColor rgb="FFFF99CC"/>
      <rgbColor rgb="FFCC99FF"/>
      <rgbColor rgb="FFF8CBAD"/>
      <rgbColor rgb="FF5C7AEA"/>
      <rgbColor rgb="FF2EC4B6"/>
      <rgbColor rgb="FF99CC00"/>
      <rgbColor rgb="FFFFCC00"/>
      <rgbColor rgb="FFF28C28"/>
      <rgbColor rgb="FFFF6600"/>
      <rgbColor rgb="FF666699"/>
      <rgbColor rgb="FF8D99AE"/>
      <rgbColor rgb="FF13315C"/>
      <rgbColor rgb="FF339966"/>
      <rgbColor rgb="FF003300"/>
      <rgbColor rgb="FF333300"/>
      <rgbColor rgb="FF993300"/>
      <rgbColor rgb="FF993366"/>
      <rgbColor rgb="FF333399"/>
      <rgbColor rgb="FF0B254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Daily scrub volume — last 30 scrub days</a:t>
            </a:r>
          </a:p>
        </c:rich>
      </c:tx>
      <c:overlay val="0"/>
      <c:spPr>
        <a:noFill/>
        <a:ln w="0">
          <a:noFill/>
        </a:ln>
      </c:spPr>
    </c:title>
    <c:autoTitleDeleted val="0"/>
    <c:plotArea>
      <c:lineChart>
        <c:grouping val="standard"/>
        <c:varyColors val="0"/>
        <c:ser>
          <c:idx val="0"/>
          <c:order val="0"/>
          <c:tx>
            <c:strRef>
              <c:f>'Day over Day'!B5</c:f>
              <c:strCache>
                <c:ptCount val="1"/>
                <c:pt idx="0">
                  <c:v>Total Scrubs</c:v>
                </c:pt>
              </c:strCache>
            </c:strRef>
          </c:tx>
          <c:spPr>
            <a:solidFill>
              <a:srgbClr val="f28c28"/>
            </a:solidFill>
            <a:ln w="28440">
              <a:solidFill>
                <a:srgbClr val="f28c2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'Day over Day'!$A$6:$A$35</c:f>
              <c:strCache>
                <c:ptCount val="30"/>
                <c:pt idx="0">
                  <c:v>Wed 07-Oct-26</c:v>
                </c:pt>
                <c:pt idx="1">
                  <c:v>Tue 06-Oct-26</c:v>
                </c:pt>
                <c:pt idx="2">
                  <c:v>Sun 04-Oct-26</c:v>
                </c:pt>
                <c:pt idx="3">
                  <c:v>Sat 03-Oct-26</c:v>
                </c:pt>
                <c:pt idx="4">
                  <c:v>Fri 02-Oct-26</c:v>
                </c:pt>
                <c:pt idx="5">
                  <c:v>Thu 01-Oct-26</c:v>
                </c:pt>
                <c:pt idx="6">
                  <c:v>Tue 29-Sep-26</c:v>
                </c:pt>
                <c:pt idx="7">
                  <c:v>Mon 28-Sep-26</c:v>
                </c:pt>
                <c:pt idx="8">
                  <c:v>Sun 27-Sep-26</c:v>
                </c:pt>
                <c:pt idx="9">
                  <c:v>Sat 26-Sep-26</c:v>
                </c:pt>
                <c:pt idx="10">
                  <c:v>Fri 25-Sep-26</c:v>
                </c:pt>
                <c:pt idx="11">
                  <c:v>Thu 24-Sep-26</c:v>
                </c:pt>
                <c:pt idx="12">
                  <c:v>Tue 22-Sep-26</c:v>
                </c:pt>
                <c:pt idx="13">
                  <c:v>Sat 19-Sep-26</c:v>
                </c:pt>
                <c:pt idx="14">
                  <c:v>Fri 18-Sep-26</c:v>
                </c:pt>
                <c:pt idx="15">
                  <c:v>Thu 17-Sep-26</c:v>
                </c:pt>
                <c:pt idx="16">
                  <c:v>Wed 16-Sep-26</c:v>
                </c:pt>
                <c:pt idx="17">
                  <c:v>Tue 15-Sep-26</c:v>
                </c:pt>
                <c:pt idx="18">
                  <c:v>Mon 14-Sep-26</c:v>
                </c:pt>
                <c:pt idx="19">
                  <c:v>Sun 13-Sep-26</c:v>
                </c:pt>
                <c:pt idx="20">
                  <c:v>Sat 12-Sep-26</c:v>
                </c:pt>
                <c:pt idx="21">
                  <c:v>Fri 11-Sep-26</c:v>
                </c:pt>
                <c:pt idx="22">
                  <c:v>Thu 10-Sep-26</c:v>
                </c:pt>
                <c:pt idx="23">
                  <c:v>Wed 09-Sep-26</c:v>
                </c:pt>
                <c:pt idx="24">
                  <c:v>Tue 08-Sep-26</c:v>
                </c:pt>
                <c:pt idx="25">
                  <c:v>Mon 07-Sep-26</c:v>
                </c:pt>
                <c:pt idx="26">
                  <c:v>Sun 06-Sep-26</c:v>
                </c:pt>
                <c:pt idx="27">
                  <c:v>Sat 05-Sep-26</c:v>
                </c:pt>
                <c:pt idx="28">
                  <c:v>Fri 04-Sep-26</c:v>
                </c:pt>
                <c:pt idx="29">
                  <c:v>Thu 03-Sep-26</c:v>
                </c:pt>
              </c:strCache>
            </c:strRef>
          </c:cat>
          <c:val>
            <c:numRef>
              <c:f>'Day over Day'!$B$6:$B$35</c:f>
              <c:numCache>
                <c:formatCode>General</c:formatCode>
                <c:ptCount val="30"/>
                <c:pt idx="0">
                  <c:v>110</c:v>
                </c:pt>
                <c:pt idx="1">
                  <c:v>84</c:v>
                </c:pt>
                <c:pt idx="2">
                  <c:v>28</c:v>
                </c:pt>
                <c:pt idx="3">
                  <c:v>17</c:v>
                </c:pt>
                <c:pt idx="4">
                  <c:v>8</c:v>
                </c:pt>
                <c:pt idx="5">
                  <c:v>4</c:v>
                </c:pt>
                <c:pt idx="6">
                  <c:v>4</c:v>
                </c:pt>
                <c:pt idx="7">
                  <c:v>7</c:v>
                </c:pt>
                <c:pt idx="8">
                  <c:v>1</c:v>
                </c:pt>
                <c:pt idx="9">
                  <c:v>14</c:v>
                </c:pt>
                <c:pt idx="10">
                  <c:v>9</c:v>
                </c:pt>
                <c:pt idx="11">
                  <c:v>2</c:v>
                </c:pt>
                <c:pt idx="12">
                  <c:v>17</c:v>
                </c:pt>
                <c:pt idx="13">
                  <c:v>10</c:v>
                </c:pt>
                <c:pt idx="14">
                  <c:v>31</c:v>
                </c:pt>
                <c:pt idx="15">
                  <c:v>4</c:v>
                </c:pt>
                <c:pt idx="16">
                  <c:v>2</c:v>
                </c:pt>
                <c:pt idx="17">
                  <c:v>1</c:v>
                </c:pt>
                <c:pt idx="18">
                  <c:v>32</c:v>
                </c:pt>
                <c:pt idx="19">
                  <c:v>1</c:v>
                </c:pt>
                <c:pt idx="20">
                  <c:v>12</c:v>
                </c:pt>
                <c:pt idx="21">
                  <c:v>12</c:v>
                </c:pt>
                <c:pt idx="22">
                  <c:v>25</c:v>
                </c:pt>
                <c:pt idx="23">
                  <c:v>1</c:v>
                </c:pt>
                <c:pt idx="24">
                  <c:v>2</c:v>
                </c:pt>
                <c:pt idx="25">
                  <c:v>7</c:v>
                </c:pt>
                <c:pt idx="26">
                  <c:v>6</c:v>
                </c:pt>
                <c:pt idx="27">
                  <c:v>2</c:v>
                </c:pt>
                <c:pt idx="28">
                  <c:v>13</c:v>
                </c:pt>
                <c:pt idx="29">
                  <c:v>6</c:v>
                </c:pt>
              </c:numCache>
            </c:numRef>
          </c:val>
          <c:smooth val="1"/>
        </c:ser>
        <c:hiLowLines>
          <c:spPr>
            <a:ln w="0">
              <a:noFill/>
            </a:ln>
          </c:spPr>
        </c:hiLowLines>
        <c:marker val="0"/>
        <c:axId val="27608573"/>
        <c:axId val="25680976"/>
      </c:lineChart>
      <c:catAx>
        <c:axId val="27608573"/>
        <c:scaling>
          <c:orientation val="maxMin"/>
        </c:scaling>
        <c:delete val="0"/>
        <c:axPos val="b"/>
        <c:numFmt formatCode="dd\-mm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680976"/>
        <c:crosses val="autoZero"/>
        <c:auto val="1"/>
        <c:lblAlgn val="ctr"/>
        <c:lblOffset val="100"/>
        <c:noMultiLvlLbl val="0"/>
      </c:catAx>
      <c:valAx>
        <c:axId val="2568097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Scrubs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60857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Agent Opportunity % — last 30 scrub days</a:t>
            </a:r>
          </a:p>
        </c:rich>
      </c:tx>
      <c:overlay val="0"/>
      <c:spPr>
        <a:noFill/>
        <a:ln w="0">
          <a:noFill/>
        </a:ln>
      </c:spPr>
    </c:title>
    <c:autoTitleDeleted val="0"/>
    <c:plotArea>
      <c:lineChart>
        <c:grouping val="standard"/>
        <c:varyColors val="0"/>
        <c:ser>
          <c:idx val="0"/>
          <c:order val="0"/>
          <c:tx>
            <c:strRef>
              <c:f>'Day over Day'!H5</c:f>
              <c:strCache>
                <c:ptCount val="1"/>
                <c:pt idx="0">
                  <c:v>Agent Opp %</c:v>
                </c:pt>
              </c:strCache>
            </c:strRef>
          </c:tx>
          <c:spPr>
            <a:solidFill>
              <a:srgbClr val="0b2545"/>
            </a:solidFill>
            <a:ln w="28440">
              <a:solidFill>
                <a:srgbClr val="0b254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'Day over Day'!$A$6:$A$35</c:f>
              <c:strCache>
                <c:ptCount val="30"/>
                <c:pt idx="0">
                  <c:v>Wed 07-Oct-26</c:v>
                </c:pt>
                <c:pt idx="1">
                  <c:v>Tue 06-Oct-26</c:v>
                </c:pt>
                <c:pt idx="2">
                  <c:v>Sun 04-Oct-26</c:v>
                </c:pt>
                <c:pt idx="3">
                  <c:v>Sat 03-Oct-26</c:v>
                </c:pt>
                <c:pt idx="4">
                  <c:v>Fri 02-Oct-26</c:v>
                </c:pt>
                <c:pt idx="5">
                  <c:v>Thu 01-Oct-26</c:v>
                </c:pt>
                <c:pt idx="6">
                  <c:v>Tue 29-Sep-26</c:v>
                </c:pt>
                <c:pt idx="7">
                  <c:v>Mon 28-Sep-26</c:v>
                </c:pt>
                <c:pt idx="8">
                  <c:v>Sun 27-Sep-26</c:v>
                </c:pt>
                <c:pt idx="9">
                  <c:v>Sat 26-Sep-26</c:v>
                </c:pt>
                <c:pt idx="10">
                  <c:v>Fri 25-Sep-26</c:v>
                </c:pt>
                <c:pt idx="11">
                  <c:v>Thu 24-Sep-26</c:v>
                </c:pt>
                <c:pt idx="12">
                  <c:v>Tue 22-Sep-26</c:v>
                </c:pt>
                <c:pt idx="13">
                  <c:v>Sat 19-Sep-26</c:v>
                </c:pt>
                <c:pt idx="14">
                  <c:v>Fri 18-Sep-26</c:v>
                </c:pt>
                <c:pt idx="15">
                  <c:v>Thu 17-Sep-26</c:v>
                </c:pt>
                <c:pt idx="16">
                  <c:v>Wed 16-Sep-26</c:v>
                </c:pt>
                <c:pt idx="17">
                  <c:v>Tue 15-Sep-26</c:v>
                </c:pt>
                <c:pt idx="18">
                  <c:v>Mon 14-Sep-26</c:v>
                </c:pt>
                <c:pt idx="19">
                  <c:v>Sun 13-Sep-26</c:v>
                </c:pt>
                <c:pt idx="20">
                  <c:v>Sat 12-Sep-26</c:v>
                </c:pt>
                <c:pt idx="21">
                  <c:v>Fri 11-Sep-26</c:v>
                </c:pt>
                <c:pt idx="22">
                  <c:v>Thu 10-Sep-26</c:v>
                </c:pt>
                <c:pt idx="23">
                  <c:v>Wed 09-Sep-26</c:v>
                </c:pt>
                <c:pt idx="24">
                  <c:v>Tue 08-Sep-26</c:v>
                </c:pt>
                <c:pt idx="25">
                  <c:v>Mon 07-Sep-26</c:v>
                </c:pt>
                <c:pt idx="26">
                  <c:v>Sun 06-Sep-26</c:v>
                </c:pt>
                <c:pt idx="27">
                  <c:v>Sat 05-Sep-26</c:v>
                </c:pt>
                <c:pt idx="28">
                  <c:v>Fri 04-Sep-26</c:v>
                </c:pt>
                <c:pt idx="29">
                  <c:v>Thu 03-Sep-26</c:v>
                </c:pt>
              </c:strCache>
            </c:strRef>
          </c:cat>
          <c:val>
            <c:numRef>
              <c:f>'Day over Day'!$H$6:$H$35</c:f>
              <c:numCache>
                <c:formatCode>0.0%</c:formatCode>
                <c:ptCount val="30"/>
                <c:pt idx="0">
                  <c:v>0.645454545454546</c:v>
                </c:pt>
                <c:pt idx="1">
                  <c:v>0.464285714285714</c:v>
                </c:pt>
                <c:pt idx="2">
                  <c:v>0.571428571428571</c:v>
                </c:pt>
                <c:pt idx="3">
                  <c:v>0.352941176470588</c:v>
                </c:pt>
                <c:pt idx="4">
                  <c:v>0.625</c:v>
                </c:pt>
                <c:pt idx="5">
                  <c:v>1</c:v>
                </c:pt>
                <c:pt idx="6">
                  <c:v>0.75</c:v>
                </c:pt>
                <c:pt idx="7">
                  <c:v>0.857142857142857</c:v>
                </c:pt>
                <c:pt idx="8">
                  <c:v>1</c:v>
                </c:pt>
                <c:pt idx="9">
                  <c:v>0.5</c:v>
                </c:pt>
                <c:pt idx="10">
                  <c:v>0.888888888888889</c:v>
                </c:pt>
                <c:pt idx="11">
                  <c:v>0.5</c:v>
                </c:pt>
                <c:pt idx="12">
                  <c:v>0.588235294117647</c:v>
                </c:pt>
                <c:pt idx="13">
                  <c:v>0.7</c:v>
                </c:pt>
                <c:pt idx="14">
                  <c:v>0.741935483870968</c:v>
                </c:pt>
                <c:pt idx="15">
                  <c:v>0.75</c:v>
                </c:pt>
                <c:pt idx="16">
                  <c:v>1</c:v>
                </c:pt>
                <c:pt idx="17">
                  <c:v>0</c:v>
                </c:pt>
                <c:pt idx="18">
                  <c:v>0.5625</c:v>
                </c:pt>
                <c:pt idx="19">
                  <c:v>1</c:v>
                </c:pt>
                <c:pt idx="20">
                  <c:v>0.583333333333333</c:v>
                </c:pt>
                <c:pt idx="21">
                  <c:v>0.583333333333333</c:v>
                </c:pt>
                <c:pt idx="22">
                  <c:v>0.84</c:v>
                </c:pt>
                <c:pt idx="23">
                  <c:v>1</c:v>
                </c:pt>
                <c:pt idx="24">
                  <c:v>1</c:v>
                </c:pt>
                <c:pt idx="25">
                  <c:v>0.428571428571429</c:v>
                </c:pt>
                <c:pt idx="26">
                  <c:v>0.833333333333333</c:v>
                </c:pt>
                <c:pt idx="27">
                  <c:v>1</c:v>
                </c:pt>
                <c:pt idx="28">
                  <c:v>0.692307692307692</c:v>
                </c:pt>
                <c:pt idx="29">
                  <c:v>0.833333333333333</c:v>
                </c:pt>
              </c:numCache>
            </c:numRef>
          </c:val>
          <c:smooth val="1"/>
        </c:ser>
        <c:hiLowLines>
          <c:spPr>
            <a:ln w="0">
              <a:noFill/>
            </a:ln>
          </c:spPr>
        </c:hiLowLines>
        <c:marker val="0"/>
        <c:axId val="20857216"/>
        <c:axId val="78273556"/>
      </c:lineChart>
      <c:catAx>
        <c:axId val="20857216"/>
        <c:scaling>
          <c:orientation val="maxMin"/>
        </c:scaling>
        <c:delete val="0"/>
        <c:axPos val="b"/>
        <c:numFmt formatCode="dd\-mm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273556"/>
        <c:crosses val="autoZero"/>
        <c:auto val="1"/>
        <c:lblAlgn val="ctr"/>
        <c:lblOffset val="100"/>
        <c:noMultiLvlLbl val="0"/>
      </c:catAx>
      <c:valAx>
        <c:axId val="78273556"/>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85721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scrubs by RCA</a:t>
            </a:r>
          </a:p>
        </c:rich>
      </c:tx>
      <c:overlay val="0"/>
      <c:spPr>
        <a:noFill/>
        <a:ln w="0">
          <a:noFill/>
        </a:ln>
      </c:spPr>
    </c:title>
    <c:autoTitleDeleted val="0"/>
    <c:plotArea>
      <c:barChart>
        <c:barDir val="col"/>
        <c:grouping val="stacked"/>
        <c:varyColors val="0"/>
        <c:ser>
          <c:idx val="0"/>
          <c:order val="0"/>
          <c:tx>
            <c:strRef>
              <c:f>'Monthly Trend'!D5</c:f>
              <c:strCache>
                <c:ptCount val="1"/>
                <c:pt idx="0">
                  <c:v>Agent Opp</c:v>
                </c:pt>
              </c:strCache>
            </c:strRef>
          </c:tx>
          <c:spPr>
            <a:solidFill>
              <a:srgbClr val="0b254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 Trend'!$A$6:$A$12</c:f>
              <c:strCache>
                <c:ptCount val="7"/>
                <c:pt idx="0">
                  <c:v>Apr-26</c:v>
                </c:pt>
                <c:pt idx="1">
                  <c:v>May-26</c:v>
                </c:pt>
                <c:pt idx="2">
                  <c:v>Jun-26</c:v>
                </c:pt>
                <c:pt idx="3">
                  <c:v>Jul-26</c:v>
                </c:pt>
                <c:pt idx="4">
                  <c:v>Aug-26</c:v>
                </c:pt>
                <c:pt idx="5">
                  <c:v>Sep-26</c:v>
                </c:pt>
                <c:pt idx="6">
                  <c:v>Oct-26</c:v>
                </c:pt>
              </c:strCache>
            </c:strRef>
          </c:cat>
          <c:val>
            <c:numRef>
              <c:f>'Monthly Trend'!$D$6:$D$12</c:f>
              <c:numCache>
                <c:formatCode>General</c:formatCode>
                <c:ptCount val="7"/>
                <c:pt idx="0">
                  <c:v>147</c:v>
                </c:pt>
                <c:pt idx="1">
                  <c:v>220</c:v>
                </c:pt>
                <c:pt idx="2">
                  <c:v>178</c:v>
                </c:pt>
                <c:pt idx="3">
                  <c:v>259</c:v>
                </c:pt>
                <c:pt idx="4">
                  <c:v>357</c:v>
                </c:pt>
                <c:pt idx="5">
                  <c:v>156</c:v>
                </c:pt>
                <c:pt idx="6">
                  <c:v>141</c:v>
                </c:pt>
              </c:numCache>
            </c:numRef>
          </c:val>
        </c:ser>
        <c:ser>
          <c:idx val="1"/>
          <c:order val="1"/>
          <c:tx>
            <c:strRef>
              <c:f>'Monthly Trend'!E5</c:f>
              <c:strCache>
                <c:ptCount val="1"/>
                <c:pt idx="0">
                  <c:v>Customer</c:v>
                </c:pt>
              </c:strCache>
            </c:strRef>
          </c:tx>
          <c:spPr>
            <a:solidFill>
              <a:srgbClr val="f28c2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 Trend'!$A$6:$A$12</c:f>
              <c:strCache>
                <c:ptCount val="7"/>
                <c:pt idx="0">
                  <c:v>Apr-26</c:v>
                </c:pt>
                <c:pt idx="1">
                  <c:v>May-26</c:v>
                </c:pt>
                <c:pt idx="2">
                  <c:v>Jun-26</c:v>
                </c:pt>
                <c:pt idx="3">
                  <c:v>Jul-26</c:v>
                </c:pt>
                <c:pt idx="4">
                  <c:v>Aug-26</c:v>
                </c:pt>
                <c:pt idx="5">
                  <c:v>Sep-26</c:v>
                </c:pt>
                <c:pt idx="6">
                  <c:v>Oct-26</c:v>
                </c:pt>
              </c:strCache>
            </c:strRef>
          </c:cat>
          <c:val>
            <c:numRef>
              <c:f>'Monthly Trend'!$E$6:$E$12</c:f>
              <c:numCache>
                <c:formatCode>General</c:formatCode>
                <c:ptCount val="7"/>
                <c:pt idx="0">
                  <c:v>25</c:v>
                </c:pt>
                <c:pt idx="1">
                  <c:v>33</c:v>
                </c:pt>
                <c:pt idx="2">
                  <c:v>23</c:v>
                </c:pt>
                <c:pt idx="3">
                  <c:v>27</c:v>
                </c:pt>
                <c:pt idx="4">
                  <c:v>46</c:v>
                </c:pt>
                <c:pt idx="5">
                  <c:v>27</c:v>
                </c:pt>
                <c:pt idx="6">
                  <c:v>23</c:v>
                </c:pt>
              </c:numCache>
            </c:numRef>
          </c:val>
        </c:ser>
        <c:ser>
          <c:idx val="2"/>
          <c:order val="2"/>
          <c:tx>
            <c:strRef>
              <c:f>'Monthly Trend'!F5</c:f>
              <c:strCache>
                <c:ptCount val="1"/>
                <c:pt idx="0">
                  <c:v>Comcast</c:v>
                </c:pt>
              </c:strCache>
            </c:strRef>
          </c:tx>
          <c:spPr>
            <a:solidFill>
              <a:srgbClr val="5c7aea"/>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 Trend'!$A$6:$A$12</c:f>
              <c:strCache>
                <c:ptCount val="7"/>
                <c:pt idx="0">
                  <c:v>Apr-26</c:v>
                </c:pt>
                <c:pt idx="1">
                  <c:v>May-26</c:v>
                </c:pt>
                <c:pt idx="2">
                  <c:v>Jun-26</c:v>
                </c:pt>
                <c:pt idx="3">
                  <c:v>Jul-26</c:v>
                </c:pt>
                <c:pt idx="4">
                  <c:v>Aug-26</c:v>
                </c:pt>
                <c:pt idx="5">
                  <c:v>Sep-26</c:v>
                </c:pt>
                <c:pt idx="6">
                  <c:v>Oct-26</c:v>
                </c:pt>
              </c:strCache>
            </c:strRef>
          </c:cat>
          <c:val>
            <c:numRef>
              <c:f>'Monthly Trend'!$F$6:$F$12</c:f>
              <c:numCache>
                <c:formatCode>General</c:formatCode>
                <c:ptCount val="7"/>
                <c:pt idx="0">
                  <c:v>47</c:v>
                </c:pt>
                <c:pt idx="1">
                  <c:v>58</c:v>
                </c:pt>
                <c:pt idx="2">
                  <c:v>51</c:v>
                </c:pt>
                <c:pt idx="3">
                  <c:v>50</c:v>
                </c:pt>
                <c:pt idx="4">
                  <c:v>99</c:v>
                </c:pt>
                <c:pt idx="5">
                  <c:v>27</c:v>
                </c:pt>
                <c:pt idx="6">
                  <c:v>69</c:v>
                </c:pt>
              </c:numCache>
            </c:numRef>
          </c:val>
        </c:ser>
        <c:ser>
          <c:idx val="3"/>
          <c:order val="3"/>
          <c:tx>
            <c:strRef>
              <c:f>'Monthly Trend'!G5</c:f>
              <c:strCache>
                <c:ptCount val="1"/>
                <c:pt idx="0">
                  <c:v>No Audio</c:v>
                </c:pt>
              </c:strCache>
            </c:strRef>
          </c:tx>
          <c:spPr>
            <a:solidFill>
              <a:srgbClr val="8d99a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 Trend'!$A$6:$A$12</c:f>
              <c:strCache>
                <c:ptCount val="7"/>
                <c:pt idx="0">
                  <c:v>Apr-26</c:v>
                </c:pt>
                <c:pt idx="1">
                  <c:v>May-26</c:v>
                </c:pt>
                <c:pt idx="2">
                  <c:v>Jun-26</c:v>
                </c:pt>
                <c:pt idx="3">
                  <c:v>Jul-26</c:v>
                </c:pt>
                <c:pt idx="4">
                  <c:v>Aug-26</c:v>
                </c:pt>
                <c:pt idx="5">
                  <c:v>Sep-26</c:v>
                </c:pt>
                <c:pt idx="6">
                  <c:v>Oct-26</c:v>
                </c:pt>
              </c:strCache>
            </c:strRef>
          </c:cat>
          <c:val>
            <c:numRef>
              <c:f>'Monthly Trend'!$G$6:$G$12</c:f>
              <c:numCache>
                <c:formatCode>General</c:formatCode>
                <c:ptCount val="7"/>
                <c:pt idx="0">
                  <c:v>26</c:v>
                </c:pt>
                <c:pt idx="1">
                  <c:v>20</c:v>
                </c:pt>
                <c:pt idx="2">
                  <c:v>32</c:v>
                </c:pt>
                <c:pt idx="3">
                  <c:v>38</c:v>
                </c:pt>
                <c:pt idx="4">
                  <c:v>36</c:v>
                </c:pt>
                <c:pt idx="5">
                  <c:v>19</c:v>
                </c:pt>
                <c:pt idx="6">
                  <c:v>16</c:v>
                </c:pt>
              </c:numCache>
            </c:numRef>
          </c:val>
        </c:ser>
        <c:ser>
          <c:idx val="4"/>
          <c:order val="4"/>
          <c:tx>
            <c:strRef>
              <c:f>'Monthly Trend'!H5</c:f>
              <c:strCache>
                <c:ptCount val="1"/>
                <c:pt idx="0">
                  <c:v>VXI</c:v>
                </c:pt>
              </c:strCache>
            </c:strRef>
          </c:tx>
          <c:spPr>
            <a:solidFill>
              <a:srgbClr val="2ec4b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'Monthly Trend'!$A$6:$A$12</c:f>
              <c:strCache>
                <c:ptCount val="7"/>
                <c:pt idx="0">
                  <c:v>Apr-26</c:v>
                </c:pt>
                <c:pt idx="1">
                  <c:v>May-26</c:v>
                </c:pt>
                <c:pt idx="2">
                  <c:v>Jun-26</c:v>
                </c:pt>
                <c:pt idx="3">
                  <c:v>Jul-26</c:v>
                </c:pt>
                <c:pt idx="4">
                  <c:v>Aug-26</c:v>
                </c:pt>
                <c:pt idx="5">
                  <c:v>Sep-26</c:v>
                </c:pt>
                <c:pt idx="6">
                  <c:v>Oct-26</c:v>
                </c:pt>
              </c:strCache>
            </c:strRef>
          </c:cat>
          <c:val>
            <c:numRef>
              <c:f>'Monthly Trend'!$H$6:$H$12</c:f>
              <c:numCache>
                <c:formatCode>General</c:formatCode>
                <c:ptCount val="7"/>
                <c:pt idx="0">
                  <c:v>2</c:v>
                </c:pt>
                <c:pt idx="1">
                  <c:v>11</c:v>
                </c:pt>
                <c:pt idx="2">
                  <c:v>5</c:v>
                </c:pt>
                <c:pt idx="3">
                  <c:v>7</c:v>
                </c:pt>
                <c:pt idx="4">
                  <c:v>5</c:v>
                </c:pt>
                <c:pt idx="5">
                  <c:v>1</c:v>
                </c:pt>
                <c:pt idx="6">
                  <c:v>2</c:v>
                </c:pt>
              </c:numCache>
            </c:numRef>
          </c:val>
        </c:ser>
        <c:gapWidth val="150"/>
        <c:overlap val="100"/>
        <c:axId val="15927422"/>
        <c:axId val="80830542"/>
      </c:barChart>
      <c:catAx>
        <c:axId val="15927422"/>
        <c:scaling>
          <c:orientation val="minMax"/>
        </c:scaling>
        <c:delete val="0"/>
        <c:axPos val="b"/>
        <c:numFmt formatCode="mmm\-yy"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830542"/>
        <c:crosses val="autoZero"/>
        <c:auto val="1"/>
        <c:lblAlgn val="ctr"/>
        <c:lblOffset val="100"/>
        <c:noMultiLvlLbl val="0"/>
      </c:catAx>
      <c:valAx>
        <c:axId val="80830542"/>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92742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Agent Opportunity — Tier 2 drivers</a:t>
            </a:r>
          </a:p>
        </c:rich>
      </c:tx>
      <c:overlay val="0"/>
      <c:spPr>
        <a:noFill/>
        <a:ln w="0">
          <a:noFill/>
        </a:ln>
      </c:spPr>
    </c:title>
    <c:autoTitleDeleted val="0"/>
    <c:plotArea>
      <c:barChart>
        <c:barDir val="bar"/>
        <c:grouping val="clustered"/>
        <c:varyColors val="0"/>
        <c:ser>
          <c:idx val="0"/>
          <c:order val="0"/>
          <c:spPr>
            <a:solidFill>
              <a:srgbClr val="f28c2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'RCA Drivers'!$A$16:$A$29</c:f>
              <c:strCache>
                <c:ptCount val="14"/>
                <c:pt idx="0">
                  <c:v>Call Handling</c:v>
                </c:pt>
                <c:pt idx="1">
                  <c:v>Communication / Soft Skills</c:v>
                </c:pt>
                <c:pt idx="2">
                  <c:v>Knowledge Gap</c:v>
                </c:pt>
                <c:pt idx="3">
                  <c:v>Excessive Hold/Mute</c:v>
                </c:pt>
                <c:pt idx="4">
                  <c:v>Incorrect/ Incomplete Resolution</c:v>
                </c:pt>
                <c:pt idx="5">
                  <c:v>Ownership</c:v>
                </c:pt>
                <c:pt idx="6">
                  <c:v>Tone - Pace</c:v>
                </c:pt>
                <c:pt idx="7">
                  <c:v>Wrong ITG</c:v>
                </c:pt>
                <c:pt idx="8">
                  <c:v>Incorrect/Incomplete ITG</c:v>
                </c:pt>
                <c:pt idx="9">
                  <c:v>Customer Education - Setting Expectations</c:v>
                </c:pt>
                <c:pt idx="10">
                  <c:v>Did not ask discovery questions</c:v>
                </c:pt>
                <c:pt idx="11">
                  <c:v>Missing ITG</c:v>
                </c:pt>
                <c:pt idx="12">
                  <c:v>Language Proficiency</c:v>
                </c:pt>
                <c:pt idx="13">
                  <c:v>Tools Navigation/Utilization</c:v>
                </c:pt>
              </c:strCache>
            </c:strRef>
          </c:cat>
          <c:val>
            <c:numRef>
              <c:f>'RCA Drivers'!$B$16:$B$29</c:f>
              <c:numCache>
                <c:formatCode>General</c:formatCode>
                <c:ptCount val="14"/>
                <c:pt idx="0">
                  <c:v>596</c:v>
                </c:pt>
                <c:pt idx="1">
                  <c:v>353</c:v>
                </c:pt>
                <c:pt idx="2">
                  <c:v>106</c:v>
                </c:pt>
                <c:pt idx="3">
                  <c:v>99</c:v>
                </c:pt>
                <c:pt idx="4">
                  <c:v>92</c:v>
                </c:pt>
                <c:pt idx="5">
                  <c:v>72</c:v>
                </c:pt>
                <c:pt idx="6">
                  <c:v>31</c:v>
                </c:pt>
                <c:pt idx="7">
                  <c:v>28</c:v>
                </c:pt>
                <c:pt idx="8">
                  <c:v>28</c:v>
                </c:pt>
                <c:pt idx="9">
                  <c:v>25</c:v>
                </c:pt>
                <c:pt idx="10">
                  <c:v>13</c:v>
                </c:pt>
                <c:pt idx="11">
                  <c:v>8</c:v>
                </c:pt>
                <c:pt idx="12">
                  <c:v>5</c:v>
                </c:pt>
                <c:pt idx="13">
                  <c:v>2</c:v>
                </c:pt>
              </c:numCache>
            </c:numRef>
          </c:val>
        </c:ser>
        <c:gapWidth val="150"/>
        <c:overlap val="0"/>
        <c:axId val="60600772"/>
        <c:axId val="54829100"/>
      </c:barChart>
      <c:catAx>
        <c:axId val="60600772"/>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829100"/>
        <c:crosses val="autoZero"/>
        <c:auto val="1"/>
        <c:lblAlgn val="ctr"/>
        <c:lblOffset val="100"/>
        <c:noMultiLvlLbl val="0"/>
      </c:catAx>
      <c:valAx>
        <c:axId val="54829100"/>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60077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_rels/drawing3.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0</xdr:colOff>
      <xdr:row>4</xdr:row>
      <xdr:rowOff>0</xdr:rowOff>
    </xdr:from>
    <xdr:to>
      <xdr:col>27</xdr:col>
      <xdr:colOff>581400</xdr:colOff>
      <xdr:row>18</xdr:row>
      <xdr:rowOff>100080</xdr:rowOff>
    </xdr:to>
    <xdr:graphicFrame>
      <xdr:nvGraphicFramePr>
        <xdr:cNvPr id="0" name="Chart 1"/>
        <xdr:cNvGraphicFramePr/>
      </xdr:nvGraphicFramePr>
      <xdr:xfrm>
        <a:off x="11254680" y="809640"/>
        <a:ext cx="79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0</xdr:colOff>
      <xdr:row>21</xdr:row>
      <xdr:rowOff>78120</xdr:rowOff>
    </xdr:from>
    <xdr:to>
      <xdr:col>27</xdr:col>
      <xdr:colOff>581400</xdr:colOff>
      <xdr:row>36</xdr:row>
      <xdr:rowOff>100080</xdr:rowOff>
    </xdr:to>
    <xdr:graphicFrame>
      <xdr:nvGraphicFramePr>
        <xdr:cNvPr id="1" name="Chart 2"/>
        <xdr:cNvGraphicFramePr/>
      </xdr:nvGraphicFramePr>
      <xdr:xfrm>
        <a:off x="11254680" y="4238640"/>
        <a:ext cx="79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14</xdr:row>
      <xdr:rowOff>78120</xdr:rowOff>
    </xdr:from>
    <xdr:to>
      <xdr:col>10</xdr:col>
      <xdr:colOff>10080</xdr:colOff>
      <xdr:row>29</xdr:row>
      <xdr:rowOff>100440</xdr:rowOff>
    </xdr:to>
    <xdr:graphicFrame>
      <xdr:nvGraphicFramePr>
        <xdr:cNvPr id="2" name="Chart 1"/>
        <xdr:cNvGraphicFramePr/>
      </xdr:nvGraphicFramePr>
      <xdr:xfrm>
        <a:off x="0" y="2905200"/>
        <a:ext cx="71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13</xdr:row>
      <xdr:rowOff>0</xdr:rowOff>
    </xdr:from>
    <xdr:to>
      <xdr:col>17</xdr:col>
      <xdr:colOff>364680</xdr:colOff>
      <xdr:row>29</xdr:row>
      <xdr:rowOff>79200</xdr:rowOff>
    </xdr:to>
    <xdr:graphicFrame>
      <xdr:nvGraphicFramePr>
        <xdr:cNvPr id="3" name="Chart 1"/>
        <xdr:cNvGraphicFramePr/>
      </xdr:nvGraphicFramePr>
      <xdr:xfrm>
        <a:off x="7589520" y="252396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8C28"/>
    <pageSetUpPr fitToPage="false"/>
  </sheetPr>
  <dimension ref="A1:N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4" min="1" style="0" width="11"/>
  </cols>
  <sheetData>
    <row r="1" customFormat="false" ht="30" hidden="false" customHeight="true" outlineLevel="0" collapsed="false">
      <c r="A1" s="1" t="s">
        <v>0</v>
      </c>
      <c r="B1" s="2"/>
      <c r="C1" s="2"/>
      <c r="D1" s="2"/>
      <c r="E1" s="2"/>
      <c r="F1" s="2"/>
      <c r="G1" s="2"/>
      <c r="H1" s="2"/>
      <c r="I1" s="2"/>
      <c r="J1" s="2"/>
      <c r="K1" s="2"/>
      <c r="L1" s="2"/>
      <c r="M1" s="2"/>
      <c r="N1" s="2"/>
    </row>
    <row r="2" customFormat="false" ht="15" hidden="false" customHeight="false" outlineLevel="0" collapsed="false">
      <c r="A2" s="3" t="s">
        <v>1</v>
      </c>
      <c r="B2" s="2"/>
      <c r="C2" s="2"/>
      <c r="D2" s="2"/>
      <c r="E2" s="2"/>
      <c r="F2" s="2"/>
      <c r="G2" s="2"/>
      <c r="H2" s="2"/>
      <c r="I2" s="2"/>
      <c r="J2" s="2"/>
      <c r="K2" s="2"/>
      <c r="L2" s="2"/>
      <c r="M2" s="2"/>
      <c r="N2" s="2"/>
    </row>
    <row r="3" customFormat="false" ht="3.75" hidden="false" customHeight="true" outlineLevel="0" collapsed="false">
      <c r="A3" s="4"/>
      <c r="B3" s="4"/>
      <c r="C3" s="4"/>
      <c r="D3" s="4"/>
      <c r="E3" s="4"/>
      <c r="F3" s="4"/>
      <c r="G3" s="4"/>
      <c r="H3" s="4"/>
      <c r="I3" s="4"/>
      <c r="J3" s="4"/>
      <c r="K3" s="4"/>
      <c r="L3" s="4"/>
      <c r="M3" s="4"/>
      <c r="N3" s="4"/>
    </row>
    <row r="5" customFormat="false" ht="15" hidden="false" customHeight="false" outlineLevel="0" collapsed="false">
      <c r="A5" s="5" t="s">
        <v>2</v>
      </c>
      <c r="B5" s="5"/>
      <c r="C5" s="5" t="s">
        <v>3</v>
      </c>
      <c r="D5" s="5"/>
      <c r="E5" s="5" t="s">
        <v>4</v>
      </c>
      <c r="F5" s="5"/>
      <c r="G5" s="5" t="s">
        <v>5</v>
      </c>
      <c r="H5" s="5"/>
      <c r="I5" s="5" t="s">
        <v>6</v>
      </c>
      <c r="J5" s="5"/>
      <c r="K5" s="5" t="s">
        <v>7</v>
      </c>
      <c r="L5" s="5"/>
      <c r="M5" s="5" t="s">
        <v>8</v>
      </c>
      <c r="N5" s="5"/>
    </row>
    <row r="6" customFormat="false" ht="36" hidden="false" customHeight="true" outlineLevel="0" collapsed="false">
      <c r="A6" s="6" t="n">
        <f aca="false">COUNTA(Data!$D$2:$D$2284)</f>
        <v>2283</v>
      </c>
      <c r="B6" s="6"/>
      <c r="C6" s="7" t="n">
        <f aca="false">COUNTIFS(Data!$H$2:$H$2284,"Agent Opportunity")/COUNTA(Data!$D$2:$D$2284)</f>
        <v>0.638633377135348</v>
      </c>
      <c r="D6" s="7"/>
      <c r="E6" s="7" t="n">
        <f aca="false">COUNTIFS(Data!$H$2:$H$2284,"Comcast Process/Tools")/COUNTA(Data!$D$2:$D$2284)</f>
        <v>0.175646079719667</v>
      </c>
      <c r="F6" s="7"/>
      <c r="G6" s="7" t="n">
        <f aca="false">COUNTIFS(Data!$H$2:$H$2284,"No Audio Found on I3")/COUNTA(Data!$D$2:$D$2284)</f>
        <v>0.0819097678493211</v>
      </c>
      <c r="H6" s="7"/>
      <c r="I6" s="6" t="n">
        <f aca="false">COUNTIFS(Data!$L$2:$L$2284,"Y")</f>
        <v>260</v>
      </c>
      <c r="J6" s="6"/>
      <c r="K6" s="6" t="n">
        <f aca="false">COUNTIFS(Data!$B$2:$B$2284,DATE(2026,10,7))</f>
        <v>110</v>
      </c>
      <c r="L6" s="6"/>
      <c r="M6" s="8" t="n">
        <f aca="false">'Day over Day'!K6</f>
        <v>26</v>
      </c>
      <c r="N6" s="8"/>
    </row>
    <row r="8" customFormat="false" ht="15" hidden="false" customHeight="false" outlineLevel="0" collapsed="false">
      <c r="A8" s="9" t="s">
        <v>9</v>
      </c>
      <c r="B8" s="10"/>
      <c r="C8" s="10"/>
      <c r="D8" s="10"/>
      <c r="E8" s="10"/>
      <c r="F8" s="10"/>
      <c r="G8" s="10"/>
      <c r="H8" s="10"/>
      <c r="I8" s="10"/>
      <c r="J8" s="10"/>
    </row>
    <row r="9" customFormat="false" ht="27.75" hidden="false" customHeight="true" outlineLevel="0" collapsed="false">
      <c r="A9" s="11" t="s">
        <v>10</v>
      </c>
      <c r="B9" s="11"/>
      <c r="C9" s="11"/>
      <c r="D9" s="11"/>
      <c r="E9" s="11"/>
      <c r="F9" s="11"/>
      <c r="G9" s="11"/>
      <c r="H9" s="11"/>
      <c r="I9" s="11"/>
      <c r="J9" s="11"/>
      <c r="K9" s="11"/>
      <c r="L9" s="11"/>
      <c r="M9" s="11"/>
      <c r="N9" s="11"/>
    </row>
    <row r="10" customFormat="false" ht="27.75" hidden="false" customHeight="true" outlineLevel="0" collapsed="false">
      <c r="A10" s="11" t="s">
        <v>11</v>
      </c>
      <c r="B10" s="11"/>
      <c r="C10" s="11"/>
      <c r="D10" s="11"/>
      <c r="E10" s="11"/>
      <c r="F10" s="11"/>
      <c r="G10" s="11"/>
      <c r="H10" s="11"/>
      <c r="I10" s="11"/>
      <c r="J10" s="11"/>
      <c r="K10" s="11"/>
      <c r="L10" s="11"/>
      <c r="M10" s="11"/>
      <c r="N10" s="11"/>
    </row>
    <row r="11" customFormat="false" ht="27.75" hidden="false" customHeight="true" outlineLevel="0" collapsed="false">
      <c r="A11" s="11" t="s">
        <v>12</v>
      </c>
      <c r="B11" s="11"/>
      <c r="C11" s="11"/>
      <c r="D11" s="11"/>
      <c r="E11" s="11"/>
      <c r="F11" s="11"/>
      <c r="G11" s="11"/>
      <c r="H11" s="11"/>
      <c r="I11" s="11"/>
      <c r="J11" s="11"/>
      <c r="K11" s="11"/>
      <c r="L11" s="11"/>
      <c r="M11" s="11"/>
      <c r="N11" s="11"/>
    </row>
    <row r="12" customFormat="false" ht="27.75" hidden="false" customHeight="true" outlineLevel="0" collapsed="false">
      <c r="A12" s="11" t="s">
        <v>13</v>
      </c>
      <c r="B12" s="11"/>
      <c r="C12" s="11"/>
      <c r="D12" s="11"/>
      <c r="E12" s="11"/>
      <c r="F12" s="11"/>
      <c r="G12" s="11"/>
      <c r="H12" s="11"/>
      <c r="I12" s="11"/>
      <c r="J12" s="11"/>
      <c r="K12" s="11"/>
      <c r="L12" s="11"/>
      <c r="M12" s="11"/>
      <c r="N12" s="11"/>
    </row>
    <row r="13" customFormat="false" ht="27.75" hidden="false" customHeight="true" outlineLevel="0" collapsed="false">
      <c r="A13" s="11" t="s">
        <v>14</v>
      </c>
      <c r="B13" s="11"/>
      <c r="C13" s="11"/>
      <c r="D13" s="11"/>
      <c r="E13" s="11"/>
      <c r="F13" s="11"/>
      <c r="G13" s="11"/>
      <c r="H13" s="11"/>
      <c r="I13" s="11"/>
      <c r="J13" s="11"/>
      <c r="K13" s="11"/>
      <c r="L13" s="11"/>
      <c r="M13" s="11"/>
      <c r="N13" s="11"/>
    </row>
    <row r="14" customFormat="false" ht="27.75" hidden="false" customHeight="true" outlineLevel="0" collapsed="false">
      <c r="A14" s="11" t="s">
        <v>15</v>
      </c>
      <c r="B14" s="11"/>
      <c r="C14" s="11"/>
      <c r="D14" s="11"/>
      <c r="E14" s="11"/>
      <c r="F14" s="11"/>
      <c r="G14" s="11"/>
      <c r="H14" s="11"/>
      <c r="I14" s="11"/>
      <c r="J14" s="11"/>
      <c r="K14" s="11"/>
      <c r="L14" s="11"/>
      <c r="M14" s="11"/>
      <c r="N14" s="11"/>
    </row>
    <row r="15" customFormat="false" ht="27.75" hidden="false" customHeight="true" outlineLevel="0" collapsed="false">
      <c r="A15" s="11" t="s">
        <v>16</v>
      </c>
      <c r="B15" s="11"/>
      <c r="C15" s="11"/>
      <c r="D15" s="11"/>
      <c r="E15" s="11"/>
      <c r="F15" s="11"/>
      <c r="G15" s="11"/>
      <c r="H15" s="11"/>
      <c r="I15" s="11"/>
      <c r="J15" s="11"/>
      <c r="K15" s="11"/>
      <c r="L15" s="11"/>
      <c r="M15" s="11"/>
      <c r="N15" s="11"/>
    </row>
    <row r="16" customFormat="false" ht="27.75" hidden="false" customHeight="true" outlineLevel="0" collapsed="false">
      <c r="A16" s="11" t="s">
        <v>17</v>
      </c>
      <c r="B16" s="11"/>
      <c r="C16" s="11"/>
      <c r="D16" s="11"/>
      <c r="E16" s="11"/>
      <c r="F16" s="11"/>
      <c r="G16" s="11"/>
      <c r="H16" s="11"/>
      <c r="I16" s="11"/>
      <c r="J16" s="11"/>
      <c r="K16" s="11"/>
      <c r="L16" s="11"/>
      <c r="M16" s="11"/>
      <c r="N16" s="11"/>
    </row>
    <row r="18" customFormat="false" ht="15" hidden="false" customHeight="false" outlineLevel="0" collapsed="false">
      <c r="A18" s="9" t="s">
        <v>18</v>
      </c>
      <c r="B18" s="10"/>
      <c r="C18" s="10"/>
      <c r="D18" s="10"/>
      <c r="E18" s="10"/>
      <c r="F18" s="10"/>
      <c r="G18" s="10"/>
      <c r="H18" s="10"/>
      <c r="I18" s="10"/>
      <c r="J18" s="10"/>
    </row>
    <row r="19" customFormat="false" ht="27.75" hidden="false" customHeight="true" outlineLevel="0" collapsed="false">
      <c r="A19" s="11" t="s">
        <v>19</v>
      </c>
      <c r="B19" s="11"/>
      <c r="C19" s="11"/>
      <c r="D19" s="11"/>
      <c r="E19" s="11"/>
      <c r="F19" s="11"/>
      <c r="G19" s="11"/>
      <c r="H19" s="11"/>
      <c r="I19" s="11"/>
      <c r="J19" s="11"/>
      <c r="K19" s="11"/>
      <c r="L19" s="11"/>
      <c r="M19" s="11"/>
      <c r="N19" s="11"/>
    </row>
    <row r="20" customFormat="false" ht="27.75" hidden="false" customHeight="true" outlineLevel="0" collapsed="false">
      <c r="A20" s="11" t="s">
        <v>20</v>
      </c>
      <c r="B20" s="11"/>
      <c r="C20" s="11"/>
      <c r="D20" s="11"/>
      <c r="E20" s="11"/>
      <c r="F20" s="11"/>
      <c r="G20" s="11"/>
      <c r="H20" s="11"/>
      <c r="I20" s="11"/>
      <c r="J20" s="11"/>
      <c r="K20" s="11"/>
      <c r="L20" s="11"/>
      <c r="M20" s="11"/>
      <c r="N20" s="11"/>
    </row>
    <row r="21" customFormat="false" ht="27.75" hidden="false" customHeight="true" outlineLevel="0" collapsed="false">
      <c r="A21" s="11" t="s">
        <v>21</v>
      </c>
      <c r="B21" s="11"/>
      <c r="C21" s="11"/>
      <c r="D21" s="11"/>
      <c r="E21" s="11"/>
      <c r="F21" s="11"/>
      <c r="G21" s="11"/>
      <c r="H21" s="11"/>
      <c r="I21" s="11"/>
      <c r="J21" s="11"/>
      <c r="K21" s="11"/>
      <c r="L21" s="11"/>
      <c r="M21" s="11"/>
      <c r="N21" s="11"/>
    </row>
    <row r="22" customFormat="false" ht="27.75" hidden="false" customHeight="true" outlineLevel="0" collapsed="false">
      <c r="A22" s="11" t="s">
        <v>22</v>
      </c>
      <c r="B22" s="11"/>
      <c r="C22" s="11"/>
      <c r="D22" s="11"/>
      <c r="E22" s="11"/>
      <c r="F22" s="11"/>
      <c r="G22" s="11"/>
      <c r="H22" s="11"/>
      <c r="I22" s="11"/>
      <c r="J22" s="11"/>
      <c r="K22" s="11"/>
      <c r="L22" s="11"/>
      <c r="M22" s="11"/>
      <c r="N22" s="11"/>
    </row>
    <row r="24" customFormat="false" ht="15" hidden="false" customHeight="false" outlineLevel="0" collapsed="false">
      <c r="A24" s="9" t="s">
        <v>23</v>
      </c>
      <c r="B24" s="10"/>
      <c r="C24" s="10"/>
      <c r="D24" s="10"/>
      <c r="E24" s="10"/>
      <c r="F24" s="10"/>
      <c r="G24" s="10"/>
      <c r="H24" s="10"/>
      <c r="I24" s="10"/>
      <c r="J24" s="10"/>
    </row>
    <row r="25" customFormat="false" ht="19.5" hidden="false" customHeight="true" outlineLevel="0" collapsed="false">
      <c r="A25" s="11" t="s">
        <v>24</v>
      </c>
      <c r="B25" s="11"/>
      <c r="C25" s="11"/>
      <c r="D25" s="11"/>
      <c r="E25" s="11"/>
      <c r="F25" s="11"/>
      <c r="G25" s="11"/>
      <c r="H25" s="11"/>
      <c r="I25" s="11"/>
      <c r="J25" s="11"/>
      <c r="K25" s="11"/>
      <c r="L25" s="11"/>
      <c r="M25" s="11"/>
      <c r="N25" s="11"/>
    </row>
    <row r="26" customFormat="false" ht="19.5" hidden="false" customHeight="true" outlineLevel="0" collapsed="false">
      <c r="A26" s="11" t="s">
        <v>25</v>
      </c>
      <c r="B26" s="11"/>
      <c r="C26" s="11"/>
      <c r="D26" s="11"/>
      <c r="E26" s="11"/>
      <c r="F26" s="11"/>
      <c r="G26" s="11"/>
      <c r="H26" s="11"/>
      <c r="I26" s="11"/>
      <c r="J26" s="11"/>
      <c r="K26" s="11"/>
      <c r="L26" s="11"/>
      <c r="M26" s="11"/>
      <c r="N26" s="11"/>
    </row>
    <row r="27" customFormat="false" ht="19.5" hidden="false" customHeight="true" outlineLevel="0" collapsed="false">
      <c r="A27" s="11" t="s">
        <v>26</v>
      </c>
      <c r="B27" s="11"/>
      <c r="C27" s="11"/>
      <c r="D27" s="11"/>
      <c r="E27" s="11"/>
      <c r="F27" s="11"/>
      <c r="G27" s="11"/>
      <c r="H27" s="11"/>
      <c r="I27" s="11"/>
      <c r="J27" s="11"/>
      <c r="K27" s="11"/>
      <c r="L27" s="11"/>
      <c r="M27" s="11"/>
      <c r="N27" s="11"/>
    </row>
    <row r="28" customFormat="false" ht="19.5" hidden="false" customHeight="true" outlineLevel="0" collapsed="false">
      <c r="A28" s="11" t="s">
        <v>27</v>
      </c>
      <c r="B28" s="11"/>
      <c r="C28" s="11"/>
      <c r="D28" s="11"/>
      <c r="E28" s="11"/>
      <c r="F28" s="11"/>
      <c r="G28" s="11"/>
      <c r="H28" s="11"/>
      <c r="I28" s="11"/>
      <c r="J28" s="11"/>
      <c r="K28" s="11"/>
      <c r="L28" s="11"/>
      <c r="M28" s="11"/>
      <c r="N28" s="11"/>
    </row>
    <row r="29" customFormat="false" ht="19.5" hidden="false" customHeight="true" outlineLevel="0" collapsed="false">
      <c r="A29" s="11" t="s">
        <v>28</v>
      </c>
      <c r="B29" s="11"/>
      <c r="C29" s="11"/>
      <c r="D29" s="11"/>
      <c r="E29" s="11"/>
      <c r="F29" s="11"/>
      <c r="G29" s="11"/>
      <c r="H29" s="11"/>
      <c r="I29" s="11"/>
      <c r="J29" s="11"/>
      <c r="K29" s="11"/>
      <c r="L29" s="11"/>
      <c r="M29" s="11"/>
      <c r="N29" s="11"/>
    </row>
    <row r="30" customFormat="false" ht="19.5" hidden="false" customHeight="true" outlineLevel="0" collapsed="false">
      <c r="A30" s="11" t="s">
        <v>29</v>
      </c>
      <c r="B30" s="11"/>
      <c r="C30" s="11"/>
      <c r="D30" s="11"/>
      <c r="E30" s="11"/>
      <c r="F30" s="11"/>
      <c r="G30" s="11"/>
      <c r="H30" s="11"/>
      <c r="I30" s="11"/>
      <c r="J30" s="11"/>
      <c r="K30" s="11"/>
      <c r="L30" s="11"/>
      <c r="M30" s="11"/>
      <c r="N30" s="11"/>
    </row>
    <row r="32" customFormat="false" ht="15" hidden="false" customHeight="false" outlineLevel="0" collapsed="false">
      <c r="A32" s="12" t="s">
        <v>30</v>
      </c>
    </row>
  </sheetData>
  <mergeCells count="32">
    <mergeCell ref="A5:B5"/>
    <mergeCell ref="C5:D5"/>
    <mergeCell ref="E5:F5"/>
    <mergeCell ref="G5:H5"/>
    <mergeCell ref="I5:J5"/>
    <mergeCell ref="K5:L5"/>
    <mergeCell ref="M5:N5"/>
    <mergeCell ref="A6:B6"/>
    <mergeCell ref="C6:D6"/>
    <mergeCell ref="E6:F6"/>
    <mergeCell ref="G6:H6"/>
    <mergeCell ref="I6:J6"/>
    <mergeCell ref="K6:L6"/>
    <mergeCell ref="M6:N6"/>
    <mergeCell ref="A9:N9"/>
    <mergeCell ref="A10:N10"/>
    <mergeCell ref="A11:N11"/>
    <mergeCell ref="A12:N12"/>
    <mergeCell ref="A13:N13"/>
    <mergeCell ref="A14:N14"/>
    <mergeCell ref="A15:N15"/>
    <mergeCell ref="A16:N16"/>
    <mergeCell ref="A19:N19"/>
    <mergeCell ref="A20:N20"/>
    <mergeCell ref="A21:N21"/>
    <mergeCell ref="A22:N22"/>
    <mergeCell ref="A25:N25"/>
    <mergeCell ref="A26:N26"/>
    <mergeCell ref="A27:N27"/>
    <mergeCell ref="A28:N28"/>
    <mergeCell ref="A29:N29"/>
    <mergeCell ref="A30:N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8C28"/>
    <pageSetUpPr fitToPage="false"/>
  </sheetPr>
  <dimension ref="A1:N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12"/>
    <col collapsed="false" customWidth="true" hidden="false" outlineLevel="0" max="4" min="4" style="0" width="70"/>
    <col collapsed="false" customWidth="true" hidden="false" outlineLevel="0" max="5" min="5" style="0" width="40"/>
  </cols>
  <sheetData>
    <row r="1" customFormat="false" ht="30" hidden="false" customHeight="true" outlineLevel="0" collapsed="false">
      <c r="A1" s="1" t="s">
        <v>31</v>
      </c>
      <c r="B1" s="2"/>
      <c r="C1" s="2"/>
      <c r="D1" s="2"/>
      <c r="E1" s="2"/>
      <c r="F1" s="2"/>
      <c r="G1" s="2"/>
      <c r="H1" s="2"/>
      <c r="I1" s="2"/>
      <c r="J1" s="2"/>
      <c r="K1" s="2"/>
      <c r="L1" s="2"/>
      <c r="M1" s="2"/>
      <c r="N1" s="2"/>
    </row>
    <row r="2" customFormat="false" ht="15" hidden="false" customHeight="false" outlineLevel="0" collapsed="false">
      <c r="A2" s="3" t="s">
        <v>32</v>
      </c>
      <c r="B2" s="2"/>
      <c r="C2" s="2"/>
      <c r="D2" s="2"/>
      <c r="E2" s="2"/>
      <c r="F2" s="2"/>
      <c r="G2" s="2"/>
      <c r="H2" s="2"/>
      <c r="I2" s="2"/>
      <c r="J2" s="2"/>
      <c r="K2" s="2"/>
      <c r="L2" s="2"/>
      <c r="M2" s="2"/>
      <c r="N2" s="2"/>
    </row>
    <row r="3" customFormat="false" ht="3.75" hidden="false" customHeight="true" outlineLevel="0" collapsed="false">
      <c r="A3" s="4"/>
      <c r="B3" s="4"/>
      <c r="C3" s="4"/>
      <c r="D3" s="4"/>
      <c r="E3" s="4"/>
      <c r="F3" s="4"/>
      <c r="G3" s="4"/>
      <c r="H3" s="4"/>
      <c r="I3" s="4"/>
      <c r="J3" s="4"/>
      <c r="K3" s="4"/>
      <c r="L3" s="4"/>
      <c r="M3" s="4"/>
      <c r="N3" s="4"/>
    </row>
    <row r="5" customFormat="false" ht="15" hidden="false" customHeight="false" outlineLevel="0" collapsed="false">
      <c r="A5" s="9" t="s">
        <v>33</v>
      </c>
      <c r="B5" s="10"/>
      <c r="C5" s="10"/>
      <c r="D5" s="10"/>
      <c r="E5" s="10"/>
      <c r="F5" s="10"/>
      <c r="G5" s="10"/>
      <c r="H5" s="10"/>
      <c r="I5" s="10"/>
      <c r="J5" s="10"/>
    </row>
    <row r="6" customFormat="false" ht="15" hidden="false" customHeight="false" outlineLevel="0" collapsed="false">
      <c r="A6" s="13" t="s">
        <v>34</v>
      </c>
      <c r="B6" s="13" t="s">
        <v>35</v>
      </c>
      <c r="C6" s="13" t="s">
        <v>36</v>
      </c>
      <c r="D6" s="13" t="s">
        <v>37</v>
      </c>
      <c r="E6" s="13" t="s">
        <v>38</v>
      </c>
    </row>
    <row r="7" customFormat="false" ht="15" hidden="false" customHeight="false" outlineLevel="0" collapsed="false">
      <c r="A7" s="14" t="s">
        <v>39</v>
      </c>
      <c r="B7" s="14" t="n">
        <f aca="false">COUNTIFS(Data!$D$2:$D$2284,"Omar.Mansour@vxi.com")</f>
        <v>29</v>
      </c>
      <c r="C7" s="14" t="n">
        <f aca="false">COUNTA(Data!$D$2:$D$2284)</f>
        <v>2283</v>
      </c>
      <c r="D7" s="14"/>
      <c r="E7" s="14" t="s">
        <v>40</v>
      </c>
    </row>
    <row r="8" customFormat="false" ht="15" hidden="false" customHeight="false" outlineLevel="0" collapsed="false">
      <c r="A8" s="15" t="s">
        <v>41</v>
      </c>
      <c r="B8" s="16" t="n">
        <f aca="false">COUNTIFS(Data!$D$2:$D$2284,"Omar.Mansour@vxi.com",Data!$H$2:$H$2284,"Agent Opportunity")/B7</f>
        <v>0.379310344827586</v>
      </c>
      <c r="C8" s="16" t="n">
        <f aca="false">COUNTIFS(Data!$H$2:$H$2284,"Agent Opportunity")/C7</f>
        <v>0.638633377135348</v>
      </c>
      <c r="D8" s="17" t="n">
        <f aca="false">(B8-C8)*100</f>
        <v>-25.9323032307762</v>
      </c>
      <c r="E8" s="15" t="s">
        <v>42</v>
      </c>
    </row>
    <row r="9" customFormat="false" ht="15" hidden="false" customHeight="false" outlineLevel="0" collapsed="false">
      <c r="A9" s="14" t="s">
        <v>43</v>
      </c>
      <c r="B9" s="18" t="n">
        <f aca="false">COUNTIFS(Data!$D$2:$D$2284,"Omar.Mansour@vxi.com",Data!$H$2:$H$2284,"Comcast Process/Tools")/B7</f>
        <v>0.344827586206897</v>
      </c>
      <c r="C9" s="18" t="n">
        <f aca="false">COUNTIFS(Data!$H$2:$H$2284,"Comcast Process/Tools")/C7</f>
        <v>0.175646079719667</v>
      </c>
      <c r="D9" s="19" t="n">
        <f aca="false">(B9-C9)*100</f>
        <v>16.9181506487229</v>
      </c>
      <c r="E9" s="14" t="s">
        <v>44</v>
      </c>
    </row>
    <row r="10" customFormat="false" ht="15" hidden="false" customHeight="false" outlineLevel="0" collapsed="false">
      <c r="A10" s="15" t="s">
        <v>45</v>
      </c>
      <c r="B10" s="16" t="n">
        <f aca="false">COUNTIFS(Data!$D$2:$D$2284,"Omar.Mansour@vxi.com",Data!$H$2:$H$2284,"Customer")/B7</f>
        <v>0.137931034482759</v>
      </c>
      <c r="C10" s="16" t="n">
        <f aca="false">COUNTIFS(Data!$H$2:$H$2284,"Customer")/C7</f>
        <v>0.0893561103810775</v>
      </c>
      <c r="D10" s="17" t="n">
        <f aca="false">(B10-C10)*100</f>
        <v>4.85749241016811</v>
      </c>
      <c r="E10" s="15" t="s">
        <v>46</v>
      </c>
    </row>
    <row r="11" customFormat="false" ht="15" hidden="false" customHeight="false" outlineLevel="0" collapsed="false">
      <c r="A11" s="14" t="s">
        <v>5</v>
      </c>
      <c r="B11" s="18" t="n">
        <f aca="false">COUNTIFS(Data!$D$2:$D$2284,"Omar.Mansour@vxi.com",Data!$H$2:$H$2284,"No Audio Found on I3")/B7</f>
        <v>0.137931034482759</v>
      </c>
      <c r="C11" s="18" t="n">
        <f aca="false">COUNTIFS(Data!$H$2:$H$2284,"No Audio Found on I3")/C7</f>
        <v>0.0819097678493211</v>
      </c>
      <c r="D11" s="19" t="n">
        <f aca="false">(B11-C11)*100</f>
        <v>5.60212666334376</v>
      </c>
      <c r="E11" s="14" t="s">
        <v>47</v>
      </c>
    </row>
    <row r="12" customFormat="false" ht="15" hidden="false" customHeight="false" outlineLevel="0" collapsed="false">
      <c r="A12" s="15" t="s">
        <v>48</v>
      </c>
      <c r="B12" s="15" t="n">
        <f aca="false">COUNTIFS(Data!$D$2:$D$2284,"Omar.Mansour@vxi.com",Data!$L$2:$L$2284,"Y")</f>
        <v>4</v>
      </c>
      <c r="C12" s="15" t="n">
        <f aca="false">COUNTIFS(Data!$L$2:$L$2284,"Y")</f>
        <v>260</v>
      </c>
      <c r="D12" s="20" t="n">
        <f aca="false">B12/B7-C12/C7</f>
        <v>0.0240457957617775</v>
      </c>
      <c r="E12" s="15" t="s">
        <v>49</v>
      </c>
    </row>
    <row r="13" customFormat="false" ht="15" hidden="false" customHeight="false" outlineLevel="0" collapsed="false">
      <c r="A13" s="14" t="s">
        <v>50</v>
      </c>
      <c r="B13" s="21" t="n">
        <f aca="false">COUNTIFS(Data!$D$2:$D$2284,"Omar.Mansour@vxi.com",Data!$J$2:$J$2284,"&lt;&gt;")/B7</f>
        <v>0.862068965517241</v>
      </c>
      <c r="C13" s="21" t="n">
        <f aca="false">COUNTIFS(Data!$J$2:$J$2284,"&lt;&gt;")/C7</f>
        <v>0.916338151554972</v>
      </c>
      <c r="D13" s="14"/>
      <c r="E13" s="14" t="s">
        <v>51</v>
      </c>
    </row>
    <row r="15" customFormat="false" ht="15" hidden="false" customHeight="false" outlineLevel="0" collapsed="false">
      <c r="A15" s="9" t="s">
        <v>52</v>
      </c>
      <c r="B15" s="10"/>
      <c r="C15" s="10"/>
      <c r="D15" s="10"/>
      <c r="E15" s="10"/>
      <c r="F15" s="10"/>
      <c r="G15" s="10"/>
      <c r="H15" s="10"/>
      <c r="I15" s="10"/>
      <c r="J15" s="10"/>
    </row>
    <row r="16" customFormat="false" ht="15" hidden="false" customHeight="false" outlineLevel="0" collapsed="false">
      <c r="A16" s="13" t="s">
        <v>53</v>
      </c>
      <c r="B16" s="13" t="s">
        <v>54</v>
      </c>
      <c r="C16" s="13" t="s">
        <v>55</v>
      </c>
      <c r="D16" s="13" t="s">
        <v>56</v>
      </c>
      <c r="E16" s="13" t="s">
        <v>57</v>
      </c>
      <c r="F16" s="13" t="s">
        <v>58</v>
      </c>
      <c r="G16" s="13" t="s">
        <v>59</v>
      </c>
    </row>
    <row r="17" customFormat="false" ht="15" hidden="false" customHeight="false" outlineLevel="0" collapsed="false">
      <c r="A17" s="22" t="n">
        <v>46294</v>
      </c>
      <c r="B17" s="14" t="n">
        <f aca="false">COUNTIFS(Data!$D$2:$D$2284,"Omar.Mansour@vxi.com",Data!$B$2:$B$2284,A17)</f>
        <v>2</v>
      </c>
      <c r="C17" s="14" t="n">
        <f aca="false">COUNTIFS(Data!$D$2:$D$2284,"Omar.Mansour@vxi.com",Data!$B$2:$B$2284,$A17,Data!$H$2:$H$2284,"Agent Opportunity")</f>
        <v>1</v>
      </c>
      <c r="D17" s="14" t="n">
        <f aca="false">COUNTIFS(Data!$D$2:$D$2284,"Omar.Mansour@vxi.com",Data!$B$2:$B$2284,$A17,Data!$H$2:$H$2284,"Comcast Process/Tools")</f>
        <v>0</v>
      </c>
      <c r="E17" s="14" t="n">
        <f aca="false">COUNTIFS(Data!$D$2:$D$2284,"Omar.Mansour@vxi.com",Data!$B$2:$B$2284,$A17,Data!$H$2:$H$2284,"Customer")</f>
        <v>0</v>
      </c>
      <c r="F17" s="14" t="n">
        <f aca="false">COUNTIFS(Data!$D$2:$D$2284,"Omar.Mansour@vxi.com",Data!$B$2:$B$2284,$A17,Data!$H$2:$H$2284,"No Audio Found on I3")</f>
        <v>1</v>
      </c>
      <c r="G17" s="21" t="n">
        <f aca="false">IF(B17=0,0,C17/B17)</f>
        <v>0.5</v>
      </c>
    </row>
    <row r="18" customFormat="false" ht="15" hidden="false" customHeight="false" outlineLevel="0" collapsed="false">
      <c r="A18" s="23" t="n">
        <v>46301</v>
      </c>
      <c r="B18" s="15" t="n">
        <f aca="false">COUNTIFS(Data!$D$2:$D$2284,"Omar.Mansour@vxi.com",Data!$B$2:$B$2284,A18)</f>
        <v>13</v>
      </c>
      <c r="C18" s="15" t="n">
        <f aca="false">COUNTIFS(Data!$D$2:$D$2284,"Omar.Mansour@vxi.com",Data!$B$2:$B$2284,$A18,Data!$H$2:$H$2284,"Agent Opportunity")</f>
        <v>5</v>
      </c>
      <c r="D18" s="15" t="n">
        <f aca="false">COUNTIFS(Data!$D$2:$D$2284,"Omar.Mansour@vxi.com",Data!$B$2:$B$2284,$A18,Data!$H$2:$H$2284,"Comcast Process/Tools")</f>
        <v>4</v>
      </c>
      <c r="E18" s="15" t="n">
        <f aca="false">COUNTIFS(Data!$D$2:$D$2284,"Omar.Mansour@vxi.com",Data!$B$2:$B$2284,$A18,Data!$H$2:$H$2284,"Customer")</f>
        <v>4</v>
      </c>
      <c r="F18" s="15" t="n">
        <f aca="false">COUNTIFS(Data!$D$2:$D$2284,"Omar.Mansour@vxi.com",Data!$B$2:$B$2284,$A18,Data!$H$2:$H$2284,"No Audio Found on I3")</f>
        <v>0</v>
      </c>
      <c r="G18" s="24" t="n">
        <f aca="false">IF(B18=0,0,C18/B18)</f>
        <v>0.384615384615385</v>
      </c>
    </row>
    <row r="19" customFormat="false" ht="15" hidden="false" customHeight="false" outlineLevel="0" collapsed="false">
      <c r="A19" s="22" t="n">
        <v>46302</v>
      </c>
      <c r="B19" s="14" t="n">
        <f aca="false">COUNTIFS(Data!$D$2:$D$2284,"Omar.Mansour@vxi.com",Data!$B$2:$B$2284,A19)</f>
        <v>14</v>
      </c>
      <c r="C19" s="14" t="n">
        <f aca="false">COUNTIFS(Data!$D$2:$D$2284,"Omar.Mansour@vxi.com",Data!$B$2:$B$2284,$A19,Data!$H$2:$H$2284,"Agent Opportunity")</f>
        <v>5</v>
      </c>
      <c r="D19" s="14" t="n">
        <f aca="false">COUNTIFS(Data!$D$2:$D$2284,"Omar.Mansour@vxi.com",Data!$B$2:$B$2284,$A19,Data!$H$2:$H$2284,"Comcast Process/Tools")</f>
        <v>6</v>
      </c>
      <c r="E19" s="14" t="n">
        <f aca="false">COUNTIFS(Data!$D$2:$D$2284,"Omar.Mansour@vxi.com",Data!$B$2:$B$2284,$A19,Data!$H$2:$H$2284,"Customer")</f>
        <v>0</v>
      </c>
      <c r="F19" s="14" t="n">
        <f aca="false">COUNTIFS(Data!$D$2:$D$2284,"Omar.Mansour@vxi.com",Data!$B$2:$B$2284,$A19,Data!$H$2:$H$2284,"No Audio Found on I3")</f>
        <v>3</v>
      </c>
      <c r="G19" s="21" t="n">
        <f aca="false">IF(B19=0,0,C19/B19)</f>
        <v>0.357142857142857</v>
      </c>
    </row>
    <row r="21" customFormat="false" ht="15" hidden="false" customHeight="false" outlineLevel="0" collapsed="false">
      <c r="A21" s="9" t="s">
        <v>60</v>
      </c>
      <c r="B21" s="10"/>
      <c r="C21" s="10"/>
      <c r="D21" s="10"/>
      <c r="E21" s="10"/>
      <c r="F21" s="10"/>
      <c r="G21" s="10"/>
      <c r="H21" s="10"/>
      <c r="I21" s="10"/>
      <c r="J21" s="10"/>
    </row>
    <row r="22" customFormat="false" ht="15" hidden="false" customHeight="false" outlineLevel="0" collapsed="false">
      <c r="A22" s="13" t="s">
        <v>61</v>
      </c>
      <c r="B22" s="13" t="s">
        <v>62</v>
      </c>
      <c r="C22" s="13" t="s">
        <v>63</v>
      </c>
      <c r="D22" s="13" t="s">
        <v>64</v>
      </c>
      <c r="E22" s="13" t="s">
        <v>65</v>
      </c>
    </row>
    <row r="23" customFormat="false" ht="31.5" hidden="false" customHeight="true" outlineLevel="0" collapsed="false">
      <c r="A23" s="14" t="n">
        <v>2030</v>
      </c>
      <c r="B23" s="14" t="s">
        <v>66</v>
      </c>
      <c r="C23" s="14" t="s">
        <v>67</v>
      </c>
      <c r="D23" s="25" t="s">
        <v>68</v>
      </c>
      <c r="E23" s="25" t="s">
        <v>69</v>
      </c>
    </row>
    <row r="24" customFormat="false" ht="31.5" hidden="false" customHeight="true" outlineLevel="0" collapsed="false">
      <c r="A24" s="14" t="n">
        <v>2215</v>
      </c>
      <c r="B24" s="14" t="s">
        <v>70</v>
      </c>
      <c r="C24" s="14" t="s">
        <v>67</v>
      </c>
      <c r="D24" s="25" t="s">
        <v>71</v>
      </c>
      <c r="E24" s="25" t="s">
        <v>72</v>
      </c>
    </row>
    <row r="25" customFormat="false" ht="31.5" hidden="false" customHeight="true" outlineLevel="0" collapsed="false">
      <c r="A25" s="14" t="n">
        <v>2236</v>
      </c>
      <c r="B25" s="14" t="s">
        <v>70</v>
      </c>
      <c r="C25" s="14" t="s">
        <v>67</v>
      </c>
      <c r="D25" s="25" t="s">
        <v>73</v>
      </c>
      <c r="E25" s="25" t="s">
        <v>74</v>
      </c>
    </row>
    <row r="26" customFormat="false" ht="31.5" hidden="false" customHeight="true" outlineLevel="0" collapsed="false">
      <c r="A26" s="14" t="n">
        <v>2277</v>
      </c>
      <c r="B26" s="14" t="s">
        <v>75</v>
      </c>
      <c r="C26" s="14" t="s">
        <v>76</v>
      </c>
      <c r="D26" s="25" t="s">
        <v>77</v>
      </c>
      <c r="E26" s="25" t="s">
        <v>78</v>
      </c>
    </row>
    <row r="27" customFormat="false" ht="31.5" hidden="false" customHeight="true" outlineLevel="0" collapsed="false">
      <c r="A27" s="14" t="n">
        <v>2120</v>
      </c>
      <c r="B27" s="14" t="s">
        <v>79</v>
      </c>
      <c r="C27" s="14" t="s">
        <v>76</v>
      </c>
      <c r="D27" s="25" t="s">
        <v>80</v>
      </c>
      <c r="E27" s="25" t="s">
        <v>81</v>
      </c>
    </row>
    <row r="28" customFormat="false" ht="31.5" hidden="false" customHeight="true" outlineLevel="0" collapsed="false">
      <c r="A28" s="14" t="n">
        <v>2031</v>
      </c>
      <c r="B28" s="14" t="s">
        <v>82</v>
      </c>
      <c r="C28" s="14" t="s">
        <v>76</v>
      </c>
      <c r="D28" s="25" t="s">
        <v>83</v>
      </c>
      <c r="E28" s="25" t="s">
        <v>84</v>
      </c>
    </row>
    <row r="29" customFormat="false" ht="31.5" hidden="false" customHeight="true" outlineLevel="0" collapsed="false">
      <c r="A29" s="14" t="n">
        <v>2135</v>
      </c>
      <c r="B29" s="14" t="s">
        <v>85</v>
      </c>
      <c r="C29" s="14" t="s">
        <v>86</v>
      </c>
      <c r="D29" s="25" t="s">
        <v>87</v>
      </c>
      <c r="E29" s="25" t="s">
        <v>88</v>
      </c>
    </row>
    <row r="30" customFormat="false" ht="31.5" hidden="false" customHeight="true" outlineLevel="0" collapsed="false">
      <c r="A30" s="14" t="n">
        <v>2275</v>
      </c>
      <c r="B30" s="14" t="s">
        <v>89</v>
      </c>
      <c r="C30" s="14" t="s">
        <v>86</v>
      </c>
      <c r="D30" s="25" t="s">
        <v>90</v>
      </c>
      <c r="E30" s="25" t="s">
        <v>91</v>
      </c>
    </row>
    <row r="31" customFormat="false" ht="31.5" hidden="false" customHeight="true" outlineLevel="0" collapsed="false">
      <c r="A31" s="14" t="n">
        <v>2233</v>
      </c>
      <c r="B31" s="14" t="s">
        <v>92</v>
      </c>
      <c r="C31" s="14" t="s">
        <v>86</v>
      </c>
      <c r="D31" s="25" t="s">
        <v>93</v>
      </c>
      <c r="E31" s="25" t="s">
        <v>94</v>
      </c>
    </row>
    <row r="32" customFormat="false" ht="31.5" hidden="false" customHeight="true" outlineLevel="0" collapsed="false">
      <c r="A32" s="14" t="n">
        <v>2215</v>
      </c>
      <c r="B32" s="14" t="s">
        <v>70</v>
      </c>
      <c r="C32" s="14" t="s">
        <v>86</v>
      </c>
      <c r="D32" s="25" t="s">
        <v>95</v>
      </c>
      <c r="E32" s="25" t="s">
        <v>96</v>
      </c>
    </row>
    <row r="34" customFormat="false" ht="15" hidden="false" customHeight="false" outlineLevel="0" collapsed="false">
      <c r="A34" s="9" t="s">
        <v>97</v>
      </c>
      <c r="B34" s="10"/>
      <c r="C34" s="10"/>
      <c r="D34" s="10"/>
      <c r="E34" s="10"/>
      <c r="F34" s="10"/>
      <c r="G34" s="10"/>
      <c r="H34" s="10"/>
      <c r="I34" s="10"/>
      <c r="J34" s="10"/>
    </row>
    <row r="35" customFormat="false" ht="15" hidden="false" customHeight="false" outlineLevel="0" collapsed="false">
      <c r="A35" s="26" t="s">
        <v>98</v>
      </c>
    </row>
    <row r="36" customFormat="false" ht="15" hidden="false" customHeight="false" outlineLevel="0" collapsed="false">
      <c r="A36" s="26" t="s">
        <v>99</v>
      </c>
    </row>
    <row r="37" customFormat="false" ht="15" hidden="false" customHeight="false" outlineLevel="0" collapsed="false">
      <c r="A37" s="26" t="s">
        <v>100</v>
      </c>
    </row>
    <row r="39" customFormat="false" ht="15" hidden="false" customHeight="false" outlineLevel="0" collapsed="false">
      <c r="A39" s="9" t="s">
        <v>101</v>
      </c>
      <c r="B39" s="10"/>
      <c r="C39" s="10"/>
      <c r="D39" s="10"/>
      <c r="E39" s="10"/>
      <c r="F39" s="10"/>
      <c r="G39" s="10"/>
      <c r="H39" s="10"/>
      <c r="I39" s="10"/>
      <c r="J39" s="10"/>
    </row>
    <row r="40" customFormat="false" ht="15" hidden="false" customHeight="false" outlineLevel="0" collapsed="false">
      <c r="A40" s="26" t="s">
        <v>102</v>
      </c>
    </row>
    <row r="41" customFormat="false" ht="15" hidden="false" customHeight="false" outlineLevel="0" collapsed="false">
      <c r="A41" s="26" t="s">
        <v>103</v>
      </c>
    </row>
    <row r="42" customFormat="false" ht="15" hidden="false" customHeight="false" outlineLevel="0" collapsed="false">
      <c r="A42" s="26" t="s">
        <v>104</v>
      </c>
    </row>
    <row r="43" customFormat="false" ht="15" hidden="false" customHeight="false" outlineLevel="0" collapsed="false">
      <c r="A43" s="26" t="s">
        <v>105</v>
      </c>
    </row>
  </sheetData>
  <conditionalFormatting sqref="C23:C32">
    <cfRule type="cellIs" priority="2" operator="equal" aboveAverage="0" equalAverage="0" bottom="0" percent="0" rank="0" text="" dxfId="0">
      <formula>"High"</formula>
    </cfRule>
    <cfRule type="cellIs" priority="3" operator="equal" aboveAverage="0" equalAverage="0" bottom="0" percent="0" rank="0" text="" dxfId="1">
      <formula>"Medium"</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2545"/>
    <pageSetUpPr fitToPage="false"/>
  </sheetPr>
  <dimension ref="A1:N1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1"/>
    <col collapsed="false" customWidth="true" hidden="false" outlineLevel="0" max="6" min="3" style="0" width="10"/>
    <col collapsed="false" customWidth="true" hidden="false" outlineLevel="0" max="7" min="7" style="0" width="8"/>
    <col collapsed="false" customWidth="true" hidden="false" outlineLevel="0" max="8" min="8" style="0" width="11"/>
    <col collapsed="false" customWidth="true" hidden="false" outlineLevel="0" max="10" min="9" style="0" width="10"/>
    <col collapsed="false" customWidth="true" hidden="false" outlineLevel="0" max="11" min="11" style="0" width="11"/>
    <col collapsed="false" customWidth="true" hidden="false" outlineLevel="0" max="12" min="12" style="0" width="13"/>
    <col collapsed="false" customWidth="true" hidden="false" outlineLevel="0" max="13" min="13" style="0" width="10"/>
    <col collapsed="false" customWidth="true" hidden="false" outlineLevel="0" max="14" min="14" style="0" width="11"/>
  </cols>
  <sheetData>
    <row r="1" customFormat="false" ht="30" hidden="false" customHeight="true" outlineLevel="0" collapsed="false">
      <c r="A1" s="1" t="s">
        <v>106</v>
      </c>
      <c r="B1" s="2"/>
      <c r="C1" s="2"/>
      <c r="D1" s="2"/>
      <c r="E1" s="2"/>
      <c r="F1" s="2"/>
      <c r="G1" s="2"/>
      <c r="H1" s="2"/>
      <c r="I1" s="2"/>
      <c r="J1" s="2"/>
      <c r="K1" s="2"/>
      <c r="L1" s="2"/>
      <c r="M1" s="2"/>
      <c r="N1" s="2"/>
    </row>
    <row r="2" customFormat="false" ht="15" hidden="false" customHeight="false" outlineLevel="0" collapsed="false">
      <c r="A2" s="3" t="s">
        <v>107</v>
      </c>
      <c r="B2" s="2"/>
      <c r="C2" s="2"/>
      <c r="D2" s="2"/>
      <c r="E2" s="2"/>
      <c r="F2" s="2"/>
      <c r="G2" s="2"/>
      <c r="H2" s="2"/>
      <c r="I2" s="2"/>
      <c r="J2" s="2"/>
      <c r="K2" s="2"/>
      <c r="L2" s="2"/>
      <c r="M2" s="2"/>
      <c r="N2" s="2"/>
    </row>
    <row r="3" customFormat="false" ht="3.75" hidden="false" customHeight="true" outlineLevel="0" collapsed="false">
      <c r="A3" s="4"/>
      <c r="B3" s="4"/>
      <c r="C3" s="4"/>
      <c r="D3" s="4"/>
      <c r="E3" s="4"/>
      <c r="F3" s="4"/>
      <c r="G3" s="4"/>
      <c r="H3" s="4"/>
      <c r="I3" s="4"/>
      <c r="J3" s="4"/>
      <c r="K3" s="4"/>
      <c r="L3" s="4"/>
      <c r="M3" s="4"/>
      <c r="N3" s="4"/>
    </row>
    <row r="4" customFormat="false" ht="15" hidden="false" customHeight="false" outlineLevel="0" collapsed="false">
      <c r="N4" s="12" t="s">
        <v>108</v>
      </c>
    </row>
    <row r="5" customFormat="false" ht="23.85" hidden="false" customHeight="false" outlineLevel="0" collapsed="false">
      <c r="A5" s="13" t="s">
        <v>53</v>
      </c>
      <c r="B5" s="13" t="s">
        <v>2</v>
      </c>
      <c r="C5" s="13" t="s">
        <v>55</v>
      </c>
      <c r="D5" s="13" t="s">
        <v>57</v>
      </c>
      <c r="E5" s="13" t="s">
        <v>56</v>
      </c>
      <c r="F5" s="13" t="s">
        <v>58</v>
      </c>
      <c r="G5" s="13" t="s">
        <v>109</v>
      </c>
      <c r="H5" s="13" t="s">
        <v>3</v>
      </c>
      <c r="I5" s="13" t="s">
        <v>4</v>
      </c>
      <c r="J5" s="13" t="s">
        <v>5</v>
      </c>
      <c r="K5" s="13" t="s">
        <v>8</v>
      </c>
      <c r="L5" s="13" t="s">
        <v>110</v>
      </c>
      <c r="M5" s="13" t="s">
        <v>111</v>
      </c>
      <c r="N5" s="13" t="s">
        <v>112</v>
      </c>
    </row>
    <row r="6" customFormat="false" ht="15" hidden="false" customHeight="false" outlineLevel="0" collapsed="false">
      <c r="A6" s="22" t="n">
        <v>46302</v>
      </c>
      <c r="B6" s="27" t="n">
        <f aca="false">COUNTIFS(Data!$B$2:$B$2284,$A6)</f>
        <v>110</v>
      </c>
      <c r="C6" s="14" t="n">
        <f aca="false">COUNTIFS(Data!$B$2:$B$2284,$A6,Data!$H$2:$H$2284,"Agent Opportunity")</f>
        <v>71</v>
      </c>
      <c r="D6" s="14" t="n">
        <f aca="false">COUNTIFS(Data!$B$2:$B$2284,$A6,Data!$H$2:$H$2284,"Customer")</f>
        <v>9</v>
      </c>
      <c r="E6" s="14" t="n">
        <f aca="false">COUNTIFS(Data!$B$2:$B$2284,$A6,Data!$H$2:$H$2284,"Comcast Process/Tools")</f>
        <v>26</v>
      </c>
      <c r="F6" s="14" t="n">
        <f aca="false">COUNTIFS(Data!$B$2:$B$2284,$A6,Data!$H$2:$H$2284,"No Audio Found on I3")</f>
        <v>3</v>
      </c>
      <c r="G6" s="14" t="n">
        <f aca="false">COUNTIFS(Data!$B$2:$B$2284,$A6,Data!$H$2:$H$2284,"VXI Process/Tools")</f>
        <v>1</v>
      </c>
      <c r="H6" s="18" t="n">
        <f aca="false">IF(B6=0,0,C6/B6)</f>
        <v>0.645454545454546</v>
      </c>
      <c r="I6" s="18" t="n">
        <f aca="false">IF(B6=0,0,E6/B6)</f>
        <v>0.236363636363636</v>
      </c>
      <c r="J6" s="18" t="n">
        <f aca="false">IF(B6=0,0,F6/B6)</f>
        <v>0.0272727272727273</v>
      </c>
      <c r="K6" s="28" t="n">
        <f aca="false">B6-B7</f>
        <v>26</v>
      </c>
      <c r="L6" s="29" t="n">
        <f aca="false">(H6-H7)*100</f>
        <v>18.1168831168831</v>
      </c>
      <c r="M6" s="14" t="n">
        <f aca="false">COUNTIFS(Data!$B$2:$B$2284,$A6,Data!$D$2:$D$2284,"Omar.Mansour@vxi.com")</f>
        <v>14</v>
      </c>
      <c r="N6" s="14" t="n">
        <v>6</v>
      </c>
    </row>
    <row r="7" customFormat="false" ht="15" hidden="false" customHeight="false" outlineLevel="0" collapsed="false">
      <c r="A7" s="23" t="n">
        <v>46301</v>
      </c>
      <c r="B7" s="30" t="n">
        <f aca="false">COUNTIFS(Data!$B$2:$B$2284,$A7)</f>
        <v>84</v>
      </c>
      <c r="C7" s="15" t="n">
        <f aca="false">COUNTIFS(Data!$B$2:$B$2284,$A7,Data!$H$2:$H$2284,"Agent Opportunity")</f>
        <v>39</v>
      </c>
      <c r="D7" s="15" t="n">
        <f aca="false">COUNTIFS(Data!$B$2:$B$2284,$A7,Data!$H$2:$H$2284,"Customer")</f>
        <v>10</v>
      </c>
      <c r="E7" s="15" t="n">
        <f aca="false">COUNTIFS(Data!$B$2:$B$2284,$A7,Data!$H$2:$H$2284,"Comcast Process/Tools")</f>
        <v>26</v>
      </c>
      <c r="F7" s="15" t="n">
        <f aca="false">COUNTIFS(Data!$B$2:$B$2284,$A7,Data!$H$2:$H$2284,"No Audio Found on I3")</f>
        <v>9</v>
      </c>
      <c r="G7" s="15" t="n">
        <f aca="false">COUNTIFS(Data!$B$2:$B$2284,$A7,Data!$H$2:$H$2284,"VXI Process/Tools")</f>
        <v>0</v>
      </c>
      <c r="H7" s="16" t="n">
        <f aca="false">IF(B7=0,0,C7/B7)</f>
        <v>0.464285714285714</v>
      </c>
      <c r="I7" s="16" t="n">
        <f aca="false">IF(B7=0,0,E7/B7)</f>
        <v>0.30952380952381</v>
      </c>
      <c r="J7" s="16" t="n">
        <f aca="false">IF(B7=0,0,F7/B7)</f>
        <v>0.107142857142857</v>
      </c>
      <c r="K7" s="31" t="n">
        <f aca="false">B7-B8</f>
        <v>56</v>
      </c>
      <c r="L7" s="32" t="n">
        <f aca="false">(H7-H8)*100</f>
        <v>-10.7142857142857</v>
      </c>
      <c r="M7" s="15" t="n">
        <f aca="false">COUNTIFS(Data!$B$2:$B$2284,$A7,Data!$D$2:$D$2284,"Omar.Mansour@vxi.com")</f>
        <v>13</v>
      </c>
      <c r="N7" s="15" t="n">
        <v>6</v>
      </c>
    </row>
    <row r="8" customFormat="false" ht="15" hidden="false" customHeight="false" outlineLevel="0" collapsed="false">
      <c r="A8" s="22" t="n">
        <v>46299</v>
      </c>
      <c r="B8" s="27" t="n">
        <f aca="false">COUNTIFS(Data!$B$2:$B$2284,$A8)</f>
        <v>28</v>
      </c>
      <c r="C8" s="14" t="n">
        <f aca="false">COUNTIFS(Data!$B$2:$B$2284,$A8,Data!$H$2:$H$2284,"Agent Opportunity")</f>
        <v>16</v>
      </c>
      <c r="D8" s="14" t="n">
        <f aca="false">COUNTIFS(Data!$B$2:$B$2284,$A8,Data!$H$2:$H$2284,"Customer")</f>
        <v>3</v>
      </c>
      <c r="E8" s="14" t="n">
        <f aca="false">COUNTIFS(Data!$B$2:$B$2284,$A8,Data!$H$2:$H$2284,"Comcast Process/Tools")</f>
        <v>6</v>
      </c>
      <c r="F8" s="14" t="n">
        <f aca="false">COUNTIFS(Data!$B$2:$B$2284,$A8,Data!$H$2:$H$2284,"No Audio Found on I3")</f>
        <v>2</v>
      </c>
      <c r="G8" s="14" t="n">
        <f aca="false">COUNTIFS(Data!$B$2:$B$2284,$A8,Data!$H$2:$H$2284,"VXI Process/Tools")</f>
        <v>1</v>
      </c>
      <c r="H8" s="18" t="n">
        <f aca="false">IF(B8=0,0,C8/B8)</f>
        <v>0.571428571428571</v>
      </c>
      <c r="I8" s="18" t="n">
        <f aca="false">IF(B8=0,0,E8/B8)</f>
        <v>0.214285714285714</v>
      </c>
      <c r="J8" s="18" t="n">
        <f aca="false">IF(B8=0,0,F8/B8)</f>
        <v>0.0714285714285714</v>
      </c>
      <c r="K8" s="28" t="n">
        <f aca="false">B8-B9</f>
        <v>11</v>
      </c>
      <c r="L8" s="29" t="n">
        <f aca="false">(H8-H9)*100</f>
        <v>21.8487394957983</v>
      </c>
      <c r="M8" s="14" t="n">
        <f aca="false">COUNTIFS(Data!$B$2:$B$2284,$A8,Data!$D$2:$D$2284,"Omar.Mansour@vxi.com")</f>
        <v>0</v>
      </c>
      <c r="N8" s="14" t="n">
        <v>2</v>
      </c>
    </row>
    <row r="9" customFormat="false" ht="15" hidden="false" customHeight="false" outlineLevel="0" collapsed="false">
      <c r="A9" s="23" t="n">
        <v>46298</v>
      </c>
      <c r="B9" s="30" t="n">
        <f aca="false">COUNTIFS(Data!$B$2:$B$2284,$A9)</f>
        <v>17</v>
      </c>
      <c r="C9" s="15" t="n">
        <f aca="false">COUNTIFS(Data!$B$2:$B$2284,$A9,Data!$H$2:$H$2284,"Agent Opportunity")</f>
        <v>6</v>
      </c>
      <c r="D9" s="15" t="n">
        <f aca="false">COUNTIFS(Data!$B$2:$B$2284,$A9,Data!$H$2:$H$2284,"Customer")</f>
        <v>0</v>
      </c>
      <c r="E9" s="15" t="n">
        <f aca="false">COUNTIFS(Data!$B$2:$B$2284,$A9,Data!$H$2:$H$2284,"Comcast Process/Tools")</f>
        <v>10</v>
      </c>
      <c r="F9" s="15" t="n">
        <f aca="false">COUNTIFS(Data!$B$2:$B$2284,$A9,Data!$H$2:$H$2284,"No Audio Found on I3")</f>
        <v>1</v>
      </c>
      <c r="G9" s="15" t="n">
        <f aca="false">COUNTIFS(Data!$B$2:$B$2284,$A9,Data!$H$2:$H$2284,"VXI Process/Tools")</f>
        <v>0</v>
      </c>
      <c r="H9" s="16" t="n">
        <f aca="false">IF(B9=0,0,C9/B9)</f>
        <v>0.352941176470588</v>
      </c>
      <c r="I9" s="16" t="n">
        <f aca="false">IF(B9=0,0,E9/B9)</f>
        <v>0.588235294117647</v>
      </c>
      <c r="J9" s="16" t="n">
        <f aca="false">IF(B9=0,0,F9/B9)</f>
        <v>0.0588235294117647</v>
      </c>
      <c r="K9" s="31" t="n">
        <f aca="false">B9-B10</f>
        <v>9</v>
      </c>
      <c r="L9" s="32" t="n">
        <f aca="false">(H9-H10)*100</f>
        <v>-27.2058823529412</v>
      </c>
      <c r="M9" s="15" t="n">
        <f aca="false">COUNTIFS(Data!$B$2:$B$2284,$A9,Data!$D$2:$D$2284,"Omar.Mansour@vxi.com")</f>
        <v>0</v>
      </c>
      <c r="N9" s="15" t="n">
        <v>3</v>
      </c>
    </row>
    <row r="10" customFormat="false" ht="15" hidden="false" customHeight="false" outlineLevel="0" collapsed="false">
      <c r="A10" s="22" t="n">
        <v>46297</v>
      </c>
      <c r="B10" s="27" t="n">
        <f aca="false">COUNTIFS(Data!$B$2:$B$2284,$A10)</f>
        <v>8</v>
      </c>
      <c r="C10" s="14" t="n">
        <f aca="false">COUNTIFS(Data!$B$2:$B$2284,$A10,Data!$H$2:$H$2284,"Agent Opportunity")</f>
        <v>5</v>
      </c>
      <c r="D10" s="14" t="n">
        <f aca="false">COUNTIFS(Data!$B$2:$B$2284,$A10,Data!$H$2:$H$2284,"Customer")</f>
        <v>1</v>
      </c>
      <c r="E10" s="14" t="n">
        <f aca="false">COUNTIFS(Data!$B$2:$B$2284,$A10,Data!$H$2:$H$2284,"Comcast Process/Tools")</f>
        <v>1</v>
      </c>
      <c r="F10" s="14" t="n">
        <f aca="false">COUNTIFS(Data!$B$2:$B$2284,$A10,Data!$H$2:$H$2284,"No Audio Found on I3")</f>
        <v>1</v>
      </c>
      <c r="G10" s="14" t="n">
        <f aca="false">COUNTIFS(Data!$B$2:$B$2284,$A10,Data!$H$2:$H$2284,"VXI Process/Tools")</f>
        <v>0</v>
      </c>
      <c r="H10" s="18" t="n">
        <f aca="false">IF(B10=0,0,C10/B10)</f>
        <v>0.625</v>
      </c>
      <c r="I10" s="18" t="n">
        <f aca="false">IF(B10=0,0,E10/B10)</f>
        <v>0.125</v>
      </c>
      <c r="J10" s="18" t="n">
        <f aca="false">IF(B10=0,0,F10/B10)</f>
        <v>0.125</v>
      </c>
      <c r="K10" s="28" t="n">
        <f aca="false">B10-B11</f>
        <v>4</v>
      </c>
      <c r="L10" s="29" t="n">
        <f aca="false">(H10-H11)*100</f>
        <v>-37.5</v>
      </c>
      <c r="M10" s="14" t="n">
        <f aca="false">COUNTIFS(Data!$B$2:$B$2284,$A10,Data!$D$2:$D$2284,"Omar.Mansour@vxi.com")</f>
        <v>0</v>
      </c>
      <c r="N10" s="14" t="n">
        <v>2</v>
      </c>
    </row>
    <row r="11" customFormat="false" ht="15" hidden="false" customHeight="false" outlineLevel="0" collapsed="false">
      <c r="A11" s="23" t="n">
        <v>46296</v>
      </c>
      <c r="B11" s="30" t="n">
        <f aca="false">COUNTIFS(Data!$B$2:$B$2284,$A11)</f>
        <v>4</v>
      </c>
      <c r="C11" s="15" t="n">
        <f aca="false">COUNTIFS(Data!$B$2:$B$2284,$A11,Data!$H$2:$H$2284,"Agent Opportunity")</f>
        <v>4</v>
      </c>
      <c r="D11" s="15" t="n">
        <f aca="false">COUNTIFS(Data!$B$2:$B$2284,$A11,Data!$H$2:$H$2284,"Customer")</f>
        <v>0</v>
      </c>
      <c r="E11" s="15" t="n">
        <f aca="false">COUNTIFS(Data!$B$2:$B$2284,$A11,Data!$H$2:$H$2284,"Comcast Process/Tools")</f>
        <v>0</v>
      </c>
      <c r="F11" s="15" t="n">
        <f aca="false">COUNTIFS(Data!$B$2:$B$2284,$A11,Data!$H$2:$H$2284,"No Audio Found on I3")</f>
        <v>0</v>
      </c>
      <c r="G11" s="15" t="n">
        <f aca="false">COUNTIFS(Data!$B$2:$B$2284,$A11,Data!$H$2:$H$2284,"VXI Process/Tools")</f>
        <v>0</v>
      </c>
      <c r="H11" s="16" t="n">
        <f aca="false">IF(B11=0,0,C11/B11)</f>
        <v>1</v>
      </c>
      <c r="I11" s="16" t="n">
        <f aca="false">IF(B11=0,0,E11/B11)</f>
        <v>0</v>
      </c>
      <c r="J11" s="16" t="n">
        <f aca="false">IF(B11=0,0,F11/B11)</f>
        <v>0</v>
      </c>
      <c r="K11" s="31" t="n">
        <f aca="false">B11-B12</f>
        <v>0</v>
      </c>
      <c r="L11" s="32" t="n">
        <f aca="false">(H11-H12)*100</f>
        <v>25</v>
      </c>
      <c r="M11" s="15" t="n">
        <f aca="false">COUNTIFS(Data!$B$2:$B$2284,$A11,Data!$D$2:$D$2284,"Omar.Mansour@vxi.com")</f>
        <v>0</v>
      </c>
      <c r="N11" s="15" t="n">
        <v>2</v>
      </c>
    </row>
    <row r="12" customFormat="false" ht="15" hidden="false" customHeight="false" outlineLevel="0" collapsed="false">
      <c r="A12" s="22" t="n">
        <v>46294</v>
      </c>
      <c r="B12" s="27" t="n">
        <f aca="false">COUNTIFS(Data!$B$2:$B$2284,$A12)</f>
        <v>4</v>
      </c>
      <c r="C12" s="14" t="n">
        <f aca="false">COUNTIFS(Data!$B$2:$B$2284,$A12,Data!$H$2:$H$2284,"Agent Opportunity")</f>
        <v>3</v>
      </c>
      <c r="D12" s="14" t="n">
        <f aca="false">COUNTIFS(Data!$B$2:$B$2284,$A12,Data!$H$2:$H$2284,"Customer")</f>
        <v>0</v>
      </c>
      <c r="E12" s="14" t="n">
        <f aca="false">COUNTIFS(Data!$B$2:$B$2284,$A12,Data!$H$2:$H$2284,"Comcast Process/Tools")</f>
        <v>0</v>
      </c>
      <c r="F12" s="14" t="n">
        <f aca="false">COUNTIFS(Data!$B$2:$B$2284,$A12,Data!$H$2:$H$2284,"No Audio Found on I3")</f>
        <v>1</v>
      </c>
      <c r="G12" s="14" t="n">
        <f aca="false">COUNTIFS(Data!$B$2:$B$2284,$A12,Data!$H$2:$H$2284,"VXI Process/Tools")</f>
        <v>0</v>
      </c>
      <c r="H12" s="18" t="n">
        <f aca="false">IF(B12=0,0,C12/B12)</f>
        <v>0.75</v>
      </c>
      <c r="I12" s="18" t="n">
        <f aca="false">IF(B12=0,0,E12/B12)</f>
        <v>0</v>
      </c>
      <c r="J12" s="18" t="n">
        <f aca="false">IF(B12=0,0,F12/B12)</f>
        <v>0.25</v>
      </c>
      <c r="K12" s="28" t="n">
        <f aca="false">B12-B13</f>
        <v>-3</v>
      </c>
      <c r="L12" s="29" t="n">
        <f aca="false">(H12-H13)*100</f>
        <v>-10.7142857142857</v>
      </c>
      <c r="M12" s="14" t="n">
        <f aca="false">COUNTIFS(Data!$B$2:$B$2284,$A12,Data!$D$2:$D$2284,"Omar.Mansour@vxi.com")</f>
        <v>2</v>
      </c>
      <c r="N12" s="14" t="n">
        <v>2</v>
      </c>
    </row>
    <row r="13" customFormat="false" ht="15" hidden="false" customHeight="false" outlineLevel="0" collapsed="false">
      <c r="A13" s="23" t="n">
        <v>46293</v>
      </c>
      <c r="B13" s="30" t="n">
        <f aca="false">COUNTIFS(Data!$B$2:$B$2284,$A13)</f>
        <v>7</v>
      </c>
      <c r="C13" s="15" t="n">
        <f aca="false">COUNTIFS(Data!$B$2:$B$2284,$A13,Data!$H$2:$H$2284,"Agent Opportunity")</f>
        <v>6</v>
      </c>
      <c r="D13" s="15" t="n">
        <f aca="false">COUNTIFS(Data!$B$2:$B$2284,$A13,Data!$H$2:$H$2284,"Customer")</f>
        <v>1</v>
      </c>
      <c r="E13" s="15" t="n">
        <f aca="false">COUNTIFS(Data!$B$2:$B$2284,$A13,Data!$H$2:$H$2284,"Comcast Process/Tools")</f>
        <v>0</v>
      </c>
      <c r="F13" s="15" t="n">
        <f aca="false">COUNTIFS(Data!$B$2:$B$2284,$A13,Data!$H$2:$H$2284,"No Audio Found on I3")</f>
        <v>0</v>
      </c>
      <c r="G13" s="15" t="n">
        <f aca="false">COUNTIFS(Data!$B$2:$B$2284,$A13,Data!$H$2:$H$2284,"VXI Process/Tools")</f>
        <v>0</v>
      </c>
      <c r="H13" s="16" t="n">
        <f aca="false">IF(B13=0,0,C13/B13)</f>
        <v>0.857142857142857</v>
      </c>
      <c r="I13" s="16" t="n">
        <f aca="false">IF(B13=0,0,E13/B13)</f>
        <v>0</v>
      </c>
      <c r="J13" s="16" t="n">
        <f aca="false">IF(B13=0,0,F13/B13)</f>
        <v>0</v>
      </c>
      <c r="K13" s="31" t="n">
        <f aca="false">B13-B14</f>
        <v>6</v>
      </c>
      <c r="L13" s="32" t="n">
        <f aca="false">(H13-H14)*100</f>
        <v>-14.2857142857143</v>
      </c>
      <c r="M13" s="15" t="n">
        <f aca="false">COUNTIFS(Data!$B$2:$B$2284,$A13,Data!$D$2:$D$2284,"Omar.Mansour@vxi.com")</f>
        <v>0</v>
      </c>
      <c r="N13" s="15" t="n">
        <v>4</v>
      </c>
    </row>
    <row r="14" customFormat="false" ht="15" hidden="false" customHeight="false" outlineLevel="0" collapsed="false">
      <c r="A14" s="22" t="n">
        <v>46292</v>
      </c>
      <c r="B14" s="27" t="n">
        <f aca="false">COUNTIFS(Data!$B$2:$B$2284,$A14)</f>
        <v>1</v>
      </c>
      <c r="C14" s="14" t="n">
        <f aca="false">COUNTIFS(Data!$B$2:$B$2284,$A14,Data!$H$2:$H$2284,"Agent Opportunity")</f>
        <v>1</v>
      </c>
      <c r="D14" s="14" t="n">
        <f aca="false">COUNTIFS(Data!$B$2:$B$2284,$A14,Data!$H$2:$H$2284,"Customer")</f>
        <v>0</v>
      </c>
      <c r="E14" s="14" t="n">
        <f aca="false">COUNTIFS(Data!$B$2:$B$2284,$A14,Data!$H$2:$H$2284,"Comcast Process/Tools")</f>
        <v>0</v>
      </c>
      <c r="F14" s="14" t="n">
        <f aca="false">COUNTIFS(Data!$B$2:$B$2284,$A14,Data!$H$2:$H$2284,"No Audio Found on I3")</f>
        <v>0</v>
      </c>
      <c r="G14" s="14" t="n">
        <f aca="false">COUNTIFS(Data!$B$2:$B$2284,$A14,Data!$H$2:$H$2284,"VXI Process/Tools")</f>
        <v>0</v>
      </c>
      <c r="H14" s="18" t="n">
        <f aca="false">IF(B14=0,0,C14/B14)</f>
        <v>1</v>
      </c>
      <c r="I14" s="18" t="n">
        <f aca="false">IF(B14=0,0,E14/B14)</f>
        <v>0</v>
      </c>
      <c r="J14" s="18" t="n">
        <f aca="false">IF(B14=0,0,F14/B14)</f>
        <v>0</v>
      </c>
      <c r="K14" s="28" t="n">
        <f aca="false">B14-B15</f>
        <v>-13</v>
      </c>
      <c r="L14" s="29" t="n">
        <f aca="false">(H14-H15)*100</f>
        <v>50</v>
      </c>
      <c r="M14" s="14" t="n">
        <f aca="false">COUNTIFS(Data!$B$2:$B$2284,$A14,Data!$D$2:$D$2284,"Omar.Mansour@vxi.com")</f>
        <v>0</v>
      </c>
      <c r="N14" s="14" t="n">
        <v>1</v>
      </c>
    </row>
    <row r="15" customFormat="false" ht="15" hidden="false" customHeight="false" outlineLevel="0" collapsed="false">
      <c r="A15" s="23" t="n">
        <v>46291</v>
      </c>
      <c r="B15" s="30" t="n">
        <f aca="false">COUNTIFS(Data!$B$2:$B$2284,$A15)</f>
        <v>14</v>
      </c>
      <c r="C15" s="15" t="n">
        <f aca="false">COUNTIFS(Data!$B$2:$B$2284,$A15,Data!$H$2:$H$2284,"Agent Opportunity")</f>
        <v>7</v>
      </c>
      <c r="D15" s="15" t="n">
        <f aca="false">COUNTIFS(Data!$B$2:$B$2284,$A15,Data!$H$2:$H$2284,"Customer")</f>
        <v>4</v>
      </c>
      <c r="E15" s="15" t="n">
        <f aca="false">COUNTIFS(Data!$B$2:$B$2284,$A15,Data!$H$2:$H$2284,"Comcast Process/Tools")</f>
        <v>2</v>
      </c>
      <c r="F15" s="15" t="n">
        <f aca="false">COUNTIFS(Data!$B$2:$B$2284,$A15,Data!$H$2:$H$2284,"No Audio Found on I3")</f>
        <v>1</v>
      </c>
      <c r="G15" s="15" t="n">
        <f aca="false">COUNTIFS(Data!$B$2:$B$2284,$A15,Data!$H$2:$H$2284,"VXI Process/Tools")</f>
        <v>0</v>
      </c>
      <c r="H15" s="16" t="n">
        <f aca="false">IF(B15=0,0,C15/B15)</f>
        <v>0.5</v>
      </c>
      <c r="I15" s="16" t="n">
        <f aca="false">IF(B15=0,0,E15/B15)</f>
        <v>0.142857142857143</v>
      </c>
      <c r="J15" s="16" t="n">
        <f aca="false">IF(B15=0,0,F15/B15)</f>
        <v>0.0714285714285714</v>
      </c>
      <c r="K15" s="31" t="n">
        <f aca="false">B15-B16</f>
        <v>5</v>
      </c>
      <c r="L15" s="32" t="n">
        <f aca="false">(H15-H16)*100</f>
        <v>-38.8888888888889</v>
      </c>
      <c r="M15" s="15" t="n">
        <f aca="false">COUNTIFS(Data!$B$2:$B$2284,$A15,Data!$D$2:$D$2284,"Omar.Mansour@vxi.com")</f>
        <v>0</v>
      </c>
      <c r="N15" s="15" t="n">
        <v>3</v>
      </c>
    </row>
    <row r="16" customFormat="false" ht="15" hidden="false" customHeight="false" outlineLevel="0" collapsed="false">
      <c r="A16" s="22" t="n">
        <v>46290</v>
      </c>
      <c r="B16" s="27" t="n">
        <f aca="false">COUNTIFS(Data!$B$2:$B$2284,$A16)</f>
        <v>9</v>
      </c>
      <c r="C16" s="14" t="n">
        <f aca="false">COUNTIFS(Data!$B$2:$B$2284,$A16,Data!$H$2:$H$2284,"Agent Opportunity")</f>
        <v>8</v>
      </c>
      <c r="D16" s="14" t="n">
        <f aca="false">COUNTIFS(Data!$B$2:$B$2284,$A16,Data!$H$2:$H$2284,"Customer")</f>
        <v>1</v>
      </c>
      <c r="E16" s="14" t="n">
        <f aca="false">COUNTIFS(Data!$B$2:$B$2284,$A16,Data!$H$2:$H$2284,"Comcast Process/Tools")</f>
        <v>0</v>
      </c>
      <c r="F16" s="14" t="n">
        <f aca="false">COUNTIFS(Data!$B$2:$B$2284,$A16,Data!$H$2:$H$2284,"No Audio Found on I3")</f>
        <v>0</v>
      </c>
      <c r="G16" s="14" t="n">
        <f aca="false">COUNTIFS(Data!$B$2:$B$2284,$A16,Data!$H$2:$H$2284,"VXI Process/Tools")</f>
        <v>0</v>
      </c>
      <c r="H16" s="18" t="n">
        <f aca="false">IF(B16=0,0,C16/B16)</f>
        <v>0.888888888888889</v>
      </c>
      <c r="I16" s="18" t="n">
        <f aca="false">IF(B16=0,0,E16/B16)</f>
        <v>0</v>
      </c>
      <c r="J16" s="18" t="n">
        <f aca="false">IF(B16=0,0,F16/B16)</f>
        <v>0</v>
      </c>
      <c r="K16" s="28" t="n">
        <f aca="false">B16-B17</f>
        <v>7</v>
      </c>
      <c r="L16" s="29" t="n">
        <f aca="false">(H16-H17)*100</f>
        <v>38.8888888888889</v>
      </c>
      <c r="M16" s="14" t="n">
        <f aca="false">COUNTIFS(Data!$B$2:$B$2284,$A16,Data!$D$2:$D$2284,"Omar.Mansour@vxi.com")</f>
        <v>0</v>
      </c>
      <c r="N16" s="14" t="n">
        <v>4</v>
      </c>
    </row>
    <row r="17" customFormat="false" ht="15" hidden="false" customHeight="false" outlineLevel="0" collapsed="false">
      <c r="A17" s="23" t="n">
        <v>46289</v>
      </c>
      <c r="B17" s="30" t="n">
        <f aca="false">COUNTIFS(Data!$B$2:$B$2284,$A17)</f>
        <v>2</v>
      </c>
      <c r="C17" s="15" t="n">
        <f aca="false">COUNTIFS(Data!$B$2:$B$2284,$A17,Data!$H$2:$H$2284,"Agent Opportunity")</f>
        <v>1</v>
      </c>
      <c r="D17" s="15" t="n">
        <f aca="false">COUNTIFS(Data!$B$2:$B$2284,$A17,Data!$H$2:$H$2284,"Customer")</f>
        <v>0</v>
      </c>
      <c r="E17" s="15" t="n">
        <f aca="false">COUNTIFS(Data!$B$2:$B$2284,$A17,Data!$H$2:$H$2284,"Comcast Process/Tools")</f>
        <v>1</v>
      </c>
      <c r="F17" s="15" t="n">
        <f aca="false">COUNTIFS(Data!$B$2:$B$2284,$A17,Data!$H$2:$H$2284,"No Audio Found on I3")</f>
        <v>0</v>
      </c>
      <c r="G17" s="15" t="n">
        <f aca="false">COUNTIFS(Data!$B$2:$B$2284,$A17,Data!$H$2:$H$2284,"VXI Process/Tools")</f>
        <v>0</v>
      </c>
      <c r="H17" s="16" t="n">
        <f aca="false">IF(B17=0,0,C17/B17)</f>
        <v>0.5</v>
      </c>
      <c r="I17" s="16" t="n">
        <f aca="false">IF(B17=0,0,E17/B17)</f>
        <v>0.5</v>
      </c>
      <c r="J17" s="16" t="n">
        <f aca="false">IF(B17=0,0,F17/B17)</f>
        <v>0</v>
      </c>
      <c r="K17" s="31" t="n">
        <f aca="false">B17-B18</f>
        <v>-15</v>
      </c>
      <c r="L17" s="32" t="n">
        <f aca="false">(H17-H18)*100</f>
        <v>-8.82352941176471</v>
      </c>
      <c r="M17" s="15" t="n">
        <f aca="false">COUNTIFS(Data!$B$2:$B$2284,$A17,Data!$D$2:$D$2284,"Omar.Mansour@vxi.com")</f>
        <v>0</v>
      </c>
      <c r="N17" s="15" t="n">
        <v>2</v>
      </c>
    </row>
    <row r="18" customFormat="false" ht="15" hidden="false" customHeight="false" outlineLevel="0" collapsed="false">
      <c r="A18" s="22" t="n">
        <v>46287</v>
      </c>
      <c r="B18" s="27" t="n">
        <f aca="false">COUNTIFS(Data!$B$2:$B$2284,$A18)</f>
        <v>17</v>
      </c>
      <c r="C18" s="14" t="n">
        <f aca="false">COUNTIFS(Data!$B$2:$B$2284,$A18,Data!$H$2:$H$2284,"Agent Opportunity")</f>
        <v>10</v>
      </c>
      <c r="D18" s="14" t="n">
        <f aca="false">COUNTIFS(Data!$B$2:$B$2284,$A18,Data!$H$2:$H$2284,"Customer")</f>
        <v>0</v>
      </c>
      <c r="E18" s="14" t="n">
        <f aca="false">COUNTIFS(Data!$B$2:$B$2284,$A18,Data!$H$2:$H$2284,"Comcast Process/Tools")</f>
        <v>2</v>
      </c>
      <c r="F18" s="14" t="n">
        <f aca="false">COUNTIFS(Data!$B$2:$B$2284,$A18,Data!$H$2:$H$2284,"No Audio Found on I3")</f>
        <v>5</v>
      </c>
      <c r="G18" s="14" t="n">
        <f aca="false">COUNTIFS(Data!$B$2:$B$2284,$A18,Data!$H$2:$H$2284,"VXI Process/Tools")</f>
        <v>0</v>
      </c>
      <c r="H18" s="18" t="n">
        <f aca="false">IF(B18=0,0,C18/B18)</f>
        <v>0.588235294117647</v>
      </c>
      <c r="I18" s="18" t="n">
        <f aca="false">IF(B18=0,0,E18/B18)</f>
        <v>0.117647058823529</v>
      </c>
      <c r="J18" s="18" t="n">
        <f aca="false">IF(B18=0,0,F18/B18)</f>
        <v>0.294117647058824</v>
      </c>
      <c r="K18" s="28" t="n">
        <f aca="false">B18-B19</f>
        <v>7</v>
      </c>
      <c r="L18" s="29" t="n">
        <f aca="false">(H18-H19)*100</f>
        <v>-11.1764705882353</v>
      </c>
      <c r="M18" s="14" t="n">
        <f aca="false">COUNTIFS(Data!$B$2:$B$2284,$A18,Data!$D$2:$D$2284,"Omar.Mansour@vxi.com")</f>
        <v>0</v>
      </c>
      <c r="N18" s="14" t="n">
        <v>3</v>
      </c>
    </row>
    <row r="19" customFormat="false" ht="15" hidden="false" customHeight="false" outlineLevel="0" collapsed="false">
      <c r="A19" s="23" t="n">
        <v>46284</v>
      </c>
      <c r="B19" s="30" t="n">
        <f aca="false">COUNTIFS(Data!$B$2:$B$2284,$A19)</f>
        <v>10</v>
      </c>
      <c r="C19" s="15" t="n">
        <f aca="false">COUNTIFS(Data!$B$2:$B$2284,$A19,Data!$H$2:$H$2284,"Agent Opportunity")</f>
        <v>7</v>
      </c>
      <c r="D19" s="15" t="n">
        <f aca="false">COUNTIFS(Data!$B$2:$B$2284,$A19,Data!$H$2:$H$2284,"Customer")</f>
        <v>1</v>
      </c>
      <c r="E19" s="15" t="n">
        <f aca="false">COUNTIFS(Data!$B$2:$B$2284,$A19,Data!$H$2:$H$2284,"Comcast Process/Tools")</f>
        <v>1</v>
      </c>
      <c r="F19" s="15" t="n">
        <f aca="false">COUNTIFS(Data!$B$2:$B$2284,$A19,Data!$H$2:$H$2284,"No Audio Found on I3")</f>
        <v>1</v>
      </c>
      <c r="G19" s="15" t="n">
        <f aca="false">COUNTIFS(Data!$B$2:$B$2284,$A19,Data!$H$2:$H$2284,"VXI Process/Tools")</f>
        <v>0</v>
      </c>
      <c r="H19" s="16" t="n">
        <f aca="false">IF(B19=0,0,C19/B19)</f>
        <v>0.7</v>
      </c>
      <c r="I19" s="16" t="n">
        <f aca="false">IF(B19=0,0,E19/B19)</f>
        <v>0.1</v>
      </c>
      <c r="J19" s="16" t="n">
        <f aca="false">IF(B19=0,0,F19/B19)</f>
        <v>0.1</v>
      </c>
      <c r="K19" s="31" t="n">
        <f aca="false">B19-B20</f>
        <v>-21</v>
      </c>
      <c r="L19" s="32" t="n">
        <f aca="false">(H19-H20)*100</f>
        <v>-4.19354838709678</v>
      </c>
      <c r="M19" s="15" t="n">
        <f aca="false">COUNTIFS(Data!$B$2:$B$2284,$A19,Data!$D$2:$D$2284,"Omar.Mansour@vxi.com")</f>
        <v>0</v>
      </c>
      <c r="N19" s="15" t="n">
        <v>2</v>
      </c>
    </row>
    <row r="20" customFormat="false" ht="15" hidden="false" customHeight="false" outlineLevel="0" collapsed="false">
      <c r="A20" s="22" t="n">
        <v>46283</v>
      </c>
      <c r="B20" s="27" t="n">
        <f aca="false">COUNTIFS(Data!$B$2:$B$2284,$A20)</f>
        <v>31</v>
      </c>
      <c r="C20" s="14" t="n">
        <f aca="false">COUNTIFS(Data!$B$2:$B$2284,$A20,Data!$H$2:$H$2284,"Agent Opportunity")</f>
        <v>23</v>
      </c>
      <c r="D20" s="14" t="n">
        <f aca="false">COUNTIFS(Data!$B$2:$B$2284,$A20,Data!$H$2:$H$2284,"Customer")</f>
        <v>1</v>
      </c>
      <c r="E20" s="14" t="n">
        <f aca="false">COUNTIFS(Data!$B$2:$B$2284,$A20,Data!$H$2:$H$2284,"Comcast Process/Tools")</f>
        <v>5</v>
      </c>
      <c r="F20" s="14" t="n">
        <f aca="false">COUNTIFS(Data!$B$2:$B$2284,$A20,Data!$H$2:$H$2284,"No Audio Found on I3")</f>
        <v>2</v>
      </c>
      <c r="G20" s="14" t="n">
        <f aca="false">COUNTIFS(Data!$B$2:$B$2284,$A20,Data!$H$2:$H$2284,"VXI Process/Tools")</f>
        <v>0</v>
      </c>
      <c r="H20" s="18" t="n">
        <f aca="false">IF(B20=0,0,C20/B20)</f>
        <v>0.741935483870968</v>
      </c>
      <c r="I20" s="18" t="n">
        <f aca="false">IF(B20=0,0,E20/B20)</f>
        <v>0.161290322580645</v>
      </c>
      <c r="J20" s="18" t="n">
        <f aca="false">IF(B20=0,0,F20/B20)</f>
        <v>0.0645161290322581</v>
      </c>
      <c r="K20" s="28" t="n">
        <f aca="false">B20-B21</f>
        <v>27</v>
      </c>
      <c r="L20" s="29" t="n">
        <f aca="false">(H20-H21)*100</f>
        <v>-0.806451612903225</v>
      </c>
      <c r="M20" s="14" t="n">
        <f aca="false">COUNTIFS(Data!$B$2:$B$2284,$A20,Data!$D$2:$D$2284,"Omar.Mansour@vxi.com")</f>
        <v>0</v>
      </c>
      <c r="N20" s="14" t="n">
        <v>3</v>
      </c>
    </row>
    <row r="21" customFormat="false" ht="15" hidden="false" customHeight="false" outlineLevel="0" collapsed="false">
      <c r="A21" s="23" t="n">
        <v>46282</v>
      </c>
      <c r="B21" s="30" t="n">
        <f aca="false">COUNTIFS(Data!$B$2:$B$2284,$A21)</f>
        <v>4</v>
      </c>
      <c r="C21" s="15" t="n">
        <f aca="false">COUNTIFS(Data!$B$2:$B$2284,$A21,Data!$H$2:$H$2284,"Agent Opportunity")</f>
        <v>3</v>
      </c>
      <c r="D21" s="15" t="n">
        <f aca="false">COUNTIFS(Data!$B$2:$B$2284,$A21,Data!$H$2:$H$2284,"Customer")</f>
        <v>0</v>
      </c>
      <c r="E21" s="15" t="n">
        <f aca="false">COUNTIFS(Data!$B$2:$B$2284,$A21,Data!$H$2:$H$2284,"Comcast Process/Tools")</f>
        <v>1</v>
      </c>
      <c r="F21" s="15" t="n">
        <f aca="false">COUNTIFS(Data!$B$2:$B$2284,$A21,Data!$H$2:$H$2284,"No Audio Found on I3")</f>
        <v>0</v>
      </c>
      <c r="G21" s="15" t="n">
        <f aca="false">COUNTIFS(Data!$B$2:$B$2284,$A21,Data!$H$2:$H$2284,"VXI Process/Tools")</f>
        <v>0</v>
      </c>
      <c r="H21" s="16" t="n">
        <f aca="false">IF(B21=0,0,C21/B21)</f>
        <v>0.75</v>
      </c>
      <c r="I21" s="16" t="n">
        <f aca="false">IF(B21=0,0,E21/B21)</f>
        <v>0.25</v>
      </c>
      <c r="J21" s="16" t="n">
        <f aca="false">IF(B21=0,0,F21/B21)</f>
        <v>0</v>
      </c>
      <c r="K21" s="31" t="n">
        <f aca="false">B21-B22</f>
        <v>2</v>
      </c>
      <c r="L21" s="32" t="n">
        <f aca="false">(H21-H22)*100</f>
        <v>-25</v>
      </c>
      <c r="M21" s="15" t="n">
        <f aca="false">COUNTIFS(Data!$B$2:$B$2284,$A21,Data!$D$2:$D$2284,"Omar.Mansour@vxi.com")</f>
        <v>0</v>
      </c>
      <c r="N21" s="15" t="n">
        <v>2</v>
      </c>
    </row>
    <row r="22" customFormat="false" ht="15" hidden="false" customHeight="false" outlineLevel="0" collapsed="false">
      <c r="A22" s="22" t="n">
        <v>46281</v>
      </c>
      <c r="B22" s="27" t="n">
        <f aca="false">COUNTIFS(Data!$B$2:$B$2284,$A22)</f>
        <v>2</v>
      </c>
      <c r="C22" s="14" t="n">
        <f aca="false">COUNTIFS(Data!$B$2:$B$2284,$A22,Data!$H$2:$H$2284,"Agent Opportunity")</f>
        <v>2</v>
      </c>
      <c r="D22" s="14" t="n">
        <f aca="false">COUNTIFS(Data!$B$2:$B$2284,$A22,Data!$H$2:$H$2284,"Customer")</f>
        <v>0</v>
      </c>
      <c r="E22" s="14" t="n">
        <f aca="false">COUNTIFS(Data!$B$2:$B$2284,$A22,Data!$H$2:$H$2284,"Comcast Process/Tools")</f>
        <v>0</v>
      </c>
      <c r="F22" s="14" t="n">
        <f aca="false">COUNTIFS(Data!$B$2:$B$2284,$A22,Data!$H$2:$H$2284,"No Audio Found on I3")</f>
        <v>0</v>
      </c>
      <c r="G22" s="14" t="n">
        <f aca="false">COUNTIFS(Data!$B$2:$B$2284,$A22,Data!$H$2:$H$2284,"VXI Process/Tools")</f>
        <v>0</v>
      </c>
      <c r="H22" s="18" t="n">
        <f aca="false">IF(B22=0,0,C22/B22)</f>
        <v>1</v>
      </c>
      <c r="I22" s="18" t="n">
        <f aca="false">IF(B22=0,0,E22/B22)</f>
        <v>0</v>
      </c>
      <c r="J22" s="18" t="n">
        <f aca="false">IF(B22=0,0,F22/B22)</f>
        <v>0</v>
      </c>
      <c r="K22" s="28" t="n">
        <f aca="false">B22-B23</f>
        <v>1</v>
      </c>
      <c r="L22" s="29" t="n">
        <f aca="false">(H22-H23)*100</f>
        <v>100</v>
      </c>
      <c r="M22" s="14" t="n">
        <f aca="false">COUNTIFS(Data!$B$2:$B$2284,$A22,Data!$D$2:$D$2284,"Omar.Mansour@vxi.com")</f>
        <v>0</v>
      </c>
      <c r="N22" s="14" t="n">
        <v>1</v>
      </c>
    </row>
    <row r="23" customFormat="false" ht="15" hidden="false" customHeight="false" outlineLevel="0" collapsed="false">
      <c r="A23" s="23" t="n">
        <v>46280</v>
      </c>
      <c r="B23" s="30" t="n">
        <f aca="false">COUNTIFS(Data!$B$2:$B$2284,$A23)</f>
        <v>1</v>
      </c>
      <c r="C23" s="15" t="n">
        <f aca="false">COUNTIFS(Data!$B$2:$B$2284,$A23,Data!$H$2:$H$2284,"Agent Opportunity")</f>
        <v>0</v>
      </c>
      <c r="D23" s="15" t="n">
        <f aca="false">COUNTIFS(Data!$B$2:$B$2284,$A23,Data!$H$2:$H$2284,"Customer")</f>
        <v>0</v>
      </c>
      <c r="E23" s="15" t="n">
        <f aca="false">COUNTIFS(Data!$B$2:$B$2284,$A23,Data!$H$2:$H$2284,"Comcast Process/Tools")</f>
        <v>1</v>
      </c>
      <c r="F23" s="15" t="n">
        <f aca="false">COUNTIFS(Data!$B$2:$B$2284,$A23,Data!$H$2:$H$2284,"No Audio Found on I3")</f>
        <v>0</v>
      </c>
      <c r="G23" s="15" t="n">
        <f aca="false">COUNTIFS(Data!$B$2:$B$2284,$A23,Data!$H$2:$H$2284,"VXI Process/Tools")</f>
        <v>0</v>
      </c>
      <c r="H23" s="16" t="n">
        <f aca="false">IF(B23=0,0,C23/B23)</f>
        <v>0</v>
      </c>
      <c r="I23" s="16" t="n">
        <f aca="false">IF(B23=0,0,E23/B23)</f>
        <v>1</v>
      </c>
      <c r="J23" s="16" t="n">
        <f aca="false">IF(B23=0,0,F23/B23)</f>
        <v>0</v>
      </c>
      <c r="K23" s="31" t="n">
        <f aca="false">B23-B24</f>
        <v>-31</v>
      </c>
      <c r="L23" s="32" t="n">
        <f aca="false">(H23-H24)*100</f>
        <v>-56.25</v>
      </c>
      <c r="M23" s="15" t="n">
        <f aca="false">COUNTIFS(Data!$B$2:$B$2284,$A23,Data!$D$2:$D$2284,"Omar.Mansour@vxi.com")</f>
        <v>0</v>
      </c>
      <c r="N23" s="15" t="n">
        <v>1</v>
      </c>
    </row>
    <row r="24" customFormat="false" ht="15" hidden="false" customHeight="false" outlineLevel="0" collapsed="false">
      <c r="A24" s="22" t="n">
        <v>46279</v>
      </c>
      <c r="B24" s="27" t="n">
        <f aca="false">COUNTIFS(Data!$B$2:$B$2284,$A24)</f>
        <v>32</v>
      </c>
      <c r="C24" s="14" t="n">
        <f aca="false">COUNTIFS(Data!$B$2:$B$2284,$A24,Data!$H$2:$H$2284,"Agent Opportunity")</f>
        <v>18</v>
      </c>
      <c r="D24" s="14" t="n">
        <f aca="false">COUNTIFS(Data!$B$2:$B$2284,$A24,Data!$H$2:$H$2284,"Customer")</f>
        <v>6</v>
      </c>
      <c r="E24" s="14" t="n">
        <f aca="false">COUNTIFS(Data!$B$2:$B$2284,$A24,Data!$H$2:$H$2284,"Comcast Process/Tools")</f>
        <v>4</v>
      </c>
      <c r="F24" s="14" t="n">
        <f aca="false">COUNTIFS(Data!$B$2:$B$2284,$A24,Data!$H$2:$H$2284,"No Audio Found on I3")</f>
        <v>4</v>
      </c>
      <c r="G24" s="14" t="n">
        <f aca="false">COUNTIFS(Data!$B$2:$B$2284,$A24,Data!$H$2:$H$2284,"VXI Process/Tools")</f>
        <v>0</v>
      </c>
      <c r="H24" s="18" t="n">
        <f aca="false">IF(B24=0,0,C24/B24)</f>
        <v>0.5625</v>
      </c>
      <c r="I24" s="18" t="n">
        <f aca="false">IF(B24=0,0,E24/B24)</f>
        <v>0.125</v>
      </c>
      <c r="J24" s="18" t="n">
        <f aca="false">IF(B24=0,0,F24/B24)</f>
        <v>0.125</v>
      </c>
      <c r="K24" s="28" t="n">
        <f aca="false">B24-B25</f>
        <v>31</v>
      </c>
      <c r="L24" s="29" t="n">
        <f aca="false">(H24-H25)*100</f>
        <v>-43.75</v>
      </c>
      <c r="M24" s="14" t="n">
        <f aca="false">COUNTIFS(Data!$B$2:$B$2284,$A24,Data!$D$2:$D$2284,"Omar.Mansour@vxi.com")</f>
        <v>0</v>
      </c>
      <c r="N24" s="14" t="n">
        <v>2</v>
      </c>
    </row>
    <row r="25" customFormat="false" ht="15" hidden="false" customHeight="false" outlineLevel="0" collapsed="false">
      <c r="A25" s="23" t="n">
        <v>46278</v>
      </c>
      <c r="B25" s="30" t="n">
        <f aca="false">COUNTIFS(Data!$B$2:$B$2284,$A25)</f>
        <v>1</v>
      </c>
      <c r="C25" s="15" t="n">
        <f aca="false">COUNTIFS(Data!$B$2:$B$2284,$A25,Data!$H$2:$H$2284,"Agent Opportunity")</f>
        <v>1</v>
      </c>
      <c r="D25" s="15" t="n">
        <f aca="false">COUNTIFS(Data!$B$2:$B$2284,$A25,Data!$H$2:$H$2284,"Customer")</f>
        <v>0</v>
      </c>
      <c r="E25" s="15" t="n">
        <f aca="false">COUNTIFS(Data!$B$2:$B$2284,$A25,Data!$H$2:$H$2284,"Comcast Process/Tools")</f>
        <v>0</v>
      </c>
      <c r="F25" s="15" t="n">
        <f aca="false">COUNTIFS(Data!$B$2:$B$2284,$A25,Data!$H$2:$H$2284,"No Audio Found on I3")</f>
        <v>0</v>
      </c>
      <c r="G25" s="15" t="n">
        <f aca="false">COUNTIFS(Data!$B$2:$B$2284,$A25,Data!$H$2:$H$2284,"VXI Process/Tools")</f>
        <v>0</v>
      </c>
      <c r="H25" s="16" t="n">
        <f aca="false">IF(B25=0,0,C25/B25)</f>
        <v>1</v>
      </c>
      <c r="I25" s="16" t="n">
        <f aca="false">IF(B25=0,0,E25/B25)</f>
        <v>0</v>
      </c>
      <c r="J25" s="16" t="n">
        <f aca="false">IF(B25=0,0,F25/B25)</f>
        <v>0</v>
      </c>
      <c r="K25" s="31" t="n">
        <f aca="false">B25-B26</f>
        <v>-11</v>
      </c>
      <c r="L25" s="32" t="n">
        <f aca="false">(H25-H26)*100</f>
        <v>41.6666666666667</v>
      </c>
      <c r="M25" s="15" t="n">
        <f aca="false">COUNTIFS(Data!$B$2:$B$2284,$A25,Data!$D$2:$D$2284,"Omar.Mansour@vxi.com")</f>
        <v>0</v>
      </c>
      <c r="N25" s="15" t="n">
        <v>1</v>
      </c>
    </row>
    <row r="26" customFormat="false" ht="15" hidden="false" customHeight="false" outlineLevel="0" collapsed="false">
      <c r="A26" s="22" t="n">
        <v>46277</v>
      </c>
      <c r="B26" s="27" t="n">
        <f aca="false">COUNTIFS(Data!$B$2:$B$2284,$A26)</f>
        <v>12</v>
      </c>
      <c r="C26" s="14" t="n">
        <f aca="false">COUNTIFS(Data!$B$2:$B$2284,$A26,Data!$H$2:$H$2284,"Agent Opportunity")</f>
        <v>7</v>
      </c>
      <c r="D26" s="14" t="n">
        <f aca="false">COUNTIFS(Data!$B$2:$B$2284,$A26,Data!$H$2:$H$2284,"Customer")</f>
        <v>3</v>
      </c>
      <c r="E26" s="14" t="n">
        <f aca="false">COUNTIFS(Data!$B$2:$B$2284,$A26,Data!$H$2:$H$2284,"Comcast Process/Tools")</f>
        <v>1</v>
      </c>
      <c r="F26" s="14" t="n">
        <f aca="false">COUNTIFS(Data!$B$2:$B$2284,$A26,Data!$H$2:$H$2284,"No Audio Found on I3")</f>
        <v>1</v>
      </c>
      <c r="G26" s="14" t="n">
        <f aca="false">COUNTIFS(Data!$B$2:$B$2284,$A26,Data!$H$2:$H$2284,"VXI Process/Tools")</f>
        <v>0</v>
      </c>
      <c r="H26" s="18" t="n">
        <f aca="false">IF(B26=0,0,C26/B26)</f>
        <v>0.583333333333333</v>
      </c>
      <c r="I26" s="18" t="n">
        <f aca="false">IF(B26=0,0,E26/B26)</f>
        <v>0.0833333333333333</v>
      </c>
      <c r="J26" s="18" t="n">
        <f aca="false">IF(B26=0,0,F26/B26)</f>
        <v>0.0833333333333333</v>
      </c>
      <c r="K26" s="28" t="n">
        <f aca="false">B26-B27</f>
        <v>0</v>
      </c>
      <c r="L26" s="29" t="n">
        <f aca="false">(H26-H27)*100</f>
        <v>0</v>
      </c>
      <c r="M26" s="14" t="n">
        <f aca="false">COUNTIFS(Data!$B$2:$B$2284,$A26,Data!$D$2:$D$2284,"Omar.Mansour@vxi.com")</f>
        <v>0</v>
      </c>
      <c r="N26" s="14" t="n">
        <v>2</v>
      </c>
    </row>
    <row r="27" customFormat="false" ht="15" hidden="false" customHeight="false" outlineLevel="0" collapsed="false">
      <c r="A27" s="23" t="n">
        <v>46276</v>
      </c>
      <c r="B27" s="30" t="n">
        <f aca="false">COUNTIFS(Data!$B$2:$B$2284,$A27)</f>
        <v>12</v>
      </c>
      <c r="C27" s="15" t="n">
        <f aca="false">COUNTIFS(Data!$B$2:$B$2284,$A27,Data!$H$2:$H$2284,"Agent Opportunity")</f>
        <v>7</v>
      </c>
      <c r="D27" s="15" t="n">
        <f aca="false">COUNTIFS(Data!$B$2:$B$2284,$A27,Data!$H$2:$H$2284,"Customer")</f>
        <v>3</v>
      </c>
      <c r="E27" s="15" t="n">
        <f aca="false">COUNTIFS(Data!$B$2:$B$2284,$A27,Data!$H$2:$H$2284,"Comcast Process/Tools")</f>
        <v>0</v>
      </c>
      <c r="F27" s="15" t="n">
        <f aca="false">COUNTIFS(Data!$B$2:$B$2284,$A27,Data!$H$2:$H$2284,"No Audio Found on I3")</f>
        <v>1</v>
      </c>
      <c r="G27" s="15" t="n">
        <f aca="false">COUNTIFS(Data!$B$2:$B$2284,$A27,Data!$H$2:$H$2284,"VXI Process/Tools")</f>
        <v>1</v>
      </c>
      <c r="H27" s="16" t="n">
        <f aca="false">IF(B27=0,0,C27/B27)</f>
        <v>0.583333333333333</v>
      </c>
      <c r="I27" s="16" t="n">
        <f aca="false">IF(B27=0,0,E27/B27)</f>
        <v>0</v>
      </c>
      <c r="J27" s="16" t="n">
        <f aca="false">IF(B27=0,0,F27/B27)</f>
        <v>0.0833333333333333</v>
      </c>
      <c r="K27" s="31" t="n">
        <f aca="false">B27-B28</f>
        <v>-13</v>
      </c>
      <c r="L27" s="32" t="n">
        <f aca="false">(H27-H28)*100</f>
        <v>-25.6666666666667</v>
      </c>
      <c r="M27" s="15" t="n">
        <f aca="false">COUNTIFS(Data!$B$2:$B$2284,$A27,Data!$D$2:$D$2284,"Omar.Mansour@vxi.com")</f>
        <v>0</v>
      </c>
      <c r="N27" s="15" t="n">
        <v>3</v>
      </c>
    </row>
    <row r="28" customFormat="false" ht="15" hidden="false" customHeight="false" outlineLevel="0" collapsed="false">
      <c r="A28" s="22" t="n">
        <v>46275</v>
      </c>
      <c r="B28" s="27" t="n">
        <f aca="false">COUNTIFS(Data!$B$2:$B$2284,$A28)</f>
        <v>25</v>
      </c>
      <c r="C28" s="14" t="n">
        <f aca="false">COUNTIFS(Data!$B$2:$B$2284,$A28,Data!$H$2:$H$2284,"Agent Opportunity")</f>
        <v>21</v>
      </c>
      <c r="D28" s="14" t="n">
        <f aca="false">COUNTIFS(Data!$B$2:$B$2284,$A28,Data!$H$2:$H$2284,"Customer")</f>
        <v>1</v>
      </c>
      <c r="E28" s="14" t="n">
        <f aca="false">COUNTIFS(Data!$B$2:$B$2284,$A28,Data!$H$2:$H$2284,"Comcast Process/Tools")</f>
        <v>2</v>
      </c>
      <c r="F28" s="14" t="n">
        <f aca="false">COUNTIFS(Data!$B$2:$B$2284,$A28,Data!$H$2:$H$2284,"No Audio Found on I3")</f>
        <v>1</v>
      </c>
      <c r="G28" s="14" t="n">
        <f aca="false">COUNTIFS(Data!$B$2:$B$2284,$A28,Data!$H$2:$H$2284,"VXI Process/Tools")</f>
        <v>0</v>
      </c>
      <c r="H28" s="18" t="n">
        <f aca="false">IF(B28=0,0,C28/B28)</f>
        <v>0.84</v>
      </c>
      <c r="I28" s="18" t="n">
        <f aca="false">IF(B28=0,0,E28/B28)</f>
        <v>0.08</v>
      </c>
      <c r="J28" s="18" t="n">
        <f aca="false">IF(B28=0,0,F28/B28)</f>
        <v>0.04</v>
      </c>
      <c r="K28" s="28" t="n">
        <f aca="false">B28-B29</f>
        <v>24</v>
      </c>
      <c r="L28" s="29" t="n">
        <f aca="false">(H28-H29)*100</f>
        <v>-16</v>
      </c>
      <c r="M28" s="14" t="n">
        <f aca="false">COUNTIFS(Data!$B$2:$B$2284,$A28,Data!$D$2:$D$2284,"Omar.Mansour@vxi.com")</f>
        <v>0</v>
      </c>
      <c r="N28" s="14" t="n">
        <v>5</v>
      </c>
    </row>
    <row r="29" customFormat="false" ht="15" hidden="false" customHeight="false" outlineLevel="0" collapsed="false">
      <c r="A29" s="23" t="n">
        <v>46274</v>
      </c>
      <c r="B29" s="30" t="n">
        <f aca="false">COUNTIFS(Data!$B$2:$B$2284,$A29)</f>
        <v>1</v>
      </c>
      <c r="C29" s="15" t="n">
        <f aca="false">COUNTIFS(Data!$B$2:$B$2284,$A29,Data!$H$2:$H$2284,"Agent Opportunity")</f>
        <v>1</v>
      </c>
      <c r="D29" s="15" t="n">
        <f aca="false">COUNTIFS(Data!$B$2:$B$2284,$A29,Data!$H$2:$H$2284,"Customer")</f>
        <v>0</v>
      </c>
      <c r="E29" s="15" t="n">
        <f aca="false">COUNTIFS(Data!$B$2:$B$2284,$A29,Data!$H$2:$H$2284,"Comcast Process/Tools")</f>
        <v>0</v>
      </c>
      <c r="F29" s="15" t="n">
        <f aca="false">COUNTIFS(Data!$B$2:$B$2284,$A29,Data!$H$2:$H$2284,"No Audio Found on I3")</f>
        <v>0</v>
      </c>
      <c r="G29" s="15" t="n">
        <f aca="false">COUNTIFS(Data!$B$2:$B$2284,$A29,Data!$H$2:$H$2284,"VXI Process/Tools")</f>
        <v>0</v>
      </c>
      <c r="H29" s="16" t="n">
        <f aca="false">IF(B29=0,0,C29/B29)</f>
        <v>1</v>
      </c>
      <c r="I29" s="16" t="n">
        <f aca="false">IF(B29=0,0,E29/B29)</f>
        <v>0</v>
      </c>
      <c r="J29" s="16" t="n">
        <f aca="false">IF(B29=0,0,F29/B29)</f>
        <v>0</v>
      </c>
      <c r="K29" s="31" t="n">
        <f aca="false">B29-B30</f>
        <v>-1</v>
      </c>
      <c r="L29" s="32" t="n">
        <f aca="false">(H29-H30)*100</f>
        <v>0</v>
      </c>
      <c r="M29" s="15" t="n">
        <f aca="false">COUNTIFS(Data!$B$2:$B$2284,$A29,Data!$D$2:$D$2284,"Omar.Mansour@vxi.com")</f>
        <v>0</v>
      </c>
      <c r="N29" s="15" t="n">
        <v>1</v>
      </c>
    </row>
    <row r="30" customFormat="false" ht="15" hidden="false" customHeight="false" outlineLevel="0" collapsed="false">
      <c r="A30" s="22" t="n">
        <v>46273</v>
      </c>
      <c r="B30" s="27" t="n">
        <f aca="false">COUNTIFS(Data!$B$2:$B$2284,$A30)</f>
        <v>2</v>
      </c>
      <c r="C30" s="14" t="n">
        <f aca="false">COUNTIFS(Data!$B$2:$B$2284,$A30,Data!$H$2:$H$2284,"Agent Opportunity")</f>
        <v>2</v>
      </c>
      <c r="D30" s="14" t="n">
        <f aca="false">COUNTIFS(Data!$B$2:$B$2284,$A30,Data!$H$2:$H$2284,"Customer")</f>
        <v>0</v>
      </c>
      <c r="E30" s="14" t="n">
        <f aca="false">COUNTIFS(Data!$B$2:$B$2284,$A30,Data!$H$2:$H$2284,"Comcast Process/Tools")</f>
        <v>0</v>
      </c>
      <c r="F30" s="14" t="n">
        <f aca="false">COUNTIFS(Data!$B$2:$B$2284,$A30,Data!$H$2:$H$2284,"No Audio Found on I3")</f>
        <v>0</v>
      </c>
      <c r="G30" s="14" t="n">
        <f aca="false">COUNTIFS(Data!$B$2:$B$2284,$A30,Data!$H$2:$H$2284,"VXI Process/Tools")</f>
        <v>0</v>
      </c>
      <c r="H30" s="18" t="n">
        <f aca="false">IF(B30=0,0,C30/B30)</f>
        <v>1</v>
      </c>
      <c r="I30" s="18" t="n">
        <f aca="false">IF(B30=0,0,E30/B30)</f>
        <v>0</v>
      </c>
      <c r="J30" s="18" t="n">
        <f aca="false">IF(B30=0,0,F30/B30)</f>
        <v>0</v>
      </c>
      <c r="K30" s="28" t="n">
        <f aca="false">B30-B31</f>
        <v>-5</v>
      </c>
      <c r="L30" s="29" t="n">
        <f aca="false">(H30-H31)*100</f>
        <v>57.1428571428571</v>
      </c>
      <c r="M30" s="14" t="n">
        <f aca="false">COUNTIFS(Data!$B$2:$B$2284,$A30,Data!$D$2:$D$2284,"Omar.Mansour@vxi.com")</f>
        <v>0</v>
      </c>
      <c r="N30" s="14" t="n">
        <v>1</v>
      </c>
    </row>
    <row r="31" customFormat="false" ht="15" hidden="false" customHeight="false" outlineLevel="0" collapsed="false">
      <c r="A31" s="23" t="n">
        <v>46272</v>
      </c>
      <c r="B31" s="30" t="n">
        <f aca="false">COUNTIFS(Data!$B$2:$B$2284,$A31)</f>
        <v>7</v>
      </c>
      <c r="C31" s="15" t="n">
        <f aca="false">COUNTIFS(Data!$B$2:$B$2284,$A31,Data!$H$2:$H$2284,"Agent Opportunity")</f>
        <v>3</v>
      </c>
      <c r="D31" s="15" t="n">
        <f aca="false">COUNTIFS(Data!$B$2:$B$2284,$A31,Data!$H$2:$H$2284,"Customer")</f>
        <v>0</v>
      </c>
      <c r="E31" s="15" t="n">
        <f aca="false">COUNTIFS(Data!$B$2:$B$2284,$A31,Data!$H$2:$H$2284,"Comcast Process/Tools")</f>
        <v>4</v>
      </c>
      <c r="F31" s="15" t="n">
        <f aca="false">COUNTIFS(Data!$B$2:$B$2284,$A31,Data!$H$2:$H$2284,"No Audio Found on I3")</f>
        <v>0</v>
      </c>
      <c r="G31" s="15" t="n">
        <f aca="false">COUNTIFS(Data!$B$2:$B$2284,$A31,Data!$H$2:$H$2284,"VXI Process/Tools")</f>
        <v>0</v>
      </c>
      <c r="H31" s="16" t="n">
        <f aca="false">IF(B31=0,0,C31/B31)</f>
        <v>0.428571428571429</v>
      </c>
      <c r="I31" s="16" t="n">
        <f aca="false">IF(B31=0,0,E31/B31)</f>
        <v>0.571428571428571</v>
      </c>
      <c r="J31" s="16" t="n">
        <f aca="false">IF(B31=0,0,F31/B31)</f>
        <v>0</v>
      </c>
      <c r="K31" s="31" t="n">
        <f aca="false">B31-B32</f>
        <v>1</v>
      </c>
      <c r="L31" s="32" t="n">
        <f aca="false">(H31-H32)*100</f>
        <v>-40.4761904761905</v>
      </c>
      <c r="M31" s="15" t="n">
        <f aca="false">COUNTIFS(Data!$B$2:$B$2284,$A31,Data!$D$2:$D$2284,"Omar.Mansour@vxi.com")</f>
        <v>0</v>
      </c>
      <c r="N31" s="15" t="n">
        <v>1</v>
      </c>
    </row>
    <row r="32" customFormat="false" ht="15" hidden="false" customHeight="false" outlineLevel="0" collapsed="false">
      <c r="A32" s="22" t="n">
        <v>46271</v>
      </c>
      <c r="B32" s="27" t="n">
        <f aca="false">COUNTIFS(Data!$B$2:$B$2284,$A32)</f>
        <v>6</v>
      </c>
      <c r="C32" s="14" t="n">
        <f aca="false">COUNTIFS(Data!$B$2:$B$2284,$A32,Data!$H$2:$H$2284,"Agent Opportunity")</f>
        <v>5</v>
      </c>
      <c r="D32" s="14" t="n">
        <f aca="false">COUNTIFS(Data!$B$2:$B$2284,$A32,Data!$H$2:$H$2284,"Customer")</f>
        <v>1</v>
      </c>
      <c r="E32" s="14" t="n">
        <f aca="false">COUNTIFS(Data!$B$2:$B$2284,$A32,Data!$H$2:$H$2284,"Comcast Process/Tools")</f>
        <v>0</v>
      </c>
      <c r="F32" s="14" t="n">
        <f aca="false">COUNTIFS(Data!$B$2:$B$2284,$A32,Data!$H$2:$H$2284,"No Audio Found on I3")</f>
        <v>0</v>
      </c>
      <c r="G32" s="14" t="n">
        <f aca="false">COUNTIFS(Data!$B$2:$B$2284,$A32,Data!$H$2:$H$2284,"VXI Process/Tools")</f>
        <v>0</v>
      </c>
      <c r="H32" s="18" t="n">
        <f aca="false">IF(B32=0,0,C32/B32)</f>
        <v>0.833333333333333</v>
      </c>
      <c r="I32" s="18" t="n">
        <f aca="false">IF(B32=0,0,E32/B32)</f>
        <v>0</v>
      </c>
      <c r="J32" s="18" t="n">
        <f aca="false">IF(B32=0,0,F32/B32)</f>
        <v>0</v>
      </c>
      <c r="K32" s="28" t="n">
        <f aca="false">B32-B33</f>
        <v>4</v>
      </c>
      <c r="L32" s="29" t="n">
        <f aca="false">(H32-H33)*100</f>
        <v>-16.6666666666667</v>
      </c>
      <c r="M32" s="14" t="n">
        <f aca="false">COUNTIFS(Data!$B$2:$B$2284,$A32,Data!$D$2:$D$2284,"Omar.Mansour@vxi.com")</f>
        <v>0</v>
      </c>
      <c r="N32" s="14" t="n">
        <v>2</v>
      </c>
    </row>
    <row r="33" customFormat="false" ht="15" hidden="false" customHeight="false" outlineLevel="0" collapsed="false">
      <c r="A33" s="23" t="n">
        <v>46270</v>
      </c>
      <c r="B33" s="30" t="n">
        <f aca="false">COUNTIFS(Data!$B$2:$B$2284,$A33)</f>
        <v>2</v>
      </c>
      <c r="C33" s="15" t="n">
        <f aca="false">COUNTIFS(Data!$B$2:$B$2284,$A33,Data!$H$2:$H$2284,"Agent Opportunity")</f>
        <v>2</v>
      </c>
      <c r="D33" s="15" t="n">
        <f aca="false">COUNTIFS(Data!$B$2:$B$2284,$A33,Data!$H$2:$H$2284,"Customer")</f>
        <v>0</v>
      </c>
      <c r="E33" s="15" t="n">
        <f aca="false">COUNTIFS(Data!$B$2:$B$2284,$A33,Data!$H$2:$H$2284,"Comcast Process/Tools")</f>
        <v>0</v>
      </c>
      <c r="F33" s="15" t="n">
        <f aca="false">COUNTIFS(Data!$B$2:$B$2284,$A33,Data!$H$2:$H$2284,"No Audio Found on I3")</f>
        <v>0</v>
      </c>
      <c r="G33" s="15" t="n">
        <f aca="false">COUNTIFS(Data!$B$2:$B$2284,$A33,Data!$H$2:$H$2284,"VXI Process/Tools")</f>
        <v>0</v>
      </c>
      <c r="H33" s="16" t="n">
        <f aca="false">IF(B33=0,0,C33/B33)</f>
        <v>1</v>
      </c>
      <c r="I33" s="16" t="n">
        <f aca="false">IF(B33=0,0,E33/B33)</f>
        <v>0</v>
      </c>
      <c r="J33" s="16" t="n">
        <f aca="false">IF(B33=0,0,F33/B33)</f>
        <v>0</v>
      </c>
      <c r="K33" s="31" t="n">
        <f aca="false">B33-B34</f>
        <v>-11</v>
      </c>
      <c r="L33" s="32" t="n">
        <f aca="false">(H33-H34)*100</f>
        <v>30.7692307692308</v>
      </c>
      <c r="M33" s="15" t="n">
        <f aca="false">COUNTIFS(Data!$B$2:$B$2284,$A33,Data!$D$2:$D$2284,"Omar.Mansour@vxi.com")</f>
        <v>0</v>
      </c>
      <c r="N33" s="15" t="n">
        <v>1</v>
      </c>
    </row>
    <row r="34" customFormat="false" ht="15" hidden="false" customHeight="false" outlineLevel="0" collapsed="false">
      <c r="A34" s="22" t="n">
        <v>46269</v>
      </c>
      <c r="B34" s="27" t="n">
        <f aca="false">COUNTIFS(Data!$B$2:$B$2284,$A34)</f>
        <v>13</v>
      </c>
      <c r="C34" s="14" t="n">
        <f aca="false">COUNTIFS(Data!$B$2:$B$2284,$A34,Data!$H$2:$H$2284,"Agent Opportunity")</f>
        <v>9</v>
      </c>
      <c r="D34" s="14" t="n">
        <f aca="false">COUNTIFS(Data!$B$2:$B$2284,$A34,Data!$H$2:$H$2284,"Customer")</f>
        <v>1</v>
      </c>
      <c r="E34" s="14" t="n">
        <f aca="false">COUNTIFS(Data!$B$2:$B$2284,$A34,Data!$H$2:$H$2284,"Comcast Process/Tools")</f>
        <v>2</v>
      </c>
      <c r="F34" s="14" t="n">
        <f aca="false">COUNTIFS(Data!$B$2:$B$2284,$A34,Data!$H$2:$H$2284,"No Audio Found on I3")</f>
        <v>1</v>
      </c>
      <c r="G34" s="14" t="n">
        <f aca="false">COUNTIFS(Data!$B$2:$B$2284,$A34,Data!$H$2:$H$2284,"VXI Process/Tools")</f>
        <v>0</v>
      </c>
      <c r="H34" s="18" t="n">
        <f aca="false">IF(B34=0,0,C34/B34)</f>
        <v>0.692307692307692</v>
      </c>
      <c r="I34" s="18" t="n">
        <f aca="false">IF(B34=0,0,E34/B34)</f>
        <v>0.153846153846154</v>
      </c>
      <c r="J34" s="18" t="n">
        <f aca="false">IF(B34=0,0,F34/B34)</f>
        <v>0.0769230769230769</v>
      </c>
      <c r="K34" s="28" t="n">
        <f aca="false">B34-B35</f>
        <v>7</v>
      </c>
      <c r="L34" s="29" t="n">
        <f aca="false">(H34-H35)*100</f>
        <v>-14.1025641025641</v>
      </c>
      <c r="M34" s="14" t="n">
        <f aca="false">COUNTIFS(Data!$B$2:$B$2284,$A34,Data!$D$2:$D$2284,"Omar.Mansour@vxi.com")</f>
        <v>0</v>
      </c>
      <c r="N34" s="14" t="n">
        <v>2</v>
      </c>
    </row>
    <row r="35" customFormat="false" ht="15" hidden="false" customHeight="false" outlineLevel="0" collapsed="false">
      <c r="A35" s="23" t="n">
        <v>46268</v>
      </c>
      <c r="B35" s="30" t="n">
        <f aca="false">COUNTIFS(Data!$B$2:$B$2284,$A35)</f>
        <v>6</v>
      </c>
      <c r="C35" s="15" t="n">
        <f aca="false">COUNTIFS(Data!$B$2:$B$2284,$A35,Data!$H$2:$H$2284,"Agent Opportunity")</f>
        <v>5</v>
      </c>
      <c r="D35" s="15" t="n">
        <f aca="false">COUNTIFS(Data!$B$2:$B$2284,$A35,Data!$H$2:$H$2284,"Customer")</f>
        <v>1</v>
      </c>
      <c r="E35" s="15" t="n">
        <f aca="false">COUNTIFS(Data!$B$2:$B$2284,$A35,Data!$H$2:$H$2284,"Comcast Process/Tools")</f>
        <v>0</v>
      </c>
      <c r="F35" s="15" t="n">
        <f aca="false">COUNTIFS(Data!$B$2:$B$2284,$A35,Data!$H$2:$H$2284,"No Audio Found on I3")</f>
        <v>0</v>
      </c>
      <c r="G35" s="15" t="n">
        <f aca="false">COUNTIFS(Data!$B$2:$B$2284,$A35,Data!$H$2:$H$2284,"VXI Process/Tools")</f>
        <v>0</v>
      </c>
      <c r="H35" s="16" t="n">
        <f aca="false">IF(B35=0,0,C35/B35)</f>
        <v>0.833333333333333</v>
      </c>
      <c r="I35" s="16" t="n">
        <f aca="false">IF(B35=0,0,E35/B35)</f>
        <v>0</v>
      </c>
      <c r="J35" s="16" t="n">
        <f aca="false">IF(B35=0,0,F35/B35)</f>
        <v>0</v>
      </c>
      <c r="K35" s="31" t="n">
        <f aca="false">B35-B36</f>
        <v>3</v>
      </c>
      <c r="L35" s="32" t="n">
        <f aca="false">(H35-H36)*100</f>
        <v>50</v>
      </c>
      <c r="M35" s="15" t="n">
        <f aca="false">COUNTIFS(Data!$B$2:$B$2284,$A35,Data!$D$2:$D$2284,"Omar.Mansour@vxi.com")</f>
        <v>0</v>
      </c>
      <c r="N35" s="15" t="n">
        <v>1</v>
      </c>
    </row>
    <row r="36" customFormat="false" ht="15" hidden="false" customHeight="false" outlineLevel="0" collapsed="false">
      <c r="A36" s="22" t="n">
        <v>46267</v>
      </c>
      <c r="B36" s="27" t="n">
        <f aca="false">COUNTIFS(Data!$B$2:$B$2284,$A36)</f>
        <v>3</v>
      </c>
      <c r="C36" s="14" t="n">
        <f aca="false">COUNTIFS(Data!$B$2:$B$2284,$A36,Data!$H$2:$H$2284,"Agent Opportunity")</f>
        <v>1</v>
      </c>
      <c r="D36" s="14" t="n">
        <f aca="false">COUNTIFS(Data!$B$2:$B$2284,$A36,Data!$H$2:$H$2284,"Customer")</f>
        <v>2</v>
      </c>
      <c r="E36" s="14" t="n">
        <f aca="false">COUNTIFS(Data!$B$2:$B$2284,$A36,Data!$H$2:$H$2284,"Comcast Process/Tools")</f>
        <v>0</v>
      </c>
      <c r="F36" s="14" t="n">
        <f aca="false">COUNTIFS(Data!$B$2:$B$2284,$A36,Data!$H$2:$H$2284,"No Audio Found on I3")</f>
        <v>0</v>
      </c>
      <c r="G36" s="14" t="n">
        <f aca="false">COUNTIFS(Data!$B$2:$B$2284,$A36,Data!$H$2:$H$2284,"VXI Process/Tools")</f>
        <v>0</v>
      </c>
      <c r="H36" s="18" t="n">
        <f aca="false">IF(B36=0,0,C36/B36)</f>
        <v>0.333333333333333</v>
      </c>
      <c r="I36" s="18" t="n">
        <f aca="false">IF(B36=0,0,E36/B36)</f>
        <v>0</v>
      </c>
      <c r="J36" s="18" t="n">
        <f aca="false">IF(B36=0,0,F36/B36)</f>
        <v>0</v>
      </c>
      <c r="K36" s="28" t="n">
        <f aca="false">B36-B37</f>
        <v>-3</v>
      </c>
      <c r="L36" s="29" t="n">
        <f aca="false">(H36-H37)*100</f>
        <v>-16.6666666666667</v>
      </c>
      <c r="M36" s="14" t="n">
        <f aca="false">COUNTIFS(Data!$B$2:$B$2284,$A36,Data!$D$2:$D$2284,"Omar.Mansour@vxi.com")</f>
        <v>0</v>
      </c>
      <c r="N36" s="14" t="n">
        <v>2</v>
      </c>
    </row>
    <row r="37" customFormat="false" ht="15" hidden="false" customHeight="false" outlineLevel="0" collapsed="false">
      <c r="A37" s="23" t="n">
        <v>46266</v>
      </c>
      <c r="B37" s="30" t="n">
        <f aca="false">COUNTIFS(Data!$B$2:$B$2284,$A37)</f>
        <v>6</v>
      </c>
      <c r="C37" s="15" t="n">
        <f aca="false">COUNTIFS(Data!$B$2:$B$2284,$A37,Data!$H$2:$H$2284,"Agent Opportunity")</f>
        <v>3</v>
      </c>
      <c r="D37" s="15" t="n">
        <f aca="false">COUNTIFS(Data!$B$2:$B$2284,$A37,Data!$H$2:$H$2284,"Customer")</f>
        <v>1</v>
      </c>
      <c r="E37" s="15" t="n">
        <f aca="false">COUNTIFS(Data!$B$2:$B$2284,$A37,Data!$H$2:$H$2284,"Comcast Process/Tools")</f>
        <v>1</v>
      </c>
      <c r="F37" s="15" t="n">
        <f aca="false">COUNTIFS(Data!$B$2:$B$2284,$A37,Data!$H$2:$H$2284,"No Audio Found on I3")</f>
        <v>1</v>
      </c>
      <c r="G37" s="15" t="n">
        <f aca="false">COUNTIFS(Data!$B$2:$B$2284,$A37,Data!$H$2:$H$2284,"VXI Process/Tools")</f>
        <v>0</v>
      </c>
      <c r="H37" s="16" t="n">
        <f aca="false">IF(B37=0,0,C37/B37)</f>
        <v>0.5</v>
      </c>
      <c r="I37" s="16" t="n">
        <f aca="false">IF(B37=0,0,E37/B37)</f>
        <v>0.166666666666667</v>
      </c>
      <c r="J37" s="16" t="n">
        <f aca="false">IF(B37=0,0,F37/B37)</f>
        <v>0.166666666666667</v>
      </c>
      <c r="K37" s="31" t="n">
        <f aca="false">B37-B38</f>
        <v>-10</v>
      </c>
      <c r="L37" s="32" t="n">
        <f aca="false">(H37-H38)*100</f>
        <v>-18.75</v>
      </c>
      <c r="M37" s="15" t="n">
        <f aca="false">COUNTIFS(Data!$B$2:$B$2284,$A37,Data!$D$2:$D$2284,"Omar.Mansour@vxi.com")</f>
        <v>0</v>
      </c>
      <c r="N37" s="15" t="n">
        <v>2</v>
      </c>
    </row>
    <row r="38" customFormat="false" ht="15" hidden="false" customHeight="false" outlineLevel="0" collapsed="false">
      <c r="A38" s="22" t="n">
        <v>46265</v>
      </c>
      <c r="B38" s="27" t="n">
        <f aca="false">COUNTIFS(Data!$B$2:$B$2284,$A38)</f>
        <v>16</v>
      </c>
      <c r="C38" s="14" t="n">
        <f aca="false">COUNTIFS(Data!$B$2:$B$2284,$A38,Data!$H$2:$H$2284,"Agent Opportunity")</f>
        <v>11</v>
      </c>
      <c r="D38" s="14" t="n">
        <f aca="false">COUNTIFS(Data!$B$2:$B$2284,$A38,Data!$H$2:$H$2284,"Customer")</f>
        <v>0</v>
      </c>
      <c r="E38" s="14" t="n">
        <f aca="false">COUNTIFS(Data!$B$2:$B$2284,$A38,Data!$H$2:$H$2284,"Comcast Process/Tools")</f>
        <v>3</v>
      </c>
      <c r="F38" s="14" t="n">
        <f aca="false">COUNTIFS(Data!$B$2:$B$2284,$A38,Data!$H$2:$H$2284,"No Audio Found on I3")</f>
        <v>2</v>
      </c>
      <c r="G38" s="14" t="n">
        <f aca="false">COUNTIFS(Data!$B$2:$B$2284,$A38,Data!$H$2:$H$2284,"VXI Process/Tools")</f>
        <v>0</v>
      </c>
      <c r="H38" s="18" t="n">
        <f aca="false">IF(B38=0,0,C38/B38)</f>
        <v>0.6875</v>
      </c>
      <c r="I38" s="18" t="n">
        <f aca="false">IF(B38=0,0,E38/B38)</f>
        <v>0.1875</v>
      </c>
      <c r="J38" s="18" t="n">
        <f aca="false">IF(B38=0,0,F38/B38)</f>
        <v>0.125</v>
      </c>
      <c r="K38" s="28" t="n">
        <f aca="false">B38-B39</f>
        <v>6</v>
      </c>
      <c r="L38" s="29" t="n">
        <f aca="false">(H38-H39)*100</f>
        <v>-21.25</v>
      </c>
      <c r="M38" s="14" t="n">
        <f aca="false">COUNTIFS(Data!$B$2:$B$2284,$A38,Data!$D$2:$D$2284,"Omar.Mansour@vxi.com")</f>
        <v>0</v>
      </c>
      <c r="N38" s="14" t="n">
        <v>2</v>
      </c>
    </row>
    <row r="39" customFormat="false" ht="15" hidden="false" customHeight="false" outlineLevel="0" collapsed="false">
      <c r="A39" s="23" t="n">
        <v>46264</v>
      </c>
      <c r="B39" s="30" t="n">
        <f aca="false">COUNTIFS(Data!$B$2:$B$2284,$A39)</f>
        <v>10</v>
      </c>
      <c r="C39" s="15" t="n">
        <f aca="false">COUNTIFS(Data!$B$2:$B$2284,$A39,Data!$H$2:$H$2284,"Agent Opportunity")</f>
        <v>9</v>
      </c>
      <c r="D39" s="15" t="n">
        <f aca="false">COUNTIFS(Data!$B$2:$B$2284,$A39,Data!$H$2:$H$2284,"Customer")</f>
        <v>0</v>
      </c>
      <c r="E39" s="15" t="n">
        <f aca="false">COUNTIFS(Data!$B$2:$B$2284,$A39,Data!$H$2:$H$2284,"Comcast Process/Tools")</f>
        <v>1</v>
      </c>
      <c r="F39" s="15" t="n">
        <f aca="false">COUNTIFS(Data!$B$2:$B$2284,$A39,Data!$H$2:$H$2284,"No Audio Found on I3")</f>
        <v>0</v>
      </c>
      <c r="G39" s="15" t="n">
        <f aca="false">COUNTIFS(Data!$B$2:$B$2284,$A39,Data!$H$2:$H$2284,"VXI Process/Tools")</f>
        <v>0</v>
      </c>
      <c r="H39" s="16" t="n">
        <f aca="false">IF(B39=0,0,C39/B39)</f>
        <v>0.9</v>
      </c>
      <c r="I39" s="16" t="n">
        <f aca="false">IF(B39=0,0,E39/B39)</f>
        <v>0.1</v>
      </c>
      <c r="J39" s="16" t="n">
        <f aca="false">IF(B39=0,0,F39/B39)</f>
        <v>0</v>
      </c>
      <c r="K39" s="31" t="n">
        <f aca="false">B39-B40</f>
        <v>-16</v>
      </c>
      <c r="L39" s="32" t="n">
        <f aca="false">(H39-H40)*100</f>
        <v>24.6153846153846</v>
      </c>
      <c r="M39" s="15" t="n">
        <f aca="false">COUNTIFS(Data!$B$2:$B$2284,$A39,Data!$D$2:$D$2284,"Omar.Mansour@vxi.com")</f>
        <v>0</v>
      </c>
      <c r="N39" s="15" t="n">
        <v>2</v>
      </c>
    </row>
    <row r="40" customFormat="false" ht="15" hidden="false" customHeight="false" outlineLevel="0" collapsed="false">
      <c r="A40" s="22" t="n">
        <v>46263</v>
      </c>
      <c r="B40" s="27" t="n">
        <f aca="false">COUNTIFS(Data!$B$2:$B$2284,$A40)</f>
        <v>26</v>
      </c>
      <c r="C40" s="14" t="n">
        <f aca="false">COUNTIFS(Data!$B$2:$B$2284,$A40,Data!$H$2:$H$2284,"Agent Opportunity")</f>
        <v>17</v>
      </c>
      <c r="D40" s="14" t="n">
        <f aca="false">COUNTIFS(Data!$B$2:$B$2284,$A40,Data!$H$2:$H$2284,"Customer")</f>
        <v>3</v>
      </c>
      <c r="E40" s="14" t="n">
        <f aca="false">COUNTIFS(Data!$B$2:$B$2284,$A40,Data!$H$2:$H$2284,"Comcast Process/Tools")</f>
        <v>4</v>
      </c>
      <c r="F40" s="14" t="n">
        <f aca="false">COUNTIFS(Data!$B$2:$B$2284,$A40,Data!$H$2:$H$2284,"No Audio Found on I3")</f>
        <v>2</v>
      </c>
      <c r="G40" s="14" t="n">
        <f aca="false">COUNTIFS(Data!$B$2:$B$2284,$A40,Data!$H$2:$H$2284,"VXI Process/Tools")</f>
        <v>0</v>
      </c>
      <c r="H40" s="18" t="n">
        <f aca="false">IF(B40=0,0,C40/B40)</f>
        <v>0.653846153846154</v>
      </c>
      <c r="I40" s="18" t="n">
        <f aca="false">IF(B40=0,0,E40/B40)</f>
        <v>0.153846153846154</v>
      </c>
      <c r="J40" s="18" t="n">
        <f aca="false">IF(B40=0,0,F40/B40)</f>
        <v>0.0769230769230769</v>
      </c>
      <c r="K40" s="28" t="n">
        <f aca="false">B40-B41</f>
        <v>15</v>
      </c>
      <c r="L40" s="29" t="n">
        <f aca="false">(H40-H41)*100</f>
        <v>-25.5244755244755</v>
      </c>
      <c r="M40" s="14" t="n">
        <f aca="false">COUNTIFS(Data!$B$2:$B$2284,$A40,Data!$D$2:$D$2284,"Omar.Mansour@vxi.com")</f>
        <v>0</v>
      </c>
      <c r="N40" s="14" t="n">
        <v>4</v>
      </c>
    </row>
    <row r="41" customFormat="false" ht="15" hidden="false" customHeight="false" outlineLevel="0" collapsed="false">
      <c r="A41" s="23" t="n">
        <v>46262</v>
      </c>
      <c r="B41" s="30" t="n">
        <f aca="false">COUNTIFS(Data!$B$2:$B$2284,$A41)</f>
        <v>11</v>
      </c>
      <c r="C41" s="15" t="n">
        <f aca="false">COUNTIFS(Data!$B$2:$B$2284,$A41,Data!$H$2:$H$2284,"Agent Opportunity")</f>
        <v>10</v>
      </c>
      <c r="D41" s="15" t="n">
        <f aca="false">COUNTIFS(Data!$B$2:$B$2284,$A41,Data!$H$2:$H$2284,"Customer")</f>
        <v>0</v>
      </c>
      <c r="E41" s="15" t="n">
        <f aca="false">COUNTIFS(Data!$B$2:$B$2284,$A41,Data!$H$2:$H$2284,"Comcast Process/Tools")</f>
        <v>1</v>
      </c>
      <c r="F41" s="15" t="n">
        <f aca="false">COUNTIFS(Data!$B$2:$B$2284,$A41,Data!$H$2:$H$2284,"No Audio Found on I3")</f>
        <v>0</v>
      </c>
      <c r="G41" s="15" t="n">
        <f aca="false">COUNTIFS(Data!$B$2:$B$2284,$A41,Data!$H$2:$H$2284,"VXI Process/Tools")</f>
        <v>0</v>
      </c>
      <c r="H41" s="16" t="n">
        <f aca="false">IF(B41=0,0,C41/B41)</f>
        <v>0.909090909090909</v>
      </c>
      <c r="I41" s="16" t="n">
        <f aca="false">IF(B41=0,0,E41/B41)</f>
        <v>0.0909090909090909</v>
      </c>
      <c r="J41" s="16" t="n">
        <f aca="false">IF(B41=0,0,F41/B41)</f>
        <v>0</v>
      </c>
      <c r="K41" s="31" t="n">
        <f aca="false">B41-B42</f>
        <v>3</v>
      </c>
      <c r="L41" s="32" t="n">
        <f aca="false">(H41-H42)*100</f>
        <v>15.9090909090909</v>
      </c>
      <c r="M41" s="15" t="n">
        <f aca="false">COUNTIFS(Data!$B$2:$B$2284,$A41,Data!$D$2:$D$2284,"Omar.Mansour@vxi.com")</f>
        <v>0</v>
      </c>
      <c r="N41" s="15" t="n">
        <v>3</v>
      </c>
    </row>
    <row r="42" customFormat="false" ht="15" hidden="false" customHeight="false" outlineLevel="0" collapsed="false">
      <c r="A42" s="22" t="n">
        <v>46261</v>
      </c>
      <c r="B42" s="27" t="n">
        <f aca="false">COUNTIFS(Data!$B$2:$B$2284,$A42)</f>
        <v>8</v>
      </c>
      <c r="C42" s="14" t="n">
        <f aca="false">COUNTIFS(Data!$B$2:$B$2284,$A42,Data!$H$2:$H$2284,"Agent Opportunity")</f>
        <v>6</v>
      </c>
      <c r="D42" s="14" t="n">
        <f aca="false">COUNTIFS(Data!$B$2:$B$2284,$A42,Data!$H$2:$H$2284,"Customer")</f>
        <v>1</v>
      </c>
      <c r="E42" s="14" t="n">
        <f aca="false">COUNTIFS(Data!$B$2:$B$2284,$A42,Data!$H$2:$H$2284,"Comcast Process/Tools")</f>
        <v>0</v>
      </c>
      <c r="F42" s="14" t="n">
        <f aca="false">COUNTIFS(Data!$B$2:$B$2284,$A42,Data!$H$2:$H$2284,"No Audio Found on I3")</f>
        <v>1</v>
      </c>
      <c r="G42" s="14" t="n">
        <f aca="false">COUNTIFS(Data!$B$2:$B$2284,$A42,Data!$H$2:$H$2284,"VXI Process/Tools")</f>
        <v>0</v>
      </c>
      <c r="H42" s="18" t="n">
        <f aca="false">IF(B42=0,0,C42/B42)</f>
        <v>0.75</v>
      </c>
      <c r="I42" s="18" t="n">
        <f aca="false">IF(B42=0,0,E42/B42)</f>
        <v>0</v>
      </c>
      <c r="J42" s="18" t="n">
        <f aca="false">IF(B42=0,0,F42/B42)</f>
        <v>0.125</v>
      </c>
      <c r="K42" s="28" t="n">
        <f aca="false">B42-B43</f>
        <v>4</v>
      </c>
      <c r="L42" s="29" t="n">
        <f aca="false">(H42-H43)*100</f>
        <v>25</v>
      </c>
      <c r="M42" s="14" t="n">
        <f aca="false">COUNTIFS(Data!$B$2:$B$2284,$A42,Data!$D$2:$D$2284,"Omar.Mansour@vxi.com")</f>
        <v>0</v>
      </c>
      <c r="N42" s="14" t="n">
        <v>3</v>
      </c>
    </row>
    <row r="43" customFormat="false" ht="15" hidden="false" customHeight="false" outlineLevel="0" collapsed="false">
      <c r="A43" s="23" t="n">
        <v>46260</v>
      </c>
      <c r="B43" s="30" t="n">
        <f aca="false">COUNTIFS(Data!$B$2:$B$2284,$A43)</f>
        <v>4</v>
      </c>
      <c r="C43" s="15" t="n">
        <f aca="false">COUNTIFS(Data!$B$2:$B$2284,$A43,Data!$H$2:$H$2284,"Agent Opportunity")</f>
        <v>2</v>
      </c>
      <c r="D43" s="15" t="n">
        <f aca="false">COUNTIFS(Data!$B$2:$B$2284,$A43,Data!$H$2:$H$2284,"Customer")</f>
        <v>1</v>
      </c>
      <c r="E43" s="15" t="n">
        <f aca="false">COUNTIFS(Data!$B$2:$B$2284,$A43,Data!$H$2:$H$2284,"Comcast Process/Tools")</f>
        <v>1</v>
      </c>
      <c r="F43" s="15" t="n">
        <f aca="false">COUNTIFS(Data!$B$2:$B$2284,$A43,Data!$H$2:$H$2284,"No Audio Found on I3")</f>
        <v>0</v>
      </c>
      <c r="G43" s="15" t="n">
        <f aca="false">COUNTIFS(Data!$B$2:$B$2284,$A43,Data!$H$2:$H$2284,"VXI Process/Tools")</f>
        <v>0</v>
      </c>
      <c r="H43" s="16" t="n">
        <f aca="false">IF(B43=0,0,C43/B43)</f>
        <v>0.5</v>
      </c>
      <c r="I43" s="16" t="n">
        <f aca="false">IF(B43=0,0,E43/B43)</f>
        <v>0.25</v>
      </c>
      <c r="J43" s="16" t="n">
        <f aca="false">IF(B43=0,0,F43/B43)</f>
        <v>0</v>
      </c>
      <c r="K43" s="31" t="n">
        <f aca="false">B43-B44</f>
        <v>-1</v>
      </c>
      <c r="L43" s="32" t="n">
        <f aca="false">(H43-H44)*100</f>
        <v>-30</v>
      </c>
      <c r="M43" s="15" t="n">
        <f aca="false">COUNTIFS(Data!$B$2:$B$2284,$A43,Data!$D$2:$D$2284,"Omar.Mansour@vxi.com")</f>
        <v>0</v>
      </c>
      <c r="N43" s="15" t="n">
        <v>2</v>
      </c>
    </row>
    <row r="44" customFormat="false" ht="15" hidden="false" customHeight="false" outlineLevel="0" collapsed="false">
      <c r="A44" s="22" t="n">
        <v>46259</v>
      </c>
      <c r="B44" s="27" t="n">
        <f aca="false">COUNTIFS(Data!$B$2:$B$2284,$A44)</f>
        <v>5</v>
      </c>
      <c r="C44" s="14" t="n">
        <f aca="false">COUNTIFS(Data!$B$2:$B$2284,$A44,Data!$H$2:$H$2284,"Agent Opportunity")</f>
        <v>4</v>
      </c>
      <c r="D44" s="14" t="n">
        <f aca="false">COUNTIFS(Data!$B$2:$B$2284,$A44,Data!$H$2:$H$2284,"Customer")</f>
        <v>0</v>
      </c>
      <c r="E44" s="14" t="n">
        <f aca="false">COUNTIFS(Data!$B$2:$B$2284,$A44,Data!$H$2:$H$2284,"Comcast Process/Tools")</f>
        <v>0</v>
      </c>
      <c r="F44" s="14" t="n">
        <f aca="false">COUNTIFS(Data!$B$2:$B$2284,$A44,Data!$H$2:$H$2284,"No Audio Found on I3")</f>
        <v>1</v>
      </c>
      <c r="G44" s="14" t="n">
        <f aca="false">COUNTIFS(Data!$B$2:$B$2284,$A44,Data!$H$2:$H$2284,"VXI Process/Tools")</f>
        <v>0</v>
      </c>
      <c r="H44" s="18" t="n">
        <f aca="false">IF(B44=0,0,C44/B44)</f>
        <v>0.8</v>
      </c>
      <c r="I44" s="18" t="n">
        <f aca="false">IF(B44=0,0,E44/B44)</f>
        <v>0</v>
      </c>
      <c r="J44" s="18" t="n">
        <f aca="false">IF(B44=0,0,F44/B44)</f>
        <v>0.2</v>
      </c>
      <c r="K44" s="28" t="n">
        <f aca="false">B44-B45</f>
        <v>-73</v>
      </c>
      <c r="L44" s="29" t="n">
        <f aca="false">(H44-H45)*100</f>
        <v>15.8974358974359</v>
      </c>
      <c r="M44" s="14" t="n">
        <f aca="false">COUNTIFS(Data!$B$2:$B$2284,$A44,Data!$D$2:$D$2284,"Omar.Mansour@vxi.com")</f>
        <v>0</v>
      </c>
      <c r="N44" s="14" t="n">
        <v>2</v>
      </c>
    </row>
    <row r="45" customFormat="false" ht="15" hidden="false" customHeight="false" outlineLevel="0" collapsed="false">
      <c r="A45" s="23" t="n">
        <v>46258</v>
      </c>
      <c r="B45" s="30" t="n">
        <f aca="false">COUNTIFS(Data!$B$2:$B$2284,$A45)</f>
        <v>78</v>
      </c>
      <c r="C45" s="15" t="n">
        <f aca="false">COUNTIFS(Data!$B$2:$B$2284,$A45,Data!$H$2:$H$2284,"Agent Opportunity")</f>
        <v>50</v>
      </c>
      <c r="D45" s="15" t="n">
        <f aca="false">COUNTIFS(Data!$B$2:$B$2284,$A45,Data!$H$2:$H$2284,"Customer")</f>
        <v>3</v>
      </c>
      <c r="E45" s="15" t="n">
        <f aca="false">COUNTIFS(Data!$B$2:$B$2284,$A45,Data!$H$2:$H$2284,"Comcast Process/Tools")</f>
        <v>20</v>
      </c>
      <c r="F45" s="15" t="n">
        <f aca="false">COUNTIFS(Data!$B$2:$B$2284,$A45,Data!$H$2:$H$2284,"No Audio Found on I3")</f>
        <v>5</v>
      </c>
      <c r="G45" s="15" t="n">
        <f aca="false">COUNTIFS(Data!$B$2:$B$2284,$A45,Data!$H$2:$H$2284,"VXI Process/Tools")</f>
        <v>0</v>
      </c>
      <c r="H45" s="16" t="n">
        <f aca="false">IF(B45=0,0,C45/B45)</f>
        <v>0.641025641025641</v>
      </c>
      <c r="I45" s="16" t="n">
        <f aca="false">IF(B45=0,0,E45/B45)</f>
        <v>0.256410256410256</v>
      </c>
      <c r="J45" s="16" t="n">
        <f aca="false">IF(B45=0,0,F45/B45)</f>
        <v>0.0641025641025641</v>
      </c>
      <c r="K45" s="31" t="n">
        <f aca="false">B45-B46</f>
        <v>73</v>
      </c>
      <c r="L45" s="32" t="n">
        <f aca="false">(H45-H46)*100</f>
        <v>-15.8974358974359</v>
      </c>
      <c r="M45" s="15" t="n">
        <f aca="false">COUNTIFS(Data!$B$2:$B$2284,$A45,Data!$D$2:$D$2284,"Omar.Mansour@vxi.com")</f>
        <v>0</v>
      </c>
      <c r="N45" s="15" t="n">
        <v>4</v>
      </c>
    </row>
    <row r="46" customFormat="false" ht="15" hidden="false" customHeight="false" outlineLevel="0" collapsed="false">
      <c r="A46" s="22" t="n">
        <v>46257</v>
      </c>
      <c r="B46" s="27" t="n">
        <f aca="false">COUNTIFS(Data!$B$2:$B$2284,$A46)</f>
        <v>5</v>
      </c>
      <c r="C46" s="14" t="n">
        <f aca="false">COUNTIFS(Data!$B$2:$B$2284,$A46,Data!$H$2:$H$2284,"Agent Opportunity")</f>
        <v>4</v>
      </c>
      <c r="D46" s="14" t="n">
        <f aca="false">COUNTIFS(Data!$B$2:$B$2284,$A46,Data!$H$2:$H$2284,"Customer")</f>
        <v>0</v>
      </c>
      <c r="E46" s="14" t="n">
        <f aca="false">COUNTIFS(Data!$B$2:$B$2284,$A46,Data!$H$2:$H$2284,"Comcast Process/Tools")</f>
        <v>1</v>
      </c>
      <c r="F46" s="14" t="n">
        <f aca="false">COUNTIFS(Data!$B$2:$B$2284,$A46,Data!$H$2:$H$2284,"No Audio Found on I3")</f>
        <v>0</v>
      </c>
      <c r="G46" s="14" t="n">
        <f aca="false">COUNTIFS(Data!$B$2:$B$2284,$A46,Data!$H$2:$H$2284,"VXI Process/Tools")</f>
        <v>0</v>
      </c>
      <c r="H46" s="18" t="n">
        <f aca="false">IF(B46=0,0,C46/B46)</f>
        <v>0.8</v>
      </c>
      <c r="I46" s="18" t="n">
        <f aca="false">IF(B46=0,0,E46/B46)</f>
        <v>0.2</v>
      </c>
      <c r="J46" s="18" t="n">
        <f aca="false">IF(B46=0,0,F46/B46)</f>
        <v>0</v>
      </c>
      <c r="K46" s="28" t="n">
        <f aca="false">B46-B47</f>
        <v>-2</v>
      </c>
      <c r="L46" s="29" t="n">
        <f aca="false">(H46-H47)*100</f>
        <v>8.57142857142858</v>
      </c>
      <c r="M46" s="14" t="n">
        <f aca="false">COUNTIFS(Data!$B$2:$B$2284,$A46,Data!$D$2:$D$2284,"Omar.Mansour@vxi.com")</f>
        <v>0</v>
      </c>
      <c r="N46" s="14" t="n">
        <v>2</v>
      </c>
    </row>
    <row r="47" customFormat="false" ht="15" hidden="false" customHeight="false" outlineLevel="0" collapsed="false">
      <c r="A47" s="23" t="n">
        <v>46256</v>
      </c>
      <c r="B47" s="30" t="n">
        <f aca="false">COUNTIFS(Data!$B$2:$B$2284,$A47)</f>
        <v>7</v>
      </c>
      <c r="C47" s="15" t="n">
        <f aca="false">COUNTIFS(Data!$B$2:$B$2284,$A47,Data!$H$2:$H$2284,"Agent Opportunity")</f>
        <v>5</v>
      </c>
      <c r="D47" s="15" t="n">
        <f aca="false">COUNTIFS(Data!$B$2:$B$2284,$A47,Data!$H$2:$H$2284,"Customer")</f>
        <v>1</v>
      </c>
      <c r="E47" s="15" t="n">
        <f aca="false">COUNTIFS(Data!$B$2:$B$2284,$A47,Data!$H$2:$H$2284,"Comcast Process/Tools")</f>
        <v>1</v>
      </c>
      <c r="F47" s="15" t="n">
        <f aca="false">COUNTIFS(Data!$B$2:$B$2284,$A47,Data!$H$2:$H$2284,"No Audio Found on I3")</f>
        <v>0</v>
      </c>
      <c r="G47" s="15" t="n">
        <f aca="false">COUNTIFS(Data!$B$2:$B$2284,$A47,Data!$H$2:$H$2284,"VXI Process/Tools")</f>
        <v>0</v>
      </c>
      <c r="H47" s="16" t="n">
        <f aca="false">IF(B47=0,0,C47/B47)</f>
        <v>0.714285714285714</v>
      </c>
      <c r="I47" s="16" t="n">
        <f aca="false">IF(B47=0,0,E47/B47)</f>
        <v>0.142857142857143</v>
      </c>
      <c r="J47" s="16" t="n">
        <f aca="false">IF(B47=0,0,F47/B47)</f>
        <v>0</v>
      </c>
      <c r="K47" s="31" t="n">
        <f aca="false">B47-B48</f>
        <v>-12</v>
      </c>
      <c r="L47" s="32" t="n">
        <f aca="false">(H47-H48)*100</f>
        <v>13.5338345864662</v>
      </c>
      <c r="M47" s="15" t="n">
        <f aca="false">COUNTIFS(Data!$B$2:$B$2284,$A47,Data!$D$2:$D$2284,"Omar.Mansour@vxi.com")</f>
        <v>0</v>
      </c>
      <c r="N47" s="15" t="n">
        <v>2</v>
      </c>
    </row>
    <row r="48" customFormat="false" ht="15" hidden="false" customHeight="false" outlineLevel="0" collapsed="false">
      <c r="A48" s="22" t="n">
        <v>46255</v>
      </c>
      <c r="B48" s="27" t="n">
        <f aca="false">COUNTIFS(Data!$B$2:$B$2284,$A48)</f>
        <v>19</v>
      </c>
      <c r="C48" s="14" t="n">
        <f aca="false">COUNTIFS(Data!$B$2:$B$2284,$A48,Data!$H$2:$H$2284,"Agent Opportunity")</f>
        <v>11</v>
      </c>
      <c r="D48" s="14" t="n">
        <f aca="false">COUNTIFS(Data!$B$2:$B$2284,$A48,Data!$H$2:$H$2284,"Customer")</f>
        <v>5</v>
      </c>
      <c r="E48" s="14" t="n">
        <f aca="false">COUNTIFS(Data!$B$2:$B$2284,$A48,Data!$H$2:$H$2284,"Comcast Process/Tools")</f>
        <v>3</v>
      </c>
      <c r="F48" s="14" t="n">
        <f aca="false">COUNTIFS(Data!$B$2:$B$2284,$A48,Data!$H$2:$H$2284,"No Audio Found on I3")</f>
        <v>0</v>
      </c>
      <c r="G48" s="14" t="n">
        <f aca="false">COUNTIFS(Data!$B$2:$B$2284,$A48,Data!$H$2:$H$2284,"VXI Process/Tools")</f>
        <v>0</v>
      </c>
      <c r="H48" s="18" t="n">
        <f aca="false">IF(B48=0,0,C48/B48)</f>
        <v>0.578947368421053</v>
      </c>
      <c r="I48" s="18" t="n">
        <f aca="false">IF(B48=0,0,E48/B48)</f>
        <v>0.157894736842105</v>
      </c>
      <c r="J48" s="18" t="n">
        <f aca="false">IF(B48=0,0,F48/B48)</f>
        <v>0</v>
      </c>
      <c r="K48" s="28" t="n">
        <f aca="false">B48-B49</f>
        <v>9</v>
      </c>
      <c r="L48" s="29" t="n">
        <f aca="false">(H48-H49)*100</f>
        <v>17.8947368421053</v>
      </c>
      <c r="M48" s="14" t="n">
        <f aca="false">COUNTIFS(Data!$B$2:$B$2284,$A48,Data!$D$2:$D$2284,"Omar.Mansour@vxi.com")</f>
        <v>0</v>
      </c>
      <c r="N48" s="14" t="n">
        <v>4</v>
      </c>
    </row>
    <row r="49" customFormat="false" ht="15" hidden="false" customHeight="false" outlineLevel="0" collapsed="false">
      <c r="A49" s="23" t="n">
        <v>46254</v>
      </c>
      <c r="B49" s="30" t="n">
        <f aca="false">COUNTIFS(Data!$B$2:$B$2284,$A49)</f>
        <v>10</v>
      </c>
      <c r="C49" s="15" t="n">
        <f aca="false">COUNTIFS(Data!$B$2:$B$2284,$A49,Data!$H$2:$H$2284,"Agent Opportunity")</f>
        <v>4</v>
      </c>
      <c r="D49" s="15" t="n">
        <f aca="false">COUNTIFS(Data!$B$2:$B$2284,$A49,Data!$H$2:$H$2284,"Customer")</f>
        <v>2</v>
      </c>
      <c r="E49" s="15" t="n">
        <f aca="false">COUNTIFS(Data!$B$2:$B$2284,$A49,Data!$H$2:$H$2284,"Comcast Process/Tools")</f>
        <v>4</v>
      </c>
      <c r="F49" s="15" t="n">
        <f aca="false">COUNTIFS(Data!$B$2:$B$2284,$A49,Data!$H$2:$H$2284,"No Audio Found on I3")</f>
        <v>0</v>
      </c>
      <c r="G49" s="15" t="n">
        <f aca="false">COUNTIFS(Data!$B$2:$B$2284,$A49,Data!$H$2:$H$2284,"VXI Process/Tools")</f>
        <v>0</v>
      </c>
      <c r="H49" s="16" t="n">
        <f aca="false">IF(B49=0,0,C49/B49)</f>
        <v>0.4</v>
      </c>
      <c r="I49" s="16" t="n">
        <f aca="false">IF(B49=0,0,E49/B49)</f>
        <v>0.4</v>
      </c>
      <c r="J49" s="16" t="n">
        <f aca="false">IF(B49=0,0,F49/B49)</f>
        <v>0</v>
      </c>
      <c r="K49" s="31" t="n">
        <f aca="false">B49-B50</f>
        <v>-13</v>
      </c>
      <c r="L49" s="32" t="n">
        <f aca="false">(H49-H50)*100</f>
        <v>-3.47826086956521</v>
      </c>
      <c r="M49" s="15" t="n">
        <f aca="false">COUNTIFS(Data!$B$2:$B$2284,$A49,Data!$D$2:$D$2284,"Omar.Mansour@vxi.com")</f>
        <v>0</v>
      </c>
      <c r="N49" s="15" t="n">
        <v>2</v>
      </c>
    </row>
    <row r="50" customFormat="false" ht="15" hidden="false" customHeight="false" outlineLevel="0" collapsed="false">
      <c r="A50" s="22" t="n">
        <v>46253</v>
      </c>
      <c r="B50" s="27" t="n">
        <f aca="false">COUNTIFS(Data!$B$2:$B$2284,$A50)</f>
        <v>23</v>
      </c>
      <c r="C50" s="14" t="n">
        <f aca="false">COUNTIFS(Data!$B$2:$B$2284,$A50,Data!$H$2:$H$2284,"Agent Opportunity")</f>
        <v>10</v>
      </c>
      <c r="D50" s="14" t="n">
        <f aca="false">COUNTIFS(Data!$B$2:$B$2284,$A50,Data!$H$2:$H$2284,"Customer")</f>
        <v>6</v>
      </c>
      <c r="E50" s="14" t="n">
        <f aca="false">COUNTIFS(Data!$B$2:$B$2284,$A50,Data!$H$2:$H$2284,"Comcast Process/Tools")</f>
        <v>5</v>
      </c>
      <c r="F50" s="14" t="n">
        <f aca="false">COUNTIFS(Data!$B$2:$B$2284,$A50,Data!$H$2:$H$2284,"No Audio Found on I3")</f>
        <v>2</v>
      </c>
      <c r="G50" s="14" t="n">
        <f aca="false">COUNTIFS(Data!$B$2:$B$2284,$A50,Data!$H$2:$H$2284,"VXI Process/Tools")</f>
        <v>0</v>
      </c>
      <c r="H50" s="18" t="n">
        <f aca="false">IF(B50=0,0,C50/B50)</f>
        <v>0.434782608695652</v>
      </c>
      <c r="I50" s="18" t="n">
        <f aca="false">IF(B50=0,0,E50/B50)</f>
        <v>0.217391304347826</v>
      </c>
      <c r="J50" s="18" t="n">
        <f aca="false">IF(B50=0,0,F50/B50)</f>
        <v>0.0869565217391304</v>
      </c>
      <c r="K50" s="28" t="n">
        <f aca="false">B50-B51</f>
        <v>2</v>
      </c>
      <c r="L50" s="29" t="n">
        <f aca="false">(H50-H51)*100</f>
        <v>-23.1884057971014</v>
      </c>
      <c r="M50" s="14" t="n">
        <f aca="false">COUNTIFS(Data!$B$2:$B$2284,$A50,Data!$D$2:$D$2284,"Omar.Mansour@vxi.com")</f>
        <v>0</v>
      </c>
      <c r="N50" s="14" t="n">
        <v>3</v>
      </c>
    </row>
    <row r="51" customFormat="false" ht="15" hidden="false" customHeight="false" outlineLevel="0" collapsed="false">
      <c r="A51" s="23" t="n">
        <v>46252</v>
      </c>
      <c r="B51" s="30" t="n">
        <f aca="false">COUNTIFS(Data!$B$2:$B$2284,$A51)</f>
        <v>21</v>
      </c>
      <c r="C51" s="15" t="n">
        <f aca="false">COUNTIFS(Data!$B$2:$B$2284,$A51,Data!$H$2:$H$2284,"Agent Opportunity")</f>
        <v>14</v>
      </c>
      <c r="D51" s="15" t="n">
        <f aca="false">COUNTIFS(Data!$B$2:$B$2284,$A51,Data!$H$2:$H$2284,"Customer")</f>
        <v>1</v>
      </c>
      <c r="E51" s="15" t="n">
        <f aca="false">COUNTIFS(Data!$B$2:$B$2284,$A51,Data!$H$2:$H$2284,"Comcast Process/Tools")</f>
        <v>3</v>
      </c>
      <c r="F51" s="15" t="n">
        <f aca="false">COUNTIFS(Data!$B$2:$B$2284,$A51,Data!$H$2:$H$2284,"No Audio Found on I3")</f>
        <v>2</v>
      </c>
      <c r="G51" s="15" t="n">
        <f aca="false">COUNTIFS(Data!$B$2:$B$2284,$A51,Data!$H$2:$H$2284,"VXI Process/Tools")</f>
        <v>1</v>
      </c>
      <c r="H51" s="16" t="n">
        <f aca="false">IF(B51=0,0,C51/B51)</f>
        <v>0.666666666666667</v>
      </c>
      <c r="I51" s="16" t="n">
        <f aca="false">IF(B51=0,0,E51/B51)</f>
        <v>0.142857142857143</v>
      </c>
      <c r="J51" s="16" t="n">
        <f aca="false">IF(B51=0,0,F51/B51)</f>
        <v>0.0952380952380952</v>
      </c>
      <c r="K51" s="31" t="n">
        <f aca="false">B51-B52</f>
        <v>4</v>
      </c>
      <c r="L51" s="32" t="n">
        <f aca="false">(H51-H52)*100</f>
        <v>1.96078431372548</v>
      </c>
      <c r="M51" s="15" t="n">
        <f aca="false">COUNTIFS(Data!$B$2:$B$2284,$A51,Data!$D$2:$D$2284,"Omar.Mansour@vxi.com")</f>
        <v>0</v>
      </c>
      <c r="N51" s="15" t="n">
        <v>2</v>
      </c>
    </row>
    <row r="52" customFormat="false" ht="15" hidden="false" customHeight="false" outlineLevel="0" collapsed="false">
      <c r="A52" s="22" t="n">
        <v>46251</v>
      </c>
      <c r="B52" s="27" t="n">
        <f aca="false">COUNTIFS(Data!$B$2:$B$2284,$A52)</f>
        <v>17</v>
      </c>
      <c r="C52" s="14" t="n">
        <f aca="false">COUNTIFS(Data!$B$2:$B$2284,$A52,Data!$H$2:$H$2284,"Agent Opportunity")</f>
        <v>11</v>
      </c>
      <c r="D52" s="14" t="n">
        <f aca="false">COUNTIFS(Data!$B$2:$B$2284,$A52,Data!$H$2:$H$2284,"Customer")</f>
        <v>0</v>
      </c>
      <c r="E52" s="14" t="n">
        <f aca="false">COUNTIFS(Data!$B$2:$B$2284,$A52,Data!$H$2:$H$2284,"Comcast Process/Tools")</f>
        <v>5</v>
      </c>
      <c r="F52" s="14" t="n">
        <f aca="false">COUNTIFS(Data!$B$2:$B$2284,$A52,Data!$H$2:$H$2284,"No Audio Found on I3")</f>
        <v>1</v>
      </c>
      <c r="G52" s="14" t="n">
        <f aca="false">COUNTIFS(Data!$B$2:$B$2284,$A52,Data!$H$2:$H$2284,"VXI Process/Tools")</f>
        <v>0</v>
      </c>
      <c r="H52" s="18" t="n">
        <f aca="false">IF(B52=0,0,C52/B52)</f>
        <v>0.647058823529412</v>
      </c>
      <c r="I52" s="18" t="n">
        <f aca="false">IF(B52=0,0,E52/B52)</f>
        <v>0.294117647058824</v>
      </c>
      <c r="J52" s="18" t="n">
        <f aca="false">IF(B52=0,0,F52/B52)</f>
        <v>0.0588235294117647</v>
      </c>
      <c r="K52" s="28" t="n">
        <f aca="false">B52-B53</f>
        <v>0</v>
      </c>
      <c r="L52" s="29" t="n">
        <f aca="false">(H52-H53)*100</f>
        <v>-5.88235294117647</v>
      </c>
      <c r="M52" s="14" t="n">
        <f aca="false">COUNTIFS(Data!$B$2:$B$2284,$A52,Data!$D$2:$D$2284,"Omar.Mansour@vxi.com")</f>
        <v>0</v>
      </c>
      <c r="N52" s="14" t="n">
        <v>4</v>
      </c>
    </row>
    <row r="53" customFormat="false" ht="15" hidden="false" customHeight="false" outlineLevel="0" collapsed="false">
      <c r="A53" s="23" t="n">
        <v>46250</v>
      </c>
      <c r="B53" s="30" t="n">
        <f aca="false">COUNTIFS(Data!$B$2:$B$2284,$A53)</f>
        <v>17</v>
      </c>
      <c r="C53" s="15" t="n">
        <f aca="false">COUNTIFS(Data!$B$2:$B$2284,$A53,Data!$H$2:$H$2284,"Agent Opportunity")</f>
        <v>12</v>
      </c>
      <c r="D53" s="15" t="n">
        <f aca="false">COUNTIFS(Data!$B$2:$B$2284,$A53,Data!$H$2:$H$2284,"Customer")</f>
        <v>1</v>
      </c>
      <c r="E53" s="15" t="n">
        <f aca="false">COUNTIFS(Data!$B$2:$B$2284,$A53,Data!$H$2:$H$2284,"Comcast Process/Tools")</f>
        <v>3</v>
      </c>
      <c r="F53" s="15" t="n">
        <f aca="false">COUNTIFS(Data!$B$2:$B$2284,$A53,Data!$H$2:$H$2284,"No Audio Found on I3")</f>
        <v>1</v>
      </c>
      <c r="G53" s="15" t="n">
        <f aca="false">COUNTIFS(Data!$B$2:$B$2284,$A53,Data!$H$2:$H$2284,"VXI Process/Tools")</f>
        <v>0</v>
      </c>
      <c r="H53" s="16" t="n">
        <f aca="false">IF(B53=0,0,C53/B53)</f>
        <v>0.705882352941177</v>
      </c>
      <c r="I53" s="16" t="n">
        <f aca="false">IF(B53=0,0,E53/B53)</f>
        <v>0.176470588235294</v>
      </c>
      <c r="J53" s="16" t="n">
        <f aca="false">IF(B53=0,0,F53/B53)</f>
        <v>0.0588235294117647</v>
      </c>
      <c r="K53" s="31" t="n">
        <f aca="false">B53-B54</f>
        <v>16</v>
      </c>
      <c r="L53" s="32" t="n">
        <f aca="false">(H53-H54)*100</f>
        <v>-29.4117647058823</v>
      </c>
      <c r="M53" s="15" t="n">
        <f aca="false">COUNTIFS(Data!$B$2:$B$2284,$A53,Data!$D$2:$D$2284,"Omar.Mansour@vxi.com")</f>
        <v>0</v>
      </c>
      <c r="N53" s="15" t="n">
        <v>3</v>
      </c>
    </row>
    <row r="54" customFormat="false" ht="15" hidden="false" customHeight="false" outlineLevel="0" collapsed="false">
      <c r="A54" s="22" t="n">
        <v>46249</v>
      </c>
      <c r="B54" s="27" t="n">
        <f aca="false">COUNTIFS(Data!$B$2:$B$2284,$A54)</f>
        <v>1</v>
      </c>
      <c r="C54" s="14" t="n">
        <f aca="false">COUNTIFS(Data!$B$2:$B$2284,$A54,Data!$H$2:$H$2284,"Agent Opportunity")</f>
        <v>1</v>
      </c>
      <c r="D54" s="14" t="n">
        <f aca="false">COUNTIFS(Data!$B$2:$B$2284,$A54,Data!$H$2:$H$2284,"Customer")</f>
        <v>0</v>
      </c>
      <c r="E54" s="14" t="n">
        <f aca="false">COUNTIFS(Data!$B$2:$B$2284,$A54,Data!$H$2:$H$2284,"Comcast Process/Tools")</f>
        <v>0</v>
      </c>
      <c r="F54" s="14" t="n">
        <f aca="false">COUNTIFS(Data!$B$2:$B$2284,$A54,Data!$H$2:$H$2284,"No Audio Found on I3")</f>
        <v>0</v>
      </c>
      <c r="G54" s="14" t="n">
        <f aca="false">COUNTIFS(Data!$B$2:$B$2284,$A54,Data!$H$2:$H$2284,"VXI Process/Tools")</f>
        <v>0</v>
      </c>
      <c r="H54" s="18" t="n">
        <f aca="false">IF(B54=0,0,C54/B54)</f>
        <v>1</v>
      </c>
      <c r="I54" s="18" t="n">
        <f aca="false">IF(B54=0,0,E54/B54)</f>
        <v>0</v>
      </c>
      <c r="J54" s="18" t="n">
        <f aca="false">IF(B54=0,0,F54/B54)</f>
        <v>0</v>
      </c>
      <c r="K54" s="28" t="n">
        <f aca="false">B54-B55</f>
        <v>-4</v>
      </c>
      <c r="L54" s="29" t="n">
        <f aca="false">(H54-H55)*100</f>
        <v>40</v>
      </c>
      <c r="M54" s="14" t="n">
        <f aca="false">COUNTIFS(Data!$B$2:$B$2284,$A54,Data!$D$2:$D$2284,"Omar.Mansour@vxi.com")</f>
        <v>0</v>
      </c>
      <c r="N54" s="14" t="n">
        <v>1</v>
      </c>
    </row>
    <row r="55" customFormat="false" ht="15" hidden="false" customHeight="false" outlineLevel="0" collapsed="false">
      <c r="A55" s="23" t="n">
        <v>46248</v>
      </c>
      <c r="B55" s="30" t="n">
        <f aca="false">COUNTIFS(Data!$B$2:$B$2284,$A55)</f>
        <v>5</v>
      </c>
      <c r="C55" s="15" t="n">
        <f aca="false">COUNTIFS(Data!$B$2:$B$2284,$A55,Data!$H$2:$H$2284,"Agent Opportunity")</f>
        <v>3</v>
      </c>
      <c r="D55" s="15" t="n">
        <f aca="false">COUNTIFS(Data!$B$2:$B$2284,$A55,Data!$H$2:$H$2284,"Customer")</f>
        <v>0</v>
      </c>
      <c r="E55" s="15" t="n">
        <f aca="false">COUNTIFS(Data!$B$2:$B$2284,$A55,Data!$H$2:$H$2284,"Comcast Process/Tools")</f>
        <v>1</v>
      </c>
      <c r="F55" s="15" t="n">
        <f aca="false">COUNTIFS(Data!$B$2:$B$2284,$A55,Data!$H$2:$H$2284,"No Audio Found on I3")</f>
        <v>0</v>
      </c>
      <c r="G55" s="15" t="n">
        <f aca="false">COUNTIFS(Data!$B$2:$B$2284,$A55,Data!$H$2:$H$2284,"VXI Process/Tools")</f>
        <v>1</v>
      </c>
      <c r="H55" s="16" t="n">
        <f aca="false">IF(B55=0,0,C55/B55)</f>
        <v>0.6</v>
      </c>
      <c r="I55" s="16" t="n">
        <f aca="false">IF(B55=0,0,E55/B55)</f>
        <v>0.2</v>
      </c>
      <c r="J55" s="16" t="n">
        <f aca="false">IF(B55=0,0,F55/B55)</f>
        <v>0</v>
      </c>
      <c r="K55" s="31" t="n">
        <f aca="false">B55-B56</f>
        <v>1</v>
      </c>
      <c r="L55" s="32" t="n">
        <f aca="false">(H55-H56)*100</f>
        <v>35</v>
      </c>
      <c r="M55" s="15" t="n">
        <f aca="false">COUNTIFS(Data!$B$2:$B$2284,$A55,Data!$D$2:$D$2284,"Omar.Mansour@vxi.com")</f>
        <v>0</v>
      </c>
      <c r="N55" s="15" t="n">
        <v>2</v>
      </c>
    </row>
    <row r="56" customFormat="false" ht="15" hidden="false" customHeight="false" outlineLevel="0" collapsed="false">
      <c r="A56" s="22" t="n">
        <v>46247</v>
      </c>
      <c r="B56" s="27" t="n">
        <f aca="false">COUNTIFS(Data!$B$2:$B$2284,$A56)</f>
        <v>4</v>
      </c>
      <c r="C56" s="14" t="n">
        <f aca="false">COUNTIFS(Data!$B$2:$B$2284,$A56,Data!$H$2:$H$2284,"Agent Opportunity")</f>
        <v>1</v>
      </c>
      <c r="D56" s="14" t="n">
        <f aca="false">COUNTIFS(Data!$B$2:$B$2284,$A56,Data!$H$2:$H$2284,"Customer")</f>
        <v>0</v>
      </c>
      <c r="E56" s="14" t="n">
        <f aca="false">COUNTIFS(Data!$B$2:$B$2284,$A56,Data!$H$2:$H$2284,"Comcast Process/Tools")</f>
        <v>3</v>
      </c>
      <c r="F56" s="14" t="n">
        <f aca="false">COUNTIFS(Data!$B$2:$B$2284,$A56,Data!$H$2:$H$2284,"No Audio Found on I3")</f>
        <v>0</v>
      </c>
      <c r="G56" s="14" t="n">
        <f aca="false">COUNTIFS(Data!$B$2:$B$2284,$A56,Data!$H$2:$H$2284,"VXI Process/Tools")</f>
        <v>0</v>
      </c>
      <c r="H56" s="18" t="n">
        <f aca="false">IF(B56=0,0,C56/B56)</f>
        <v>0.25</v>
      </c>
      <c r="I56" s="18" t="n">
        <f aca="false">IF(B56=0,0,E56/B56)</f>
        <v>0.75</v>
      </c>
      <c r="J56" s="18" t="n">
        <f aca="false">IF(B56=0,0,F56/B56)</f>
        <v>0</v>
      </c>
      <c r="K56" s="28" t="n">
        <f aca="false">B56-B57</f>
        <v>-8</v>
      </c>
      <c r="L56" s="29" t="n">
        <f aca="false">(H56-H57)*100</f>
        <v>-33.3333333333333</v>
      </c>
      <c r="M56" s="14" t="n">
        <f aca="false">COUNTIFS(Data!$B$2:$B$2284,$A56,Data!$D$2:$D$2284,"Omar.Mansour@vxi.com")</f>
        <v>0</v>
      </c>
      <c r="N56" s="14" t="n">
        <v>2</v>
      </c>
    </row>
    <row r="57" customFormat="false" ht="15" hidden="false" customHeight="false" outlineLevel="0" collapsed="false">
      <c r="A57" s="23" t="n">
        <v>46246</v>
      </c>
      <c r="B57" s="30" t="n">
        <f aca="false">COUNTIFS(Data!$B$2:$B$2284,$A57)</f>
        <v>12</v>
      </c>
      <c r="C57" s="15" t="n">
        <f aca="false">COUNTIFS(Data!$B$2:$B$2284,$A57,Data!$H$2:$H$2284,"Agent Opportunity")</f>
        <v>7</v>
      </c>
      <c r="D57" s="15" t="n">
        <f aca="false">COUNTIFS(Data!$B$2:$B$2284,$A57,Data!$H$2:$H$2284,"Customer")</f>
        <v>1</v>
      </c>
      <c r="E57" s="15" t="n">
        <f aca="false">COUNTIFS(Data!$B$2:$B$2284,$A57,Data!$H$2:$H$2284,"Comcast Process/Tools")</f>
        <v>3</v>
      </c>
      <c r="F57" s="15" t="n">
        <f aca="false">COUNTIFS(Data!$B$2:$B$2284,$A57,Data!$H$2:$H$2284,"No Audio Found on I3")</f>
        <v>0</v>
      </c>
      <c r="G57" s="15" t="n">
        <f aca="false">COUNTIFS(Data!$B$2:$B$2284,$A57,Data!$H$2:$H$2284,"VXI Process/Tools")</f>
        <v>1</v>
      </c>
      <c r="H57" s="16" t="n">
        <f aca="false">IF(B57=0,0,C57/B57)</f>
        <v>0.583333333333333</v>
      </c>
      <c r="I57" s="16" t="n">
        <f aca="false">IF(B57=0,0,E57/B57)</f>
        <v>0.25</v>
      </c>
      <c r="J57" s="16" t="n">
        <f aca="false">IF(B57=0,0,F57/B57)</f>
        <v>0</v>
      </c>
      <c r="K57" s="31" t="n">
        <f aca="false">B57-B58</f>
        <v>-6</v>
      </c>
      <c r="L57" s="32" t="n">
        <f aca="false">(H57-H58)*100</f>
        <v>-8.33333333333333</v>
      </c>
      <c r="M57" s="15" t="n">
        <f aca="false">COUNTIFS(Data!$B$2:$B$2284,$A57,Data!$D$2:$D$2284,"Omar.Mansour@vxi.com")</f>
        <v>0</v>
      </c>
      <c r="N57" s="15" t="n">
        <v>3</v>
      </c>
    </row>
    <row r="58" customFormat="false" ht="15" hidden="false" customHeight="false" outlineLevel="0" collapsed="false">
      <c r="A58" s="22" t="n">
        <v>46245</v>
      </c>
      <c r="B58" s="27" t="n">
        <f aca="false">COUNTIFS(Data!$B$2:$B$2284,$A58)</f>
        <v>18</v>
      </c>
      <c r="C58" s="14" t="n">
        <f aca="false">COUNTIFS(Data!$B$2:$B$2284,$A58,Data!$H$2:$H$2284,"Agent Opportunity")</f>
        <v>12</v>
      </c>
      <c r="D58" s="14" t="n">
        <f aca="false">COUNTIFS(Data!$B$2:$B$2284,$A58,Data!$H$2:$H$2284,"Customer")</f>
        <v>0</v>
      </c>
      <c r="E58" s="14" t="n">
        <f aca="false">COUNTIFS(Data!$B$2:$B$2284,$A58,Data!$H$2:$H$2284,"Comcast Process/Tools")</f>
        <v>3</v>
      </c>
      <c r="F58" s="14" t="n">
        <f aca="false">COUNTIFS(Data!$B$2:$B$2284,$A58,Data!$H$2:$H$2284,"No Audio Found on I3")</f>
        <v>3</v>
      </c>
      <c r="G58" s="14" t="n">
        <f aca="false">COUNTIFS(Data!$B$2:$B$2284,$A58,Data!$H$2:$H$2284,"VXI Process/Tools")</f>
        <v>0</v>
      </c>
      <c r="H58" s="18" t="n">
        <f aca="false">IF(B58=0,0,C58/B58)</f>
        <v>0.666666666666667</v>
      </c>
      <c r="I58" s="18" t="n">
        <f aca="false">IF(B58=0,0,E58/B58)</f>
        <v>0.166666666666667</v>
      </c>
      <c r="J58" s="18" t="n">
        <f aca="false">IF(B58=0,0,F58/B58)</f>
        <v>0.166666666666667</v>
      </c>
      <c r="K58" s="28" t="n">
        <f aca="false">B58-B59</f>
        <v>-21</v>
      </c>
      <c r="L58" s="29" t="n">
        <f aca="false">(H58-H59)*100</f>
        <v>-2.56410256410257</v>
      </c>
      <c r="M58" s="14" t="n">
        <f aca="false">COUNTIFS(Data!$B$2:$B$2284,$A58,Data!$D$2:$D$2284,"Omar.Mansour@vxi.com")</f>
        <v>0</v>
      </c>
      <c r="N58" s="14" t="n">
        <v>4</v>
      </c>
    </row>
    <row r="59" customFormat="false" ht="15" hidden="false" customHeight="false" outlineLevel="0" collapsed="false">
      <c r="A59" s="23" t="n">
        <v>46244</v>
      </c>
      <c r="B59" s="30" t="n">
        <f aca="false">COUNTIFS(Data!$B$2:$B$2284,$A59)</f>
        <v>39</v>
      </c>
      <c r="C59" s="15" t="n">
        <f aca="false">COUNTIFS(Data!$B$2:$B$2284,$A59,Data!$H$2:$H$2284,"Agent Opportunity")</f>
        <v>27</v>
      </c>
      <c r="D59" s="15" t="n">
        <f aca="false">COUNTIFS(Data!$B$2:$B$2284,$A59,Data!$H$2:$H$2284,"Customer")</f>
        <v>4</v>
      </c>
      <c r="E59" s="15" t="n">
        <f aca="false">COUNTIFS(Data!$B$2:$B$2284,$A59,Data!$H$2:$H$2284,"Comcast Process/Tools")</f>
        <v>7</v>
      </c>
      <c r="F59" s="15" t="n">
        <f aca="false">COUNTIFS(Data!$B$2:$B$2284,$A59,Data!$H$2:$H$2284,"No Audio Found on I3")</f>
        <v>1</v>
      </c>
      <c r="G59" s="15" t="n">
        <f aca="false">COUNTIFS(Data!$B$2:$B$2284,$A59,Data!$H$2:$H$2284,"VXI Process/Tools")</f>
        <v>0</v>
      </c>
      <c r="H59" s="16" t="n">
        <f aca="false">IF(B59=0,0,C59/B59)</f>
        <v>0.692307692307692</v>
      </c>
      <c r="I59" s="16" t="n">
        <f aca="false">IF(B59=0,0,E59/B59)</f>
        <v>0.17948717948718</v>
      </c>
      <c r="J59" s="16" t="n">
        <f aca="false">IF(B59=0,0,F59/B59)</f>
        <v>0.0256410256410256</v>
      </c>
      <c r="K59" s="31" t="n">
        <f aca="false">B59-B60</f>
        <v>29</v>
      </c>
      <c r="L59" s="32" t="n">
        <f aca="false">(H59-H60)*100</f>
        <v>29.2307692307692</v>
      </c>
      <c r="M59" s="15" t="n">
        <f aca="false">COUNTIFS(Data!$B$2:$B$2284,$A59,Data!$D$2:$D$2284,"Omar.Mansour@vxi.com")</f>
        <v>0</v>
      </c>
      <c r="N59" s="15" t="n">
        <v>4</v>
      </c>
    </row>
    <row r="60" customFormat="false" ht="15" hidden="false" customHeight="false" outlineLevel="0" collapsed="false">
      <c r="A60" s="22" t="n">
        <v>46243</v>
      </c>
      <c r="B60" s="27" t="n">
        <f aca="false">COUNTIFS(Data!$B$2:$B$2284,$A60)</f>
        <v>10</v>
      </c>
      <c r="C60" s="14" t="n">
        <f aca="false">COUNTIFS(Data!$B$2:$B$2284,$A60,Data!$H$2:$H$2284,"Agent Opportunity")</f>
        <v>4</v>
      </c>
      <c r="D60" s="14" t="n">
        <f aca="false">COUNTIFS(Data!$B$2:$B$2284,$A60,Data!$H$2:$H$2284,"Customer")</f>
        <v>1</v>
      </c>
      <c r="E60" s="14" t="n">
        <f aca="false">COUNTIFS(Data!$B$2:$B$2284,$A60,Data!$H$2:$H$2284,"Comcast Process/Tools")</f>
        <v>3</v>
      </c>
      <c r="F60" s="14" t="n">
        <f aca="false">COUNTIFS(Data!$B$2:$B$2284,$A60,Data!$H$2:$H$2284,"No Audio Found on I3")</f>
        <v>1</v>
      </c>
      <c r="G60" s="14" t="n">
        <f aca="false">COUNTIFS(Data!$B$2:$B$2284,$A60,Data!$H$2:$H$2284,"VXI Process/Tools")</f>
        <v>1</v>
      </c>
      <c r="H60" s="18" t="n">
        <f aca="false">IF(B60=0,0,C60/B60)</f>
        <v>0.4</v>
      </c>
      <c r="I60" s="18" t="n">
        <f aca="false">IF(B60=0,0,E60/B60)</f>
        <v>0.3</v>
      </c>
      <c r="J60" s="18" t="n">
        <f aca="false">IF(B60=0,0,F60/B60)</f>
        <v>0.1</v>
      </c>
      <c r="K60" s="28" t="n">
        <f aca="false">B60-B61</f>
        <v>0</v>
      </c>
      <c r="L60" s="29" t="n">
        <f aca="false">(H60-H61)*100</f>
        <v>-40</v>
      </c>
      <c r="M60" s="14" t="n">
        <f aca="false">COUNTIFS(Data!$B$2:$B$2284,$A60,Data!$D$2:$D$2284,"Omar.Mansour@vxi.com")</f>
        <v>0</v>
      </c>
      <c r="N60" s="14" t="n">
        <v>2</v>
      </c>
    </row>
    <row r="61" customFormat="false" ht="15" hidden="false" customHeight="false" outlineLevel="0" collapsed="false">
      <c r="A61" s="23" t="n">
        <v>46242</v>
      </c>
      <c r="B61" s="30" t="n">
        <f aca="false">COUNTIFS(Data!$B$2:$B$2284,$A61)</f>
        <v>10</v>
      </c>
      <c r="C61" s="15" t="n">
        <f aca="false">COUNTIFS(Data!$B$2:$B$2284,$A61,Data!$H$2:$H$2284,"Agent Opportunity")</f>
        <v>8</v>
      </c>
      <c r="D61" s="15" t="n">
        <f aca="false">COUNTIFS(Data!$B$2:$B$2284,$A61,Data!$H$2:$H$2284,"Customer")</f>
        <v>1</v>
      </c>
      <c r="E61" s="15" t="n">
        <f aca="false">COUNTIFS(Data!$B$2:$B$2284,$A61,Data!$H$2:$H$2284,"Comcast Process/Tools")</f>
        <v>1</v>
      </c>
      <c r="F61" s="15" t="n">
        <f aca="false">COUNTIFS(Data!$B$2:$B$2284,$A61,Data!$H$2:$H$2284,"No Audio Found on I3")</f>
        <v>0</v>
      </c>
      <c r="G61" s="15" t="n">
        <f aca="false">COUNTIFS(Data!$B$2:$B$2284,$A61,Data!$H$2:$H$2284,"VXI Process/Tools")</f>
        <v>0</v>
      </c>
      <c r="H61" s="16" t="n">
        <f aca="false">IF(B61=0,0,C61/B61)</f>
        <v>0.8</v>
      </c>
      <c r="I61" s="16" t="n">
        <f aca="false">IF(B61=0,0,E61/B61)</f>
        <v>0.1</v>
      </c>
      <c r="J61" s="16" t="n">
        <f aca="false">IF(B61=0,0,F61/B61)</f>
        <v>0</v>
      </c>
      <c r="K61" s="31" t="n">
        <f aca="false">B61-B62</f>
        <v>-29</v>
      </c>
      <c r="L61" s="32" t="n">
        <f aca="false">(H61-H62)*100</f>
        <v>26.1538461538462</v>
      </c>
      <c r="M61" s="15" t="n">
        <f aca="false">COUNTIFS(Data!$B$2:$B$2284,$A61,Data!$D$2:$D$2284,"Omar.Mansour@vxi.com")</f>
        <v>0</v>
      </c>
      <c r="N61" s="15" t="n">
        <v>3</v>
      </c>
    </row>
    <row r="62" customFormat="false" ht="15" hidden="false" customHeight="false" outlineLevel="0" collapsed="false">
      <c r="A62" s="22" t="n">
        <v>46241</v>
      </c>
      <c r="B62" s="27" t="n">
        <f aca="false">COUNTIFS(Data!$B$2:$B$2284,$A62)</f>
        <v>39</v>
      </c>
      <c r="C62" s="14" t="n">
        <f aca="false">COUNTIFS(Data!$B$2:$B$2284,$A62,Data!$H$2:$H$2284,"Agent Opportunity")</f>
        <v>21</v>
      </c>
      <c r="D62" s="14" t="n">
        <f aca="false">COUNTIFS(Data!$B$2:$B$2284,$A62,Data!$H$2:$H$2284,"Customer")</f>
        <v>6</v>
      </c>
      <c r="E62" s="14" t="n">
        <f aca="false">COUNTIFS(Data!$B$2:$B$2284,$A62,Data!$H$2:$H$2284,"Comcast Process/Tools")</f>
        <v>3</v>
      </c>
      <c r="F62" s="14" t="n">
        <f aca="false">COUNTIFS(Data!$B$2:$B$2284,$A62,Data!$H$2:$H$2284,"No Audio Found on I3")</f>
        <v>8</v>
      </c>
      <c r="G62" s="14" t="n">
        <f aca="false">COUNTIFS(Data!$B$2:$B$2284,$A62,Data!$H$2:$H$2284,"VXI Process/Tools")</f>
        <v>1</v>
      </c>
      <c r="H62" s="18" t="n">
        <f aca="false">IF(B62=0,0,C62/B62)</f>
        <v>0.538461538461538</v>
      </c>
      <c r="I62" s="18" t="n">
        <f aca="false">IF(B62=0,0,E62/B62)</f>
        <v>0.0769230769230769</v>
      </c>
      <c r="J62" s="18" t="n">
        <f aca="false">IF(B62=0,0,F62/B62)</f>
        <v>0.205128205128205</v>
      </c>
      <c r="K62" s="28" t="n">
        <f aca="false">B62-B63</f>
        <v>27</v>
      </c>
      <c r="L62" s="29" t="n">
        <f aca="false">(H62-H63)*100</f>
        <v>-29.4871794871795</v>
      </c>
      <c r="M62" s="14" t="n">
        <f aca="false">COUNTIFS(Data!$B$2:$B$2284,$A62,Data!$D$2:$D$2284,"Omar.Mansour@vxi.com")</f>
        <v>0</v>
      </c>
      <c r="N62" s="14" t="n">
        <v>3</v>
      </c>
    </row>
    <row r="63" customFormat="false" ht="15" hidden="false" customHeight="false" outlineLevel="0" collapsed="false">
      <c r="A63" s="23" t="n">
        <v>46240</v>
      </c>
      <c r="B63" s="30" t="n">
        <f aca="false">COUNTIFS(Data!$B$2:$B$2284,$A63)</f>
        <v>12</v>
      </c>
      <c r="C63" s="15" t="n">
        <f aca="false">COUNTIFS(Data!$B$2:$B$2284,$A63,Data!$H$2:$H$2284,"Agent Opportunity")</f>
        <v>10</v>
      </c>
      <c r="D63" s="15" t="n">
        <f aca="false">COUNTIFS(Data!$B$2:$B$2284,$A63,Data!$H$2:$H$2284,"Customer")</f>
        <v>0</v>
      </c>
      <c r="E63" s="15" t="n">
        <f aca="false">COUNTIFS(Data!$B$2:$B$2284,$A63,Data!$H$2:$H$2284,"Comcast Process/Tools")</f>
        <v>2</v>
      </c>
      <c r="F63" s="15" t="n">
        <f aca="false">COUNTIFS(Data!$B$2:$B$2284,$A63,Data!$H$2:$H$2284,"No Audio Found on I3")</f>
        <v>0</v>
      </c>
      <c r="G63" s="15" t="n">
        <f aca="false">COUNTIFS(Data!$B$2:$B$2284,$A63,Data!$H$2:$H$2284,"VXI Process/Tools")</f>
        <v>0</v>
      </c>
      <c r="H63" s="16" t="n">
        <f aca="false">IF(B63=0,0,C63/B63)</f>
        <v>0.833333333333333</v>
      </c>
      <c r="I63" s="16" t="n">
        <f aca="false">IF(B63=0,0,E63/B63)</f>
        <v>0.166666666666667</v>
      </c>
      <c r="J63" s="16" t="n">
        <f aca="false">IF(B63=0,0,F63/B63)</f>
        <v>0</v>
      </c>
      <c r="K63" s="31" t="n">
        <f aca="false">B63-B64</f>
        <v>-4</v>
      </c>
      <c r="L63" s="32" t="n">
        <f aca="false">(H63-H64)*100</f>
        <v>14.5833333333333</v>
      </c>
      <c r="M63" s="15" t="n">
        <f aca="false">COUNTIFS(Data!$B$2:$B$2284,$A63,Data!$D$2:$D$2284,"Omar.Mansour@vxi.com")</f>
        <v>0</v>
      </c>
      <c r="N63" s="15" t="n">
        <v>4</v>
      </c>
    </row>
    <row r="64" customFormat="false" ht="15" hidden="false" customHeight="false" outlineLevel="0" collapsed="false">
      <c r="A64" s="22" t="n">
        <v>46239</v>
      </c>
      <c r="B64" s="27" t="n">
        <f aca="false">COUNTIFS(Data!$B$2:$B$2284,$A64)</f>
        <v>16</v>
      </c>
      <c r="C64" s="14" t="n">
        <f aca="false">COUNTIFS(Data!$B$2:$B$2284,$A64,Data!$H$2:$H$2284,"Agent Opportunity")</f>
        <v>11</v>
      </c>
      <c r="D64" s="14" t="n">
        <f aca="false">COUNTIFS(Data!$B$2:$B$2284,$A64,Data!$H$2:$H$2284,"Customer")</f>
        <v>1</v>
      </c>
      <c r="E64" s="14" t="n">
        <f aca="false">COUNTIFS(Data!$B$2:$B$2284,$A64,Data!$H$2:$H$2284,"Comcast Process/Tools")</f>
        <v>4</v>
      </c>
      <c r="F64" s="14" t="n">
        <f aca="false">COUNTIFS(Data!$B$2:$B$2284,$A64,Data!$H$2:$H$2284,"No Audio Found on I3")</f>
        <v>0</v>
      </c>
      <c r="G64" s="14" t="n">
        <f aca="false">COUNTIFS(Data!$B$2:$B$2284,$A64,Data!$H$2:$H$2284,"VXI Process/Tools")</f>
        <v>0</v>
      </c>
      <c r="H64" s="18" t="n">
        <f aca="false">IF(B64=0,0,C64/B64)</f>
        <v>0.6875</v>
      </c>
      <c r="I64" s="18" t="n">
        <f aca="false">IF(B64=0,0,E64/B64)</f>
        <v>0.25</v>
      </c>
      <c r="J64" s="18" t="n">
        <f aca="false">IF(B64=0,0,F64/B64)</f>
        <v>0</v>
      </c>
      <c r="K64" s="28" t="n">
        <f aca="false">B64-B65</f>
        <v>4</v>
      </c>
      <c r="L64" s="29" t="n">
        <f aca="false">(H64-H65)*100</f>
        <v>10.4166666666667</v>
      </c>
      <c r="M64" s="14" t="n">
        <f aca="false">COUNTIFS(Data!$B$2:$B$2284,$A64,Data!$D$2:$D$2284,"Omar.Mansour@vxi.com")</f>
        <v>0</v>
      </c>
      <c r="N64" s="14" t="n">
        <v>4</v>
      </c>
    </row>
    <row r="65" customFormat="false" ht="15" hidden="false" customHeight="false" outlineLevel="0" collapsed="false">
      <c r="A65" s="23" t="n">
        <v>46238</v>
      </c>
      <c r="B65" s="30" t="n">
        <f aca="false">COUNTIFS(Data!$B$2:$B$2284,$A65)</f>
        <v>12</v>
      </c>
      <c r="C65" s="15" t="n">
        <f aca="false">COUNTIFS(Data!$B$2:$B$2284,$A65,Data!$H$2:$H$2284,"Agent Opportunity")</f>
        <v>7</v>
      </c>
      <c r="D65" s="15" t="n">
        <f aca="false">COUNTIFS(Data!$B$2:$B$2284,$A65,Data!$H$2:$H$2284,"Customer")</f>
        <v>2</v>
      </c>
      <c r="E65" s="15" t="n">
        <f aca="false">COUNTIFS(Data!$B$2:$B$2284,$A65,Data!$H$2:$H$2284,"Comcast Process/Tools")</f>
        <v>2</v>
      </c>
      <c r="F65" s="15" t="n">
        <f aca="false">COUNTIFS(Data!$B$2:$B$2284,$A65,Data!$H$2:$H$2284,"No Audio Found on I3")</f>
        <v>1</v>
      </c>
      <c r="G65" s="15" t="n">
        <f aca="false">COUNTIFS(Data!$B$2:$B$2284,$A65,Data!$H$2:$H$2284,"VXI Process/Tools")</f>
        <v>0</v>
      </c>
      <c r="H65" s="16" t="n">
        <f aca="false">IF(B65=0,0,C65/B65)</f>
        <v>0.583333333333333</v>
      </c>
      <c r="I65" s="16" t="n">
        <f aca="false">IF(B65=0,0,E65/B65)</f>
        <v>0.166666666666667</v>
      </c>
      <c r="J65" s="16" t="n">
        <f aca="false">IF(B65=0,0,F65/B65)</f>
        <v>0.0833333333333333</v>
      </c>
      <c r="K65" s="31" t="n">
        <f aca="false">B65-B66</f>
        <v>-1</v>
      </c>
      <c r="L65" s="32" t="n">
        <f aca="false">(H65-H66)*100</f>
        <v>-10.8974358974359</v>
      </c>
      <c r="M65" s="15" t="n">
        <f aca="false">COUNTIFS(Data!$B$2:$B$2284,$A65,Data!$D$2:$D$2284,"Omar.Mansour@vxi.com")</f>
        <v>0</v>
      </c>
      <c r="N65" s="15" t="n">
        <v>4</v>
      </c>
    </row>
    <row r="66" customFormat="false" ht="15" hidden="false" customHeight="false" outlineLevel="0" collapsed="false">
      <c r="A66" s="22" t="n">
        <v>46237</v>
      </c>
      <c r="B66" s="27" t="n">
        <f aca="false">COUNTIFS(Data!$B$2:$B$2284,$A66)</f>
        <v>13</v>
      </c>
      <c r="C66" s="14" t="n">
        <f aca="false">COUNTIFS(Data!$B$2:$B$2284,$A66,Data!$H$2:$H$2284,"Agent Opportunity")</f>
        <v>9</v>
      </c>
      <c r="D66" s="14" t="n">
        <f aca="false">COUNTIFS(Data!$B$2:$B$2284,$A66,Data!$H$2:$H$2284,"Customer")</f>
        <v>1</v>
      </c>
      <c r="E66" s="14" t="n">
        <f aca="false">COUNTIFS(Data!$B$2:$B$2284,$A66,Data!$H$2:$H$2284,"Comcast Process/Tools")</f>
        <v>0</v>
      </c>
      <c r="F66" s="14" t="n">
        <f aca="false">COUNTIFS(Data!$B$2:$B$2284,$A66,Data!$H$2:$H$2284,"No Audio Found on I3")</f>
        <v>3</v>
      </c>
      <c r="G66" s="14" t="n">
        <f aca="false">COUNTIFS(Data!$B$2:$B$2284,$A66,Data!$H$2:$H$2284,"VXI Process/Tools")</f>
        <v>0</v>
      </c>
      <c r="H66" s="18" t="n">
        <f aca="false">IF(B66=0,0,C66/B66)</f>
        <v>0.692307692307692</v>
      </c>
      <c r="I66" s="18" t="n">
        <f aca="false">IF(B66=0,0,E66/B66)</f>
        <v>0</v>
      </c>
      <c r="J66" s="18" t="n">
        <f aca="false">IF(B66=0,0,F66/B66)</f>
        <v>0.230769230769231</v>
      </c>
      <c r="K66" s="28" t="n">
        <f aca="false">B66-B67</f>
        <v>-32</v>
      </c>
      <c r="L66" s="29" t="n">
        <f aca="false">(H66-H67)*100</f>
        <v>-6.32478632478632</v>
      </c>
      <c r="M66" s="14" t="n">
        <f aca="false">COUNTIFS(Data!$B$2:$B$2284,$A66,Data!$D$2:$D$2284,"Omar.Mansour@vxi.com")</f>
        <v>0</v>
      </c>
      <c r="N66" s="14" t="n">
        <v>3</v>
      </c>
    </row>
    <row r="67" customFormat="false" ht="15" hidden="false" customHeight="false" outlineLevel="0" collapsed="false">
      <c r="A67" s="23" t="n">
        <v>46236</v>
      </c>
      <c r="B67" s="30" t="n">
        <f aca="false">COUNTIFS(Data!$B$2:$B$2284,$A67)</f>
        <v>45</v>
      </c>
      <c r="C67" s="15" t="n">
        <f aca="false">COUNTIFS(Data!$B$2:$B$2284,$A67,Data!$H$2:$H$2284,"Agent Opportunity")</f>
        <v>34</v>
      </c>
      <c r="D67" s="15" t="n">
        <f aca="false">COUNTIFS(Data!$B$2:$B$2284,$A67,Data!$H$2:$H$2284,"Customer")</f>
        <v>3</v>
      </c>
      <c r="E67" s="15" t="n">
        <f aca="false">COUNTIFS(Data!$B$2:$B$2284,$A67,Data!$H$2:$H$2284,"Comcast Process/Tools")</f>
        <v>8</v>
      </c>
      <c r="F67" s="15" t="n">
        <f aca="false">COUNTIFS(Data!$B$2:$B$2284,$A67,Data!$H$2:$H$2284,"No Audio Found on I3")</f>
        <v>0</v>
      </c>
      <c r="G67" s="15" t="n">
        <f aca="false">COUNTIFS(Data!$B$2:$B$2284,$A67,Data!$H$2:$H$2284,"VXI Process/Tools")</f>
        <v>0</v>
      </c>
      <c r="H67" s="16" t="n">
        <f aca="false">IF(B67=0,0,C67/B67)</f>
        <v>0.755555555555556</v>
      </c>
      <c r="I67" s="16" t="n">
        <f aca="false">IF(B67=0,0,E67/B67)</f>
        <v>0.177777777777778</v>
      </c>
      <c r="J67" s="16" t="n">
        <f aca="false">IF(B67=0,0,F67/B67)</f>
        <v>0</v>
      </c>
      <c r="K67" s="31" t="n">
        <f aca="false">B67-B68</f>
        <v>15</v>
      </c>
      <c r="L67" s="32" t="n">
        <f aca="false">(H67-H68)*100</f>
        <v>2.22222222222223</v>
      </c>
      <c r="M67" s="15" t="n">
        <f aca="false">COUNTIFS(Data!$B$2:$B$2284,$A67,Data!$D$2:$D$2284,"Omar.Mansour@vxi.com")</f>
        <v>0</v>
      </c>
      <c r="N67" s="15" t="n">
        <v>3</v>
      </c>
    </row>
    <row r="68" customFormat="false" ht="15" hidden="false" customHeight="false" outlineLevel="0" collapsed="false">
      <c r="A68" s="22" t="n">
        <v>46235</v>
      </c>
      <c r="B68" s="27" t="n">
        <f aca="false">COUNTIFS(Data!$B$2:$B$2284,$A68)</f>
        <v>30</v>
      </c>
      <c r="C68" s="14" t="n">
        <f aca="false">COUNTIFS(Data!$B$2:$B$2284,$A68,Data!$H$2:$H$2284,"Agent Opportunity")</f>
        <v>22</v>
      </c>
      <c r="D68" s="14" t="n">
        <f aca="false">COUNTIFS(Data!$B$2:$B$2284,$A68,Data!$H$2:$H$2284,"Customer")</f>
        <v>2</v>
      </c>
      <c r="E68" s="14" t="n">
        <f aca="false">COUNTIFS(Data!$B$2:$B$2284,$A68,Data!$H$2:$H$2284,"Comcast Process/Tools")</f>
        <v>4</v>
      </c>
      <c r="F68" s="14" t="n">
        <f aca="false">COUNTIFS(Data!$B$2:$B$2284,$A68,Data!$H$2:$H$2284,"No Audio Found on I3")</f>
        <v>2</v>
      </c>
      <c r="G68" s="14" t="n">
        <f aca="false">COUNTIFS(Data!$B$2:$B$2284,$A68,Data!$H$2:$H$2284,"VXI Process/Tools")</f>
        <v>0</v>
      </c>
      <c r="H68" s="18" t="n">
        <f aca="false">IF(B68=0,0,C68/B68)</f>
        <v>0.733333333333333</v>
      </c>
      <c r="I68" s="18" t="n">
        <f aca="false">IF(B68=0,0,E68/B68)</f>
        <v>0.133333333333333</v>
      </c>
      <c r="J68" s="18" t="n">
        <f aca="false">IF(B68=0,0,F68/B68)</f>
        <v>0.0666666666666667</v>
      </c>
      <c r="K68" s="28" t="n">
        <f aca="false">B68-B69</f>
        <v>16</v>
      </c>
      <c r="L68" s="29" t="n">
        <f aca="false">(H68-H69)*100</f>
        <v>-5.23809523809524</v>
      </c>
      <c r="M68" s="14" t="n">
        <f aca="false">COUNTIFS(Data!$B$2:$B$2284,$A68,Data!$D$2:$D$2284,"Omar.Mansour@vxi.com")</f>
        <v>0</v>
      </c>
      <c r="N68" s="14" t="n">
        <v>3</v>
      </c>
    </row>
    <row r="69" customFormat="false" ht="15" hidden="false" customHeight="false" outlineLevel="0" collapsed="false">
      <c r="A69" s="23" t="n">
        <v>46234</v>
      </c>
      <c r="B69" s="30" t="n">
        <f aca="false">COUNTIFS(Data!$B$2:$B$2284,$A69)</f>
        <v>14</v>
      </c>
      <c r="C69" s="15" t="n">
        <f aca="false">COUNTIFS(Data!$B$2:$B$2284,$A69,Data!$H$2:$H$2284,"Agent Opportunity")</f>
        <v>11</v>
      </c>
      <c r="D69" s="15" t="n">
        <f aca="false">COUNTIFS(Data!$B$2:$B$2284,$A69,Data!$H$2:$H$2284,"Customer")</f>
        <v>0</v>
      </c>
      <c r="E69" s="15" t="n">
        <f aca="false">COUNTIFS(Data!$B$2:$B$2284,$A69,Data!$H$2:$H$2284,"Comcast Process/Tools")</f>
        <v>2</v>
      </c>
      <c r="F69" s="15" t="n">
        <f aca="false">COUNTIFS(Data!$B$2:$B$2284,$A69,Data!$H$2:$H$2284,"No Audio Found on I3")</f>
        <v>0</v>
      </c>
      <c r="G69" s="15" t="n">
        <f aca="false">COUNTIFS(Data!$B$2:$B$2284,$A69,Data!$H$2:$H$2284,"VXI Process/Tools")</f>
        <v>1</v>
      </c>
      <c r="H69" s="16" t="n">
        <f aca="false">IF(B69=0,0,C69/B69)</f>
        <v>0.785714285714286</v>
      </c>
      <c r="I69" s="16" t="n">
        <f aca="false">IF(B69=0,0,E69/B69)</f>
        <v>0.142857142857143</v>
      </c>
      <c r="J69" s="16" t="n">
        <f aca="false">IF(B69=0,0,F69/B69)</f>
        <v>0</v>
      </c>
      <c r="K69" s="31" t="n">
        <f aca="false">B69-B70</f>
        <v>-21</v>
      </c>
      <c r="L69" s="32" t="n">
        <f aca="false">(H69-H70)*100</f>
        <v>4.28571428571428</v>
      </c>
      <c r="M69" s="15" t="n">
        <f aca="false">COUNTIFS(Data!$B$2:$B$2284,$A69,Data!$D$2:$D$2284,"Omar.Mansour@vxi.com")</f>
        <v>0</v>
      </c>
      <c r="N69" s="15" t="n">
        <v>3</v>
      </c>
    </row>
    <row r="70" customFormat="false" ht="15" hidden="false" customHeight="false" outlineLevel="0" collapsed="false">
      <c r="A70" s="22" t="n">
        <v>46233</v>
      </c>
      <c r="B70" s="27" t="n">
        <f aca="false">COUNTIFS(Data!$B$2:$B$2284,$A70)</f>
        <v>35</v>
      </c>
      <c r="C70" s="14" t="n">
        <f aca="false">COUNTIFS(Data!$B$2:$B$2284,$A70,Data!$H$2:$H$2284,"Agent Opportunity")</f>
        <v>26</v>
      </c>
      <c r="D70" s="14" t="n">
        <f aca="false">COUNTIFS(Data!$B$2:$B$2284,$A70,Data!$H$2:$H$2284,"Customer")</f>
        <v>3</v>
      </c>
      <c r="E70" s="14" t="n">
        <f aca="false">COUNTIFS(Data!$B$2:$B$2284,$A70,Data!$H$2:$H$2284,"Comcast Process/Tools")</f>
        <v>5</v>
      </c>
      <c r="F70" s="14" t="n">
        <f aca="false">COUNTIFS(Data!$B$2:$B$2284,$A70,Data!$H$2:$H$2284,"No Audio Found on I3")</f>
        <v>1</v>
      </c>
      <c r="G70" s="14" t="n">
        <f aca="false">COUNTIFS(Data!$B$2:$B$2284,$A70,Data!$H$2:$H$2284,"VXI Process/Tools")</f>
        <v>0</v>
      </c>
      <c r="H70" s="18" t="n">
        <f aca="false">IF(B70=0,0,C70/B70)</f>
        <v>0.742857142857143</v>
      </c>
      <c r="I70" s="18" t="n">
        <f aca="false">IF(B70=0,0,E70/B70)</f>
        <v>0.142857142857143</v>
      </c>
      <c r="J70" s="18" t="n">
        <f aca="false">IF(B70=0,0,F70/B70)</f>
        <v>0.0285714285714286</v>
      </c>
      <c r="K70" s="28" t="n">
        <f aca="false">B70-B71</f>
        <v>23</v>
      </c>
      <c r="L70" s="29" t="n">
        <f aca="false">(H70-H71)*100</f>
        <v>32.6190476190476</v>
      </c>
      <c r="M70" s="14" t="n">
        <f aca="false">COUNTIFS(Data!$B$2:$B$2284,$A70,Data!$D$2:$D$2284,"Omar.Mansour@vxi.com")</f>
        <v>0</v>
      </c>
      <c r="N70" s="14" t="n">
        <v>6</v>
      </c>
    </row>
    <row r="71" customFormat="false" ht="15" hidden="false" customHeight="false" outlineLevel="0" collapsed="false">
      <c r="A71" s="23" t="n">
        <v>46232</v>
      </c>
      <c r="B71" s="30" t="n">
        <f aca="false">COUNTIFS(Data!$B$2:$B$2284,$A71)</f>
        <v>12</v>
      </c>
      <c r="C71" s="15" t="n">
        <f aca="false">COUNTIFS(Data!$B$2:$B$2284,$A71,Data!$H$2:$H$2284,"Agent Opportunity")</f>
        <v>5</v>
      </c>
      <c r="D71" s="15" t="n">
        <f aca="false">COUNTIFS(Data!$B$2:$B$2284,$A71,Data!$H$2:$H$2284,"Customer")</f>
        <v>1</v>
      </c>
      <c r="E71" s="15" t="n">
        <f aca="false">COUNTIFS(Data!$B$2:$B$2284,$A71,Data!$H$2:$H$2284,"Comcast Process/Tools")</f>
        <v>5</v>
      </c>
      <c r="F71" s="15" t="n">
        <f aca="false">COUNTIFS(Data!$B$2:$B$2284,$A71,Data!$H$2:$H$2284,"No Audio Found on I3")</f>
        <v>1</v>
      </c>
      <c r="G71" s="15" t="n">
        <f aca="false">COUNTIFS(Data!$B$2:$B$2284,$A71,Data!$H$2:$H$2284,"VXI Process/Tools")</f>
        <v>0</v>
      </c>
      <c r="H71" s="16" t="n">
        <f aca="false">IF(B71=0,0,C71/B71)</f>
        <v>0.416666666666667</v>
      </c>
      <c r="I71" s="16" t="n">
        <f aca="false">IF(B71=0,0,E71/B71)</f>
        <v>0.416666666666667</v>
      </c>
      <c r="J71" s="16" t="n">
        <f aca="false">IF(B71=0,0,F71/B71)</f>
        <v>0.0833333333333333</v>
      </c>
      <c r="K71" s="31" t="n">
        <f aca="false">B71-B72</f>
        <v>-2</v>
      </c>
      <c r="L71" s="32" t="n">
        <f aca="false">(H71-H72)*100</f>
        <v>-29.7619047619048</v>
      </c>
      <c r="M71" s="15" t="n">
        <f aca="false">COUNTIFS(Data!$B$2:$B$2284,$A71,Data!$D$2:$D$2284,"Omar.Mansour@vxi.com")</f>
        <v>0</v>
      </c>
      <c r="N71" s="15" t="n">
        <v>2</v>
      </c>
    </row>
    <row r="72" customFormat="false" ht="15" hidden="false" customHeight="false" outlineLevel="0" collapsed="false">
      <c r="A72" s="22" t="n">
        <v>46231</v>
      </c>
      <c r="B72" s="27" t="n">
        <f aca="false">COUNTIFS(Data!$B$2:$B$2284,$A72)</f>
        <v>14</v>
      </c>
      <c r="C72" s="14" t="n">
        <f aca="false">COUNTIFS(Data!$B$2:$B$2284,$A72,Data!$H$2:$H$2284,"Agent Opportunity")</f>
        <v>10</v>
      </c>
      <c r="D72" s="14" t="n">
        <f aca="false">COUNTIFS(Data!$B$2:$B$2284,$A72,Data!$H$2:$H$2284,"Customer")</f>
        <v>1</v>
      </c>
      <c r="E72" s="14" t="n">
        <f aca="false">COUNTIFS(Data!$B$2:$B$2284,$A72,Data!$H$2:$H$2284,"Comcast Process/Tools")</f>
        <v>1</v>
      </c>
      <c r="F72" s="14" t="n">
        <f aca="false">COUNTIFS(Data!$B$2:$B$2284,$A72,Data!$H$2:$H$2284,"No Audio Found on I3")</f>
        <v>0</v>
      </c>
      <c r="G72" s="14" t="n">
        <f aca="false">COUNTIFS(Data!$B$2:$B$2284,$A72,Data!$H$2:$H$2284,"VXI Process/Tools")</f>
        <v>2</v>
      </c>
      <c r="H72" s="18" t="n">
        <f aca="false">IF(B72=0,0,C72/B72)</f>
        <v>0.714285714285714</v>
      </c>
      <c r="I72" s="18" t="n">
        <f aca="false">IF(B72=0,0,E72/B72)</f>
        <v>0.0714285714285714</v>
      </c>
      <c r="J72" s="18" t="n">
        <f aca="false">IF(B72=0,0,F72/B72)</f>
        <v>0</v>
      </c>
      <c r="K72" s="28" t="n">
        <f aca="false">B72-B73</f>
        <v>10</v>
      </c>
      <c r="L72" s="29" t="n">
        <f aca="false">(H72-H73)*100</f>
        <v>-3.57142857142857</v>
      </c>
      <c r="M72" s="14" t="n">
        <f aca="false">COUNTIFS(Data!$B$2:$B$2284,$A72,Data!$D$2:$D$2284,"Omar.Mansour@vxi.com")</f>
        <v>0</v>
      </c>
      <c r="N72" s="14" t="n">
        <v>3</v>
      </c>
    </row>
    <row r="73" customFormat="false" ht="15" hidden="false" customHeight="false" outlineLevel="0" collapsed="false">
      <c r="A73" s="23" t="n">
        <v>46230</v>
      </c>
      <c r="B73" s="30" t="n">
        <f aca="false">COUNTIFS(Data!$B$2:$B$2284,$A73)</f>
        <v>4</v>
      </c>
      <c r="C73" s="15" t="n">
        <f aca="false">COUNTIFS(Data!$B$2:$B$2284,$A73,Data!$H$2:$H$2284,"Agent Opportunity")</f>
        <v>3</v>
      </c>
      <c r="D73" s="15" t="n">
        <f aca="false">COUNTIFS(Data!$B$2:$B$2284,$A73,Data!$H$2:$H$2284,"Customer")</f>
        <v>0</v>
      </c>
      <c r="E73" s="15" t="n">
        <f aca="false">COUNTIFS(Data!$B$2:$B$2284,$A73,Data!$H$2:$H$2284,"Comcast Process/Tools")</f>
        <v>1</v>
      </c>
      <c r="F73" s="15" t="n">
        <f aca="false">COUNTIFS(Data!$B$2:$B$2284,$A73,Data!$H$2:$H$2284,"No Audio Found on I3")</f>
        <v>0</v>
      </c>
      <c r="G73" s="15" t="n">
        <f aca="false">COUNTIFS(Data!$B$2:$B$2284,$A73,Data!$H$2:$H$2284,"VXI Process/Tools")</f>
        <v>0</v>
      </c>
      <c r="H73" s="16" t="n">
        <f aca="false">IF(B73=0,0,C73/B73)</f>
        <v>0.75</v>
      </c>
      <c r="I73" s="16" t="n">
        <f aca="false">IF(B73=0,0,E73/B73)</f>
        <v>0.25</v>
      </c>
      <c r="J73" s="16" t="n">
        <f aca="false">IF(B73=0,0,F73/B73)</f>
        <v>0</v>
      </c>
      <c r="K73" s="31" t="n">
        <f aca="false">B73-B74</f>
        <v>-1</v>
      </c>
      <c r="L73" s="32" t="n">
        <f aca="false">(H73-H74)*100</f>
        <v>15</v>
      </c>
      <c r="M73" s="15" t="n">
        <f aca="false">COUNTIFS(Data!$B$2:$B$2284,$A73,Data!$D$2:$D$2284,"Omar.Mansour@vxi.com")</f>
        <v>0</v>
      </c>
      <c r="N73" s="15" t="n">
        <v>1</v>
      </c>
    </row>
    <row r="74" customFormat="false" ht="15" hidden="false" customHeight="false" outlineLevel="0" collapsed="false">
      <c r="A74" s="22" t="n">
        <v>46229</v>
      </c>
      <c r="B74" s="27" t="n">
        <f aca="false">COUNTIFS(Data!$B$2:$B$2284,$A74)</f>
        <v>5</v>
      </c>
      <c r="C74" s="14" t="n">
        <f aca="false">COUNTIFS(Data!$B$2:$B$2284,$A74,Data!$H$2:$H$2284,"Agent Opportunity")</f>
        <v>3</v>
      </c>
      <c r="D74" s="14" t="n">
        <f aca="false">COUNTIFS(Data!$B$2:$B$2284,$A74,Data!$H$2:$H$2284,"Customer")</f>
        <v>0</v>
      </c>
      <c r="E74" s="14" t="n">
        <f aca="false">COUNTIFS(Data!$B$2:$B$2284,$A74,Data!$H$2:$H$2284,"Comcast Process/Tools")</f>
        <v>2</v>
      </c>
      <c r="F74" s="14" t="n">
        <f aca="false">COUNTIFS(Data!$B$2:$B$2284,$A74,Data!$H$2:$H$2284,"No Audio Found on I3")</f>
        <v>0</v>
      </c>
      <c r="G74" s="14" t="n">
        <f aca="false">COUNTIFS(Data!$B$2:$B$2284,$A74,Data!$H$2:$H$2284,"VXI Process/Tools")</f>
        <v>0</v>
      </c>
      <c r="H74" s="18" t="n">
        <f aca="false">IF(B74=0,0,C74/B74)</f>
        <v>0.6</v>
      </c>
      <c r="I74" s="18" t="n">
        <f aca="false">IF(B74=0,0,E74/B74)</f>
        <v>0.4</v>
      </c>
      <c r="J74" s="18" t="n">
        <f aca="false">IF(B74=0,0,F74/B74)</f>
        <v>0</v>
      </c>
      <c r="K74" s="28" t="n">
        <f aca="false">B74-B75</f>
        <v>1</v>
      </c>
      <c r="L74" s="29" t="n">
        <f aca="false">(H74-H75)*100</f>
        <v>-40</v>
      </c>
      <c r="M74" s="14" t="n">
        <f aca="false">COUNTIFS(Data!$B$2:$B$2284,$A74,Data!$D$2:$D$2284,"Omar.Mansour@vxi.com")</f>
        <v>0</v>
      </c>
      <c r="N74" s="14" t="n">
        <v>2</v>
      </c>
    </row>
    <row r="75" customFormat="false" ht="15" hidden="false" customHeight="false" outlineLevel="0" collapsed="false">
      <c r="A75" s="23" t="n">
        <v>46228</v>
      </c>
      <c r="B75" s="30" t="n">
        <f aca="false">COUNTIFS(Data!$B$2:$B$2284,$A75)</f>
        <v>4</v>
      </c>
      <c r="C75" s="15" t="n">
        <f aca="false">COUNTIFS(Data!$B$2:$B$2284,$A75,Data!$H$2:$H$2284,"Agent Opportunity")</f>
        <v>4</v>
      </c>
      <c r="D75" s="15" t="n">
        <f aca="false">COUNTIFS(Data!$B$2:$B$2284,$A75,Data!$H$2:$H$2284,"Customer")</f>
        <v>0</v>
      </c>
      <c r="E75" s="15" t="n">
        <f aca="false">COUNTIFS(Data!$B$2:$B$2284,$A75,Data!$H$2:$H$2284,"Comcast Process/Tools")</f>
        <v>0</v>
      </c>
      <c r="F75" s="15" t="n">
        <f aca="false">COUNTIFS(Data!$B$2:$B$2284,$A75,Data!$H$2:$H$2284,"No Audio Found on I3")</f>
        <v>0</v>
      </c>
      <c r="G75" s="15" t="n">
        <f aca="false">COUNTIFS(Data!$B$2:$B$2284,$A75,Data!$H$2:$H$2284,"VXI Process/Tools")</f>
        <v>0</v>
      </c>
      <c r="H75" s="16" t="n">
        <f aca="false">IF(B75=0,0,C75/B75)</f>
        <v>1</v>
      </c>
      <c r="I75" s="16" t="n">
        <f aca="false">IF(B75=0,0,E75/B75)</f>
        <v>0</v>
      </c>
      <c r="J75" s="16" t="n">
        <f aca="false">IF(B75=0,0,F75/B75)</f>
        <v>0</v>
      </c>
      <c r="K75" s="31" t="n">
        <f aca="false">B75-B76</f>
        <v>2</v>
      </c>
      <c r="L75" s="32" t="n">
        <f aca="false">(H75-H76)*100</f>
        <v>0</v>
      </c>
      <c r="M75" s="15" t="n">
        <f aca="false">COUNTIFS(Data!$B$2:$B$2284,$A75,Data!$D$2:$D$2284,"Omar.Mansour@vxi.com")</f>
        <v>0</v>
      </c>
      <c r="N75" s="15" t="n">
        <v>1</v>
      </c>
    </row>
    <row r="76" customFormat="false" ht="15" hidden="false" customHeight="false" outlineLevel="0" collapsed="false">
      <c r="A76" s="22" t="n">
        <v>46227</v>
      </c>
      <c r="B76" s="27" t="n">
        <f aca="false">COUNTIFS(Data!$B$2:$B$2284,$A76)</f>
        <v>2</v>
      </c>
      <c r="C76" s="14" t="n">
        <f aca="false">COUNTIFS(Data!$B$2:$B$2284,$A76,Data!$H$2:$H$2284,"Agent Opportunity")</f>
        <v>2</v>
      </c>
      <c r="D76" s="14" t="n">
        <f aca="false">COUNTIFS(Data!$B$2:$B$2284,$A76,Data!$H$2:$H$2284,"Customer")</f>
        <v>0</v>
      </c>
      <c r="E76" s="14" t="n">
        <f aca="false">COUNTIFS(Data!$B$2:$B$2284,$A76,Data!$H$2:$H$2284,"Comcast Process/Tools")</f>
        <v>0</v>
      </c>
      <c r="F76" s="14" t="n">
        <f aca="false">COUNTIFS(Data!$B$2:$B$2284,$A76,Data!$H$2:$H$2284,"No Audio Found on I3")</f>
        <v>0</v>
      </c>
      <c r="G76" s="14" t="n">
        <f aca="false">COUNTIFS(Data!$B$2:$B$2284,$A76,Data!$H$2:$H$2284,"VXI Process/Tools")</f>
        <v>0</v>
      </c>
      <c r="H76" s="18" t="n">
        <f aca="false">IF(B76=0,0,C76/B76)</f>
        <v>1</v>
      </c>
      <c r="I76" s="18" t="n">
        <f aca="false">IF(B76=0,0,E76/B76)</f>
        <v>0</v>
      </c>
      <c r="J76" s="18" t="n">
        <f aca="false">IF(B76=0,0,F76/B76)</f>
        <v>0</v>
      </c>
      <c r="K76" s="28" t="n">
        <f aca="false">B76-B77</f>
        <v>-7</v>
      </c>
      <c r="L76" s="29" t="n">
        <f aca="false">(H76-H77)*100</f>
        <v>33.3333333333333</v>
      </c>
      <c r="M76" s="14" t="n">
        <f aca="false">COUNTIFS(Data!$B$2:$B$2284,$A76,Data!$D$2:$D$2284,"Omar.Mansour@vxi.com")</f>
        <v>0</v>
      </c>
      <c r="N76" s="14" t="n">
        <v>1</v>
      </c>
    </row>
    <row r="77" customFormat="false" ht="15" hidden="false" customHeight="false" outlineLevel="0" collapsed="false">
      <c r="A77" s="23" t="n">
        <v>46226</v>
      </c>
      <c r="B77" s="30" t="n">
        <f aca="false">COUNTIFS(Data!$B$2:$B$2284,$A77)</f>
        <v>9</v>
      </c>
      <c r="C77" s="15" t="n">
        <f aca="false">COUNTIFS(Data!$B$2:$B$2284,$A77,Data!$H$2:$H$2284,"Agent Opportunity")</f>
        <v>6</v>
      </c>
      <c r="D77" s="15" t="n">
        <f aca="false">COUNTIFS(Data!$B$2:$B$2284,$A77,Data!$H$2:$H$2284,"Customer")</f>
        <v>1</v>
      </c>
      <c r="E77" s="15" t="n">
        <f aca="false">COUNTIFS(Data!$B$2:$B$2284,$A77,Data!$H$2:$H$2284,"Comcast Process/Tools")</f>
        <v>1</v>
      </c>
      <c r="F77" s="15" t="n">
        <f aca="false">COUNTIFS(Data!$B$2:$B$2284,$A77,Data!$H$2:$H$2284,"No Audio Found on I3")</f>
        <v>1</v>
      </c>
      <c r="G77" s="15" t="n">
        <f aca="false">COUNTIFS(Data!$B$2:$B$2284,$A77,Data!$H$2:$H$2284,"VXI Process/Tools")</f>
        <v>0</v>
      </c>
      <c r="H77" s="16" t="n">
        <f aca="false">IF(B77=0,0,C77/B77)</f>
        <v>0.666666666666667</v>
      </c>
      <c r="I77" s="16" t="n">
        <f aca="false">IF(B77=0,0,E77/B77)</f>
        <v>0.111111111111111</v>
      </c>
      <c r="J77" s="16" t="n">
        <f aca="false">IF(B77=0,0,F77/B77)</f>
        <v>0.111111111111111</v>
      </c>
      <c r="K77" s="31" t="n">
        <f aca="false">B77-B78</f>
        <v>-11</v>
      </c>
      <c r="L77" s="32" t="n">
        <f aca="false">(H77-H78)*100</f>
        <v>1.66666666666666</v>
      </c>
      <c r="M77" s="15" t="n">
        <f aca="false">COUNTIFS(Data!$B$2:$B$2284,$A77,Data!$D$2:$D$2284,"Omar.Mansour@vxi.com")</f>
        <v>0</v>
      </c>
      <c r="N77" s="15" t="n">
        <v>3</v>
      </c>
    </row>
    <row r="78" customFormat="false" ht="15" hidden="false" customHeight="false" outlineLevel="0" collapsed="false">
      <c r="A78" s="22" t="n">
        <v>46225</v>
      </c>
      <c r="B78" s="27" t="n">
        <f aca="false">COUNTIFS(Data!$B$2:$B$2284,$A78)</f>
        <v>20</v>
      </c>
      <c r="C78" s="14" t="n">
        <f aca="false">COUNTIFS(Data!$B$2:$B$2284,$A78,Data!$H$2:$H$2284,"Agent Opportunity")</f>
        <v>13</v>
      </c>
      <c r="D78" s="14" t="n">
        <f aca="false">COUNTIFS(Data!$B$2:$B$2284,$A78,Data!$H$2:$H$2284,"Customer")</f>
        <v>0</v>
      </c>
      <c r="E78" s="14" t="n">
        <f aca="false">COUNTIFS(Data!$B$2:$B$2284,$A78,Data!$H$2:$H$2284,"Comcast Process/Tools")</f>
        <v>5</v>
      </c>
      <c r="F78" s="14" t="n">
        <f aca="false">COUNTIFS(Data!$B$2:$B$2284,$A78,Data!$H$2:$H$2284,"No Audio Found on I3")</f>
        <v>2</v>
      </c>
      <c r="G78" s="14" t="n">
        <f aca="false">COUNTIFS(Data!$B$2:$B$2284,$A78,Data!$H$2:$H$2284,"VXI Process/Tools")</f>
        <v>0</v>
      </c>
      <c r="H78" s="18" t="n">
        <f aca="false">IF(B78=0,0,C78/B78)</f>
        <v>0.65</v>
      </c>
      <c r="I78" s="18" t="n">
        <f aca="false">IF(B78=0,0,E78/B78)</f>
        <v>0.25</v>
      </c>
      <c r="J78" s="18" t="n">
        <f aca="false">IF(B78=0,0,F78/B78)</f>
        <v>0.1</v>
      </c>
      <c r="K78" s="28" t="n">
        <f aca="false">B78-B79</f>
        <v>5</v>
      </c>
      <c r="L78" s="29" t="n">
        <f aca="false">(H78-H79)*100</f>
        <v>-15</v>
      </c>
      <c r="M78" s="14" t="n">
        <f aca="false">COUNTIFS(Data!$B$2:$B$2284,$A78,Data!$D$2:$D$2284,"Omar.Mansour@vxi.com")</f>
        <v>0</v>
      </c>
      <c r="N78" s="14" t="n">
        <v>4</v>
      </c>
    </row>
    <row r="79" customFormat="false" ht="15" hidden="false" customHeight="false" outlineLevel="0" collapsed="false">
      <c r="A79" s="23" t="n">
        <v>46224</v>
      </c>
      <c r="B79" s="30" t="n">
        <f aca="false">COUNTIFS(Data!$B$2:$B$2284,$A79)</f>
        <v>15</v>
      </c>
      <c r="C79" s="15" t="n">
        <f aca="false">COUNTIFS(Data!$B$2:$B$2284,$A79,Data!$H$2:$H$2284,"Agent Opportunity")</f>
        <v>12</v>
      </c>
      <c r="D79" s="15" t="n">
        <f aca="false">COUNTIFS(Data!$B$2:$B$2284,$A79,Data!$H$2:$H$2284,"Customer")</f>
        <v>1</v>
      </c>
      <c r="E79" s="15" t="n">
        <f aca="false">COUNTIFS(Data!$B$2:$B$2284,$A79,Data!$H$2:$H$2284,"Comcast Process/Tools")</f>
        <v>1</v>
      </c>
      <c r="F79" s="15" t="n">
        <f aca="false">COUNTIFS(Data!$B$2:$B$2284,$A79,Data!$H$2:$H$2284,"No Audio Found on I3")</f>
        <v>1</v>
      </c>
      <c r="G79" s="15" t="n">
        <f aca="false">COUNTIFS(Data!$B$2:$B$2284,$A79,Data!$H$2:$H$2284,"VXI Process/Tools")</f>
        <v>0</v>
      </c>
      <c r="H79" s="16" t="n">
        <f aca="false">IF(B79=0,0,C79/B79)</f>
        <v>0.8</v>
      </c>
      <c r="I79" s="16" t="n">
        <f aca="false">IF(B79=0,0,E79/B79)</f>
        <v>0.0666666666666667</v>
      </c>
      <c r="J79" s="16" t="n">
        <f aca="false">IF(B79=0,0,F79/B79)</f>
        <v>0.0666666666666667</v>
      </c>
      <c r="K79" s="31" t="n">
        <f aca="false">B79-B80</f>
        <v>-9</v>
      </c>
      <c r="L79" s="32" t="n">
        <f aca="false">(H79-H80)*100</f>
        <v>13.3333333333333</v>
      </c>
      <c r="M79" s="15" t="n">
        <f aca="false">COUNTIFS(Data!$B$2:$B$2284,$A79,Data!$D$2:$D$2284,"Omar.Mansour@vxi.com")</f>
        <v>0</v>
      </c>
      <c r="N79" s="15" t="n">
        <v>3</v>
      </c>
    </row>
    <row r="80" customFormat="false" ht="15" hidden="false" customHeight="false" outlineLevel="0" collapsed="false">
      <c r="A80" s="22" t="n">
        <v>46223</v>
      </c>
      <c r="B80" s="27" t="n">
        <f aca="false">COUNTIFS(Data!$B$2:$B$2284,$A80)</f>
        <v>24</v>
      </c>
      <c r="C80" s="14" t="n">
        <f aca="false">COUNTIFS(Data!$B$2:$B$2284,$A80,Data!$H$2:$H$2284,"Agent Opportunity")</f>
        <v>16</v>
      </c>
      <c r="D80" s="14" t="n">
        <f aca="false">COUNTIFS(Data!$B$2:$B$2284,$A80,Data!$H$2:$H$2284,"Customer")</f>
        <v>2</v>
      </c>
      <c r="E80" s="14" t="n">
        <f aca="false">COUNTIFS(Data!$B$2:$B$2284,$A80,Data!$H$2:$H$2284,"Comcast Process/Tools")</f>
        <v>3</v>
      </c>
      <c r="F80" s="14" t="n">
        <f aca="false">COUNTIFS(Data!$B$2:$B$2284,$A80,Data!$H$2:$H$2284,"No Audio Found on I3")</f>
        <v>2</v>
      </c>
      <c r="G80" s="14" t="n">
        <f aca="false">COUNTIFS(Data!$B$2:$B$2284,$A80,Data!$H$2:$H$2284,"VXI Process/Tools")</f>
        <v>1</v>
      </c>
      <c r="H80" s="18" t="n">
        <f aca="false">IF(B80=0,0,C80/B80)</f>
        <v>0.666666666666667</v>
      </c>
      <c r="I80" s="18" t="n">
        <f aca="false">IF(B80=0,0,E80/B80)</f>
        <v>0.125</v>
      </c>
      <c r="J80" s="18" t="n">
        <f aca="false">IF(B80=0,0,F80/B80)</f>
        <v>0.0833333333333333</v>
      </c>
      <c r="K80" s="28" t="n">
        <f aca="false">B80-B81</f>
        <v>10</v>
      </c>
      <c r="L80" s="29" t="n">
        <f aca="false">(H80-H81)*100</f>
        <v>-4.76190476190477</v>
      </c>
      <c r="M80" s="14" t="n">
        <f aca="false">COUNTIFS(Data!$B$2:$B$2284,$A80,Data!$D$2:$D$2284,"Omar.Mansour@vxi.com")</f>
        <v>0</v>
      </c>
      <c r="N80" s="14" t="n">
        <v>3</v>
      </c>
    </row>
    <row r="81" customFormat="false" ht="15" hidden="false" customHeight="false" outlineLevel="0" collapsed="false">
      <c r="A81" s="23" t="n">
        <v>46221</v>
      </c>
      <c r="B81" s="30" t="n">
        <f aca="false">COUNTIFS(Data!$B$2:$B$2284,$A81)</f>
        <v>14</v>
      </c>
      <c r="C81" s="15" t="n">
        <f aca="false">COUNTIFS(Data!$B$2:$B$2284,$A81,Data!$H$2:$H$2284,"Agent Opportunity")</f>
        <v>10</v>
      </c>
      <c r="D81" s="15" t="n">
        <f aca="false">COUNTIFS(Data!$B$2:$B$2284,$A81,Data!$H$2:$H$2284,"Customer")</f>
        <v>0</v>
      </c>
      <c r="E81" s="15" t="n">
        <f aca="false">COUNTIFS(Data!$B$2:$B$2284,$A81,Data!$H$2:$H$2284,"Comcast Process/Tools")</f>
        <v>1</v>
      </c>
      <c r="F81" s="15" t="n">
        <f aca="false">COUNTIFS(Data!$B$2:$B$2284,$A81,Data!$H$2:$H$2284,"No Audio Found on I3")</f>
        <v>3</v>
      </c>
      <c r="G81" s="15" t="n">
        <f aca="false">COUNTIFS(Data!$B$2:$B$2284,$A81,Data!$H$2:$H$2284,"VXI Process/Tools")</f>
        <v>0</v>
      </c>
      <c r="H81" s="16" t="n">
        <f aca="false">IF(B81=0,0,C81/B81)</f>
        <v>0.714285714285714</v>
      </c>
      <c r="I81" s="16" t="n">
        <f aca="false">IF(B81=0,0,E81/B81)</f>
        <v>0.0714285714285714</v>
      </c>
      <c r="J81" s="16" t="n">
        <f aca="false">IF(B81=0,0,F81/B81)</f>
        <v>0.214285714285714</v>
      </c>
      <c r="K81" s="31" t="n">
        <f aca="false">B81-B82</f>
        <v>-18</v>
      </c>
      <c r="L81" s="32" t="n">
        <f aca="false">(H81-H82)*100</f>
        <v>12.0535714285714</v>
      </c>
      <c r="M81" s="15" t="n">
        <f aca="false">COUNTIFS(Data!$B$2:$B$2284,$A81,Data!$D$2:$D$2284,"Omar.Mansour@vxi.com")</f>
        <v>0</v>
      </c>
      <c r="N81" s="15" t="n">
        <v>2</v>
      </c>
    </row>
    <row r="82" customFormat="false" ht="15" hidden="false" customHeight="false" outlineLevel="0" collapsed="false">
      <c r="A82" s="22" t="n">
        <v>46220</v>
      </c>
      <c r="B82" s="27" t="n">
        <f aca="false">COUNTIFS(Data!$B$2:$B$2284,$A82)</f>
        <v>32</v>
      </c>
      <c r="C82" s="14" t="n">
        <f aca="false">COUNTIFS(Data!$B$2:$B$2284,$A82,Data!$H$2:$H$2284,"Agent Opportunity")</f>
        <v>19</v>
      </c>
      <c r="D82" s="14" t="n">
        <f aca="false">COUNTIFS(Data!$B$2:$B$2284,$A82,Data!$H$2:$H$2284,"Customer")</f>
        <v>2</v>
      </c>
      <c r="E82" s="14" t="n">
        <f aca="false">COUNTIFS(Data!$B$2:$B$2284,$A82,Data!$H$2:$H$2284,"Comcast Process/Tools")</f>
        <v>3</v>
      </c>
      <c r="F82" s="14" t="n">
        <f aca="false">COUNTIFS(Data!$B$2:$B$2284,$A82,Data!$H$2:$H$2284,"No Audio Found on I3")</f>
        <v>7</v>
      </c>
      <c r="G82" s="14" t="n">
        <f aca="false">COUNTIFS(Data!$B$2:$B$2284,$A82,Data!$H$2:$H$2284,"VXI Process/Tools")</f>
        <v>1</v>
      </c>
      <c r="H82" s="18" t="n">
        <f aca="false">IF(B82=0,0,C82/B82)</f>
        <v>0.59375</v>
      </c>
      <c r="I82" s="18" t="n">
        <f aca="false">IF(B82=0,0,E82/B82)</f>
        <v>0.09375</v>
      </c>
      <c r="J82" s="18" t="n">
        <f aca="false">IF(B82=0,0,F82/B82)</f>
        <v>0.21875</v>
      </c>
      <c r="K82" s="28" t="n">
        <f aca="false">B82-B83</f>
        <v>25</v>
      </c>
      <c r="L82" s="29" t="n">
        <f aca="false">(H82-H83)*100</f>
        <v>-26.3392857142857</v>
      </c>
      <c r="M82" s="14" t="n">
        <f aca="false">COUNTIFS(Data!$B$2:$B$2284,$A82,Data!$D$2:$D$2284,"Omar.Mansour@vxi.com")</f>
        <v>0</v>
      </c>
      <c r="N82" s="14" t="n">
        <v>4</v>
      </c>
    </row>
    <row r="83" customFormat="false" ht="15" hidden="false" customHeight="false" outlineLevel="0" collapsed="false">
      <c r="A83" s="23" t="n">
        <v>46219</v>
      </c>
      <c r="B83" s="30" t="n">
        <f aca="false">COUNTIFS(Data!$B$2:$B$2284,$A83)</f>
        <v>7</v>
      </c>
      <c r="C83" s="15" t="n">
        <f aca="false">COUNTIFS(Data!$B$2:$B$2284,$A83,Data!$H$2:$H$2284,"Agent Opportunity")</f>
        <v>6</v>
      </c>
      <c r="D83" s="15" t="n">
        <f aca="false">COUNTIFS(Data!$B$2:$B$2284,$A83,Data!$H$2:$H$2284,"Customer")</f>
        <v>0</v>
      </c>
      <c r="E83" s="15" t="n">
        <f aca="false">COUNTIFS(Data!$B$2:$B$2284,$A83,Data!$H$2:$H$2284,"Comcast Process/Tools")</f>
        <v>0</v>
      </c>
      <c r="F83" s="15" t="n">
        <f aca="false">COUNTIFS(Data!$B$2:$B$2284,$A83,Data!$H$2:$H$2284,"No Audio Found on I3")</f>
        <v>1</v>
      </c>
      <c r="G83" s="15" t="n">
        <f aca="false">COUNTIFS(Data!$B$2:$B$2284,$A83,Data!$H$2:$H$2284,"VXI Process/Tools")</f>
        <v>0</v>
      </c>
      <c r="H83" s="16" t="n">
        <f aca="false">IF(B83=0,0,C83/B83)</f>
        <v>0.857142857142857</v>
      </c>
      <c r="I83" s="16" t="n">
        <f aca="false">IF(B83=0,0,E83/B83)</f>
        <v>0</v>
      </c>
      <c r="J83" s="16" t="n">
        <f aca="false">IF(B83=0,0,F83/B83)</f>
        <v>0.142857142857143</v>
      </c>
      <c r="K83" s="31" t="n">
        <f aca="false">B83-B84</f>
        <v>-6</v>
      </c>
      <c r="L83" s="32" t="n">
        <f aca="false">(H83-H84)*100</f>
        <v>39.5604395604396</v>
      </c>
      <c r="M83" s="15" t="n">
        <f aca="false">COUNTIFS(Data!$B$2:$B$2284,$A83,Data!$D$2:$D$2284,"Omar.Mansour@vxi.com")</f>
        <v>0</v>
      </c>
      <c r="N83" s="15" t="n">
        <v>2</v>
      </c>
    </row>
    <row r="84" customFormat="false" ht="15" hidden="false" customHeight="false" outlineLevel="0" collapsed="false">
      <c r="A84" s="22" t="n">
        <v>46218</v>
      </c>
      <c r="B84" s="27" t="n">
        <f aca="false">COUNTIFS(Data!$B$2:$B$2284,$A84)</f>
        <v>13</v>
      </c>
      <c r="C84" s="14" t="n">
        <f aca="false">COUNTIFS(Data!$B$2:$B$2284,$A84,Data!$H$2:$H$2284,"Agent Opportunity")</f>
        <v>6</v>
      </c>
      <c r="D84" s="14" t="n">
        <f aca="false">COUNTIFS(Data!$B$2:$B$2284,$A84,Data!$H$2:$H$2284,"Customer")</f>
        <v>1</v>
      </c>
      <c r="E84" s="14" t="n">
        <f aca="false">COUNTIFS(Data!$B$2:$B$2284,$A84,Data!$H$2:$H$2284,"Comcast Process/Tools")</f>
        <v>2</v>
      </c>
      <c r="F84" s="14" t="n">
        <f aca="false">COUNTIFS(Data!$B$2:$B$2284,$A84,Data!$H$2:$H$2284,"No Audio Found on I3")</f>
        <v>4</v>
      </c>
      <c r="G84" s="14" t="n">
        <f aca="false">COUNTIFS(Data!$B$2:$B$2284,$A84,Data!$H$2:$H$2284,"VXI Process/Tools")</f>
        <v>0</v>
      </c>
      <c r="H84" s="18" t="n">
        <f aca="false">IF(B84=0,0,C84/B84)</f>
        <v>0.461538461538462</v>
      </c>
      <c r="I84" s="18" t="n">
        <f aca="false">IF(B84=0,0,E84/B84)</f>
        <v>0.153846153846154</v>
      </c>
      <c r="J84" s="18" t="n">
        <f aca="false">IF(B84=0,0,F84/B84)</f>
        <v>0.307692307692308</v>
      </c>
      <c r="K84" s="28" t="n">
        <f aca="false">B84-B85</f>
        <v>11</v>
      </c>
      <c r="L84" s="29" t="n">
        <f aca="false">(H84-H85)*100</f>
        <v>-53.8461538461539</v>
      </c>
      <c r="M84" s="14" t="n">
        <f aca="false">COUNTIFS(Data!$B$2:$B$2284,$A84,Data!$D$2:$D$2284,"Omar.Mansour@vxi.com")</f>
        <v>0</v>
      </c>
      <c r="N84" s="14" t="n">
        <v>3</v>
      </c>
    </row>
    <row r="85" customFormat="false" ht="15" hidden="false" customHeight="false" outlineLevel="0" collapsed="false">
      <c r="A85" s="23" t="n">
        <v>46217</v>
      </c>
      <c r="B85" s="30" t="n">
        <f aca="false">COUNTIFS(Data!$B$2:$B$2284,$A85)</f>
        <v>2</v>
      </c>
      <c r="C85" s="15" t="n">
        <f aca="false">COUNTIFS(Data!$B$2:$B$2284,$A85,Data!$H$2:$H$2284,"Agent Opportunity")</f>
        <v>2</v>
      </c>
      <c r="D85" s="15" t="n">
        <f aca="false">COUNTIFS(Data!$B$2:$B$2284,$A85,Data!$H$2:$H$2284,"Customer")</f>
        <v>0</v>
      </c>
      <c r="E85" s="15" t="n">
        <f aca="false">COUNTIFS(Data!$B$2:$B$2284,$A85,Data!$H$2:$H$2284,"Comcast Process/Tools")</f>
        <v>0</v>
      </c>
      <c r="F85" s="15" t="n">
        <f aca="false">COUNTIFS(Data!$B$2:$B$2284,$A85,Data!$H$2:$H$2284,"No Audio Found on I3")</f>
        <v>0</v>
      </c>
      <c r="G85" s="15" t="n">
        <f aca="false">COUNTIFS(Data!$B$2:$B$2284,$A85,Data!$H$2:$H$2284,"VXI Process/Tools")</f>
        <v>0</v>
      </c>
      <c r="H85" s="16" t="n">
        <f aca="false">IF(B85=0,0,C85/B85)</f>
        <v>1</v>
      </c>
      <c r="I85" s="16" t="n">
        <f aca="false">IF(B85=0,0,E85/B85)</f>
        <v>0</v>
      </c>
      <c r="J85" s="16" t="n">
        <f aca="false">IF(B85=0,0,F85/B85)</f>
        <v>0</v>
      </c>
      <c r="K85" s="31" t="n">
        <f aca="false">B85-B86</f>
        <v>-3</v>
      </c>
      <c r="L85" s="32" t="n">
        <f aca="false">(H85-H86)*100</f>
        <v>40</v>
      </c>
      <c r="M85" s="15" t="n">
        <f aca="false">COUNTIFS(Data!$B$2:$B$2284,$A85,Data!$D$2:$D$2284,"Omar.Mansour@vxi.com")</f>
        <v>0</v>
      </c>
      <c r="N85" s="15" t="n">
        <v>1</v>
      </c>
    </row>
    <row r="86" customFormat="false" ht="15" hidden="false" customHeight="false" outlineLevel="0" collapsed="false">
      <c r="A86" s="22" t="n">
        <v>46216</v>
      </c>
      <c r="B86" s="27" t="n">
        <f aca="false">COUNTIFS(Data!$B$2:$B$2284,$A86)</f>
        <v>5</v>
      </c>
      <c r="C86" s="14" t="n">
        <f aca="false">COUNTIFS(Data!$B$2:$B$2284,$A86,Data!$H$2:$H$2284,"Agent Opportunity")</f>
        <v>3</v>
      </c>
      <c r="D86" s="14" t="n">
        <f aca="false">COUNTIFS(Data!$B$2:$B$2284,$A86,Data!$H$2:$H$2284,"Customer")</f>
        <v>0</v>
      </c>
      <c r="E86" s="14" t="n">
        <f aca="false">COUNTIFS(Data!$B$2:$B$2284,$A86,Data!$H$2:$H$2284,"Comcast Process/Tools")</f>
        <v>2</v>
      </c>
      <c r="F86" s="14" t="n">
        <f aca="false">COUNTIFS(Data!$B$2:$B$2284,$A86,Data!$H$2:$H$2284,"No Audio Found on I3")</f>
        <v>0</v>
      </c>
      <c r="G86" s="14" t="n">
        <f aca="false">COUNTIFS(Data!$B$2:$B$2284,$A86,Data!$H$2:$H$2284,"VXI Process/Tools")</f>
        <v>0</v>
      </c>
      <c r="H86" s="18" t="n">
        <f aca="false">IF(B86=0,0,C86/B86)</f>
        <v>0.6</v>
      </c>
      <c r="I86" s="18" t="n">
        <f aca="false">IF(B86=0,0,E86/B86)</f>
        <v>0.4</v>
      </c>
      <c r="J86" s="18" t="n">
        <f aca="false">IF(B86=0,0,F86/B86)</f>
        <v>0</v>
      </c>
      <c r="K86" s="28" t="n">
        <f aca="false">B86-B87</f>
        <v>-12</v>
      </c>
      <c r="L86" s="29" t="n">
        <f aca="false">(H86-H87)*100</f>
        <v>-16.4705882352941</v>
      </c>
      <c r="M86" s="14" t="n">
        <f aca="false">COUNTIFS(Data!$B$2:$B$2284,$A86,Data!$D$2:$D$2284,"Omar.Mansour@vxi.com")</f>
        <v>0</v>
      </c>
      <c r="N86" s="14" t="n">
        <v>1</v>
      </c>
    </row>
    <row r="87" customFormat="false" ht="15" hidden="false" customHeight="false" outlineLevel="0" collapsed="false">
      <c r="A87" s="23" t="n">
        <v>46215</v>
      </c>
      <c r="B87" s="30" t="n">
        <f aca="false">COUNTIFS(Data!$B$2:$B$2284,$A87)</f>
        <v>17</v>
      </c>
      <c r="C87" s="15" t="n">
        <f aca="false">COUNTIFS(Data!$B$2:$B$2284,$A87,Data!$H$2:$H$2284,"Agent Opportunity")</f>
        <v>13</v>
      </c>
      <c r="D87" s="15" t="n">
        <f aca="false">COUNTIFS(Data!$B$2:$B$2284,$A87,Data!$H$2:$H$2284,"Customer")</f>
        <v>1</v>
      </c>
      <c r="E87" s="15" t="n">
        <f aca="false">COUNTIFS(Data!$B$2:$B$2284,$A87,Data!$H$2:$H$2284,"Comcast Process/Tools")</f>
        <v>2</v>
      </c>
      <c r="F87" s="15" t="n">
        <f aca="false">COUNTIFS(Data!$B$2:$B$2284,$A87,Data!$H$2:$H$2284,"No Audio Found on I3")</f>
        <v>0</v>
      </c>
      <c r="G87" s="15" t="n">
        <f aca="false">COUNTIFS(Data!$B$2:$B$2284,$A87,Data!$H$2:$H$2284,"VXI Process/Tools")</f>
        <v>1</v>
      </c>
      <c r="H87" s="16" t="n">
        <f aca="false">IF(B87=0,0,C87/B87)</f>
        <v>0.764705882352941</v>
      </c>
      <c r="I87" s="16" t="n">
        <f aca="false">IF(B87=0,0,E87/B87)</f>
        <v>0.117647058823529</v>
      </c>
      <c r="J87" s="16" t="n">
        <f aca="false">IF(B87=0,0,F87/B87)</f>
        <v>0</v>
      </c>
      <c r="K87" s="31" t="n">
        <f aca="false">B87-B88</f>
        <v>11</v>
      </c>
      <c r="L87" s="32" t="n">
        <f aca="false">(H87-H88)*100</f>
        <v>26.4705882352941</v>
      </c>
      <c r="M87" s="15" t="n">
        <f aca="false">COUNTIFS(Data!$B$2:$B$2284,$A87,Data!$D$2:$D$2284,"Omar.Mansour@vxi.com")</f>
        <v>0</v>
      </c>
      <c r="N87" s="15" t="n">
        <v>1</v>
      </c>
    </row>
    <row r="88" customFormat="false" ht="15" hidden="false" customHeight="false" outlineLevel="0" collapsed="false">
      <c r="A88" s="22" t="n">
        <v>46214</v>
      </c>
      <c r="B88" s="27" t="n">
        <f aca="false">COUNTIFS(Data!$B$2:$B$2284,$A88)</f>
        <v>6</v>
      </c>
      <c r="C88" s="14" t="n">
        <f aca="false">COUNTIFS(Data!$B$2:$B$2284,$A88,Data!$H$2:$H$2284,"Agent Opportunity")</f>
        <v>3</v>
      </c>
      <c r="D88" s="14" t="n">
        <f aca="false">COUNTIFS(Data!$B$2:$B$2284,$A88,Data!$H$2:$H$2284,"Customer")</f>
        <v>2</v>
      </c>
      <c r="E88" s="14" t="n">
        <f aca="false">COUNTIFS(Data!$B$2:$B$2284,$A88,Data!$H$2:$H$2284,"Comcast Process/Tools")</f>
        <v>0</v>
      </c>
      <c r="F88" s="14" t="n">
        <f aca="false">COUNTIFS(Data!$B$2:$B$2284,$A88,Data!$H$2:$H$2284,"No Audio Found on I3")</f>
        <v>1</v>
      </c>
      <c r="G88" s="14" t="n">
        <f aca="false">COUNTIFS(Data!$B$2:$B$2284,$A88,Data!$H$2:$H$2284,"VXI Process/Tools")</f>
        <v>0</v>
      </c>
      <c r="H88" s="18" t="n">
        <f aca="false">IF(B88=0,0,C88/B88)</f>
        <v>0.5</v>
      </c>
      <c r="I88" s="18" t="n">
        <f aca="false">IF(B88=0,0,E88/B88)</f>
        <v>0</v>
      </c>
      <c r="J88" s="18" t="n">
        <f aca="false">IF(B88=0,0,F88/B88)</f>
        <v>0.166666666666667</v>
      </c>
      <c r="K88" s="28" t="n">
        <f aca="false">B88-B89</f>
        <v>-1</v>
      </c>
      <c r="L88" s="29" t="n">
        <f aca="false">(H88-H89)*100</f>
        <v>-35.7142857142857</v>
      </c>
      <c r="M88" s="14" t="n">
        <f aca="false">COUNTIFS(Data!$B$2:$B$2284,$A88,Data!$D$2:$D$2284,"Omar.Mansour@vxi.com")</f>
        <v>0</v>
      </c>
      <c r="N88" s="14" t="n">
        <v>2</v>
      </c>
    </row>
    <row r="89" customFormat="false" ht="15" hidden="false" customHeight="false" outlineLevel="0" collapsed="false">
      <c r="A89" s="23" t="n">
        <v>46213</v>
      </c>
      <c r="B89" s="30" t="n">
        <f aca="false">COUNTIFS(Data!$B$2:$B$2284,$A89)</f>
        <v>7</v>
      </c>
      <c r="C89" s="15" t="n">
        <f aca="false">COUNTIFS(Data!$B$2:$B$2284,$A89,Data!$H$2:$H$2284,"Agent Opportunity")</f>
        <v>6</v>
      </c>
      <c r="D89" s="15" t="n">
        <f aca="false">COUNTIFS(Data!$B$2:$B$2284,$A89,Data!$H$2:$H$2284,"Customer")</f>
        <v>1</v>
      </c>
      <c r="E89" s="15" t="n">
        <f aca="false">COUNTIFS(Data!$B$2:$B$2284,$A89,Data!$H$2:$H$2284,"Comcast Process/Tools")</f>
        <v>0</v>
      </c>
      <c r="F89" s="15" t="n">
        <f aca="false">COUNTIFS(Data!$B$2:$B$2284,$A89,Data!$H$2:$H$2284,"No Audio Found on I3")</f>
        <v>0</v>
      </c>
      <c r="G89" s="15" t="n">
        <f aca="false">COUNTIFS(Data!$B$2:$B$2284,$A89,Data!$H$2:$H$2284,"VXI Process/Tools")</f>
        <v>0</v>
      </c>
      <c r="H89" s="16" t="n">
        <f aca="false">IF(B89=0,0,C89/B89)</f>
        <v>0.857142857142857</v>
      </c>
      <c r="I89" s="16" t="n">
        <f aca="false">IF(B89=0,0,E89/B89)</f>
        <v>0</v>
      </c>
      <c r="J89" s="16" t="n">
        <f aca="false">IF(B89=0,0,F89/B89)</f>
        <v>0</v>
      </c>
      <c r="K89" s="31" t="n">
        <f aca="false">B89-B90</f>
        <v>-6</v>
      </c>
      <c r="L89" s="32" t="n">
        <f aca="false">(H89-H90)*100</f>
        <v>70.3296703296703</v>
      </c>
      <c r="M89" s="15" t="n">
        <f aca="false">COUNTIFS(Data!$B$2:$B$2284,$A89,Data!$D$2:$D$2284,"Omar.Mansour@vxi.com")</f>
        <v>0</v>
      </c>
      <c r="N89" s="15" t="n">
        <v>3</v>
      </c>
    </row>
    <row r="90" customFormat="false" ht="15" hidden="false" customHeight="false" outlineLevel="0" collapsed="false">
      <c r="A90" s="22" t="n">
        <v>46212</v>
      </c>
      <c r="B90" s="27" t="n">
        <f aca="false">COUNTIFS(Data!$B$2:$B$2284,$A90)</f>
        <v>13</v>
      </c>
      <c r="C90" s="14" t="n">
        <f aca="false">COUNTIFS(Data!$B$2:$B$2284,$A90,Data!$H$2:$H$2284,"Agent Opportunity")</f>
        <v>2</v>
      </c>
      <c r="D90" s="14" t="n">
        <f aca="false">COUNTIFS(Data!$B$2:$B$2284,$A90,Data!$H$2:$H$2284,"Customer")</f>
        <v>0</v>
      </c>
      <c r="E90" s="14" t="n">
        <f aca="false">COUNTIFS(Data!$B$2:$B$2284,$A90,Data!$H$2:$H$2284,"Comcast Process/Tools")</f>
        <v>1</v>
      </c>
      <c r="F90" s="14" t="n">
        <f aca="false">COUNTIFS(Data!$B$2:$B$2284,$A90,Data!$H$2:$H$2284,"No Audio Found on I3")</f>
        <v>10</v>
      </c>
      <c r="G90" s="14" t="n">
        <f aca="false">COUNTIFS(Data!$B$2:$B$2284,$A90,Data!$H$2:$H$2284,"VXI Process/Tools")</f>
        <v>0</v>
      </c>
      <c r="H90" s="18" t="n">
        <f aca="false">IF(B90=0,0,C90/B90)</f>
        <v>0.153846153846154</v>
      </c>
      <c r="I90" s="18" t="n">
        <f aca="false">IF(B90=0,0,E90/B90)</f>
        <v>0.0769230769230769</v>
      </c>
      <c r="J90" s="18" t="n">
        <f aca="false">IF(B90=0,0,F90/B90)</f>
        <v>0.769230769230769</v>
      </c>
      <c r="K90" s="28" t="n">
        <f aca="false">B90-B91</f>
        <v>6</v>
      </c>
      <c r="L90" s="29" t="n">
        <f aca="false">(H90-H91)*100</f>
        <v>-13.1868131868132</v>
      </c>
      <c r="M90" s="14" t="n">
        <f aca="false">COUNTIFS(Data!$B$2:$B$2284,$A90,Data!$D$2:$D$2284,"Omar.Mansour@vxi.com")</f>
        <v>0</v>
      </c>
      <c r="N90" s="14" t="n">
        <v>4</v>
      </c>
    </row>
    <row r="91" customFormat="false" ht="15" hidden="false" customHeight="false" outlineLevel="0" collapsed="false">
      <c r="A91" s="23" t="n">
        <v>46211</v>
      </c>
      <c r="B91" s="30" t="n">
        <f aca="false">COUNTIFS(Data!$B$2:$B$2284,$A91)</f>
        <v>7</v>
      </c>
      <c r="C91" s="15" t="n">
        <f aca="false">COUNTIFS(Data!$B$2:$B$2284,$A91,Data!$H$2:$H$2284,"Agent Opportunity")</f>
        <v>2</v>
      </c>
      <c r="D91" s="15" t="n">
        <f aca="false">COUNTIFS(Data!$B$2:$B$2284,$A91,Data!$H$2:$H$2284,"Customer")</f>
        <v>2</v>
      </c>
      <c r="E91" s="15" t="n">
        <f aca="false">COUNTIFS(Data!$B$2:$B$2284,$A91,Data!$H$2:$H$2284,"Comcast Process/Tools")</f>
        <v>1</v>
      </c>
      <c r="F91" s="15" t="n">
        <f aca="false">COUNTIFS(Data!$B$2:$B$2284,$A91,Data!$H$2:$H$2284,"No Audio Found on I3")</f>
        <v>2</v>
      </c>
      <c r="G91" s="15" t="n">
        <f aca="false">COUNTIFS(Data!$B$2:$B$2284,$A91,Data!$H$2:$H$2284,"VXI Process/Tools")</f>
        <v>0</v>
      </c>
      <c r="H91" s="16" t="n">
        <f aca="false">IF(B91=0,0,C91/B91)</f>
        <v>0.285714285714286</v>
      </c>
      <c r="I91" s="16" t="n">
        <f aca="false">IF(B91=0,0,E91/B91)</f>
        <v>0.142857142857143</v>
      </c>
      <c r="J91" s="16" t="n">
        <f aca="false">IF(B91=0,0,F91/B91)</f>
        <v>0.285714285714286</v>
      </c>
      <c r="K91" s="31" t="n">
        <f aca="false">B91-B92</f>
        <v>-8</v>
      </c>
      <c r="L91" s="32" t="n">
        <f aca="false">(H91-H92)*100</f>
        <v>-58.0952380952381</v>
      </c>
      <c r="M91" s="15" t="n">
        <f aca="false">COUNTIFS(Data!$B$2:$B$2284,$A91,Data!$D$2:$D$2284,"Omar.Mansour@vxi.com")</f>
        <v>0</v>
      </c>
      <c r="N91" s="15" t="n">
        <v>3</v>
      </c>
    </row>
    <row r="92" customFormat="false" ht="15" hidden="false" customHeight="false" outlineLevel="0" collapsed="false">
      <c r="A92" s="22" t="n">
        <v>46210</v>
      </c>
      <c r="B92" s="27" t="n">
        <f aca="false">COUNTIFS(Data!$B$2:$B$2284,$A92)</f>
        <v>15</v>
      </c>
      <c r="C92" s="14" t="n">
        <f aca="false">COUNTIFS(Data!$B$2:$B$2284,$A92,Data!$H$2:$H$2284,"Agent Opportunity")</f>
        <v>13</v>
      </c>
      <c r="D92" s="14" t="n">
        <f aca="false">COUNTIFS(Data!$B$2:$B$2284,$A92,Data!$H$2:$H$2284,"Customer")</f>
        <v>2</v>
      </c>
      <c r="E92" s="14" t="n">
        <f aca="false">COUNTIFS(Data!$B$2:$B$2284,$A92,Data!$H$2:$H$2284,"Comcast Process/Tools")</f>
        <v>0</v>
      </c>
      <c r="F92" s="14" t="n">
        <f aca="false">COUNTIFS(Data!$B$2:$B$2284,$A92,Data!$H$2:$H$2284,"No Audio Found on I3")</f>
        <v>0</v>
      </c>
      <c r="G92" s="14" t="n">
        <f aca="false">COUNTIFS(Data!$B$2:$B$2284,$A92,Data!$H$2:$H$2284,"VXI Process/Tools")</f>
        <v>0</v>
      </c>
      <c r="H92" s="18" t="n">
        <f aca="false">IF(B92=0,0,C92/B92)</f>
        <v>0.866666666666667</v>
      </c>
      <c r="I92" s="18" t="n">
        <f aca="false">IF(B92=0,0,E92/B92)</f>
        <v>0</v>
      </c>
      <c r="J92" s="18" t="n">
        <f aca="false">IF(B92=0,0,F92/B92)</f>
        <v>0</v>
      </c>
      <c r="K92" s="28" t="n">
        <f aca="false">B92-B93</f>
        <v>9</v>
      </c>
      <c r="L92" s="29" t="n">
        <f aca="false">(H92-H93)*100</f>
        <v>36.6666666666667</v>
      </c>
      <c r="M92" s="14" t="n">
        <f aca="false">COUNTIFS(Data!$B$2:$B$2284,$A92,Data!$D$2:$D$2284,"Omar.Mansour@vxi.com")</f>
        <v>0</v>
      </c>
      <c r="N92" s="14" t="n">
        <v>4</v>
      </c>
    </row>
    <row r="93" customFormat="false" ht="15" hidden="false" customHeight="false" outlineLevel="0" collapsed="false">
      <c r="A93" s="23" t="n">
        <v>46209</v>
      </c>
      <c r="B93" s="30" t="n">
        <f aca="false">COUNTIFS(Data!$B$2:$B$2284,$A93)</f>
        <v>6</v>
      </c>
      <c r="C93" s="15" t="n">
        <f aca="false">COUNTIFS(Data!$B$2:$B$2284,$A93,Data!$H$2:$H$2284,"Agent Opportunity")</f>
        <v>3</v>
      </c>
      <c r="D93" s="15" t="n">
        <f aca="false">COUNTIFS(Data!$B$2:$B$2284,$A93,Data!$H$2:$H$2284,"Customer")</f>
        <v>1</v>
      </c>
      <c r="E93" s="15" t="n">
        <f aca="false">COUNTIFS(Data!$B$2:$B$2284,$A93,Data!$H$2:$H$2284,"Comcast Process/Tools")</f>
        <v>2</v>
      </c>
      <c r="F93" s="15" t="n">
        <f aca="false">COUNTIFS(Data!$B$2:$B$2284,$A93,Data!$H$2:$H$2284,"No Audio Found on I3")</f>
        <v>0</v>
      </c>
      <c r="G93" s="15" t="n">
        <f aca="false">COUNTIFS(Data!$B$2:$B$2284,$A93,Data!$H$2:$H$2284,"VXI Process/Tools")</f>
        <v>0</v>
      </c>
      <c r="H93" s="16" t="n">
        <f aca="false">IF(B93=0,0,C93/B93)</f>
        <v>0.5</v>
      </c>
      <c r="I93" s="16" t="n">
        <f aca="false">IF(B93=0,0,E93/B93)</f>
        <v>0.333333333333333</v>
      </c>
      <c r="J93" s="16" t="n">
        <f aca="false">IF(B93=0,0,F93/B93)</f>
        <v>0</v>
      </c>
      <c r="K93" s="31" t="n">
        <f aca="false">B93-B94</f>
        <v>-24</v>
      </c>
      <c r="L93" s="32" t="n">
        <f aca="false">(H93-H94)*100</f>
        <v>-16.6666666666667</v>
      </c>
      <c r="M93" s="15" t="n">
        <f aca="false">COUNTIFS(Data!$B$2:$B$2284,$A93,Data!$D$2:$D$2284,"Omar.Mansour@vxi.com")</f>
        <v>0</v>
      </c>
      <c r="N93" s="15" t="n">
        <v>1</v>
      </c>
    </row>
    <row r="94" customFormat="false" ht="15" hidden="false" customHeight="false" outlineLevel="0" collapsed="false">
      <c r="A94" s="22" t="n">
        <v>46208</v>
      </c>
      <c r="B94" s="27" t="n">
        <f aca="false">COUNTIFS(Data!$B$2:$B$2284,$A94)</f>
        <v>30</v>
      </c>
      <c r="C94" s="14" t="n">
        <f aca="false">COUNTIFS(Data!$B$2:$B$2284,$A94,Data!$H$2:$H$2284,"Agent Opportunity")</f>
        <v>20</v>
      </c>
      <c r="D94" s="14" t="n">
        <f aca="false">COUNTIFS(Data!$B$2:$B$2284,$A94,Data!$H$2:$H$2284,"Customer")</f>
        <v>1</v>
      </c>
      <c r="E94" s="14" t="n">
        <f aca="false">COUNTIFS(Data!$B$2:$B$2284,$A94,Data!$H$2:$H$2284,"Comcast Process/Tools")</f>
        <v>8</v>
      </c>
      <c r="F94" s="14" t="n">
        <f aca="false">COUNTIFS(Data!$B$2:$B$2284,$A94,Data!$H$2:$H$2284,"No Audio Found on I3")</f>
        <v>0</v>
      </c>
      <c r="G94" s="14" t="n">
        <f aca="false">COUNTIFS(Data!$B$2:$B$2284,$A94,Data!$H$2:$H$2284,"VXI Process/Tools")</f>
        <v>1</v>
      </c>
      <c r="H94" s="18" t="n">
        <f aca="false">IF(B94=0,0,C94/B94)</f>
        <v>0.666666666666667</v>
      </c>
      <c r="I94" s="18" t="n">
        <f aca="false">IF(B94=0,0,E94/B94)</f>
        <v>0.266666666666667</v>
      </c>
      <c r="J94" s="18" t="n">
        <f aca="false">IF(B94=0,0,F94/B94)</f>
        <v>0</v>
      </c>
      <c r="K94" s="28" t="n">
        <f aca="false">B94-B95</f>
        <v>14</v>
      </c>
      <c r="L94" s="29" t="n">
        <f aca="false">(H94-H95)*100</f>
        <v>-20.8333333333333</v>
      </c>
      <c r="M94" s="14" t="n">
        <f aca="false">COUNTIFS(Data!$B$2:$B$2284,$A94,Data!$D$2:$D$2284,"Omar.Mansour@vxi.com")</f>
        <v>0</v>
      </c>
      <c r="N94" s="14" t="n">
        <v>1</v>
      </c>
    </row>
    <row r="95" customFormat="false" ht="15" hidden="false" customHeight="false" outlineLevel="0" collapsed="false">
      <c r="A95" s="23" t="n">
        <v>46207</v>
      </c>
      <c r="B95" s="30" t="n">
        <f aca="false">COUNTIFS(Data!$B$2:$B$2284,$A95)</f>
        <v>16</v>
      </c>
      <c r="C95" s="15" t="n">
        <f aca="false">COUNTIFS(Data!$B$2:$B$2284,$A95,Data!$H$2:$H$2284,"Agent Opportunity")</f>
        <v>14</v>
      </c>
      <c r="D95" s="15" t="n">
        <f aca="false">COUNTIFS(Data!$B$2:$B$2284,$A95,Data!$H$2:$H$2284,"Customer")</f>
        <v>2</v>
      </c>
      <c r="E95" s="15" t="n">
        <f aca="false">COUNTIFS(Data!$B$2:$B$2284,$A95,Data!$H$2:$H$2284,"Comcast Process/Tools")</f>
        <v>0</v>
      </c>
      <c r="F95" s="15" t="n">
        <f aca="false">COUNTIFS(Data!$B$2:$B$2284,$A95,Data!$H$2:$H$2284,"No Audio Found on I3")</f>
        <v>0</v>
      </c>
      <c r="G95" s="15" t="n">
        <f aca="false">COUNTIFS(Data!$B$2:$B$2284,$A95,Data!$H$2:$H$2284,"VXI Process/Tools")</f>
        <v>0</v>
      </c>
      <c r="H95" s="16" t="n">
        <f aca="false">IF(B95=0,0,C95/B95)</f>
        <v>0.875</v>
      </c>
      <c r="I95" s="16" t="n">
        <f aca="false">IF(B95=0,0,E95/B95)</f>
        <v>0</v>
      </c>
      <c r="J95" s="16" t="n">
        <f aca="false">IF(B95=0,0,F95/B95)</f>
        <v>0</v>
      </c>
      <c r="K95" s="31" t="n">
        <f aca="false">B95-B96</f>
        <v>-4</v>
      </c>
      <c r="L95" s="32" t="n">
        <f aca="false">(H95-H96)*100</f>
        <v>7.5</v>
      </c>
      <c r="M95" s="15" t="n">
        <f aca="false">COUNTIFS(Data!$B$2:$B$2284,$A95,Data!$D$2:$D$2284,"Omar.Mansour@vxi.com")</f>
        <v>0</v>
      </c>
      <c r="N95" s="15" t="n">
        <v>2</v>
      </c>
    </row>
    <row r="96" customFormat="false" ht="15" hidden="false" customHeight="false" outlineLevel="0" collapsed="false">
      <c r="A96" s="22" t="n">
        <v>46206</v>
      </c>
      <c r="B96" s="27" t="n">
        <f aca="false">COUNTIFS(Data!$B$2:$B$2284,$A96)</f>
        <v>20</v>
      </c>
      <c r="C96" s="14" t="n">
        <f aca="false">COUNTIFS(Data!$B$2:$B$2284,$A96,Data!$H$2:$H$2284,"Agent Opportunity")</f>
        <v>16</v>
      </c>
      <c r="D96" s="14" t="n">
        <f aca="false">COUNTIFS(Data!$B$2:$B$2284,$A96,Data!$H$2:$H$2284,"Customer")</f>
        <v>2</v>
      </c>
      <c r="E96" s="14" t="n">
        <f aca="false">COUNTIFS(Data!$B$2:$B$2284,$A96,Data!$H$2:$H$2284,"Comcast Process/Tools")</f>
        <v>1</v>
      </c>
      <c r="F96" s="14" t="n">
        <f aca="false">COUNTIFS(Data!$B$2:$B$2284,$A96,Data!$H$2:$H$2284,"No Audio Found on I3")</f>
        <v>1</v>
      </c>
      <c r="G96" s="14" t="n">
        <f aca="false">COUNTIFS(Data!$B$2:$B$2284,$A96,Data!$H$2:$H$2284,"VXI Process/Tools")</f>
        <v>0</v>
      </c>
      <c r="H96" s="18" t="n">
        <f aca="false">IF(B96=0,0,C96/B96)</f>
        <v>0.8</v>
      </c>
      <c r="I96" s="18" t="n">
        <f aca="false">IF(B96=0,0,E96/B96)</f>
        <v>0.05</v>
      </c>
      <c r="J96" s="18" t="n">
        <f aca="false">IF(B96=0,0,F96/B96)</f>
        <v>0.05</v>
      </c>
      <c r="K96" s="28" t="n">
        <f aca="false">B96-B97</f>
        <v>11</v>
      </c>
      <c r="L96" s="29" t="n">
        <f aca="false">(H96-H97)*100</f>
        <v>2.22222222222223</v>
      </c>
      <c r="M96" s="14" t="n">
        <f aca="false">COUNTIFS(Data!$B$2:$B$2284,$A96,Data!$D$2:$D$2284,"Omar.Mansour@vxi.com")</f>
        <v>0</v>
      </c>
      <c r="N96" s="14" t="n">
        <v>3</v>
      </c>
    </row>
    <row r="97" customFormat="false" ht="15" hidden="false" customHeight="false" outlineLevel="0" collapsed="false">
      <c r="A97" s="23" t="n">
        <v>46205</v>
      </c>
      <c r="B97" s="30" t="n">
        <f aca="false">COUNTIFS(Data!$B$2:$B$2284,$A97)</f>
        <v>9</v>
      </c>
      <c r="C97" s="15" t="n">
        <f aca="false">COUNTIFS(Data!$B$2:$B$2284,$A97,Data!$H$2:$H$2284,"Agent Opportunity")</f>
        <v>7</v>
      </c>
      <c r="D97" s="15" t="n">
        <f aca="false">COUNTIFS(Data!$B$2:$B$2284,$A97,Data!$H$2:$H$2284,"Customer")</f>
        <v>1</v>
      </c>
      <c r="E97" s="15" t="n">
        <f aca="false">COUNTIFS(Data!$B$2:$B$2284,$A97,Data!$H$2:$H$2284,"Comcast Process/Tools")</f>
        <v>1</v>
      </c>
      <c r="F97" s="15" t="n">
        <f aca="false">COUNTIFS(Data!$B$2:$B$2284,$A97,Data!$H$2:$H$2284,"No Audio Found on I3")</f>
        <v>0</v>
      </c>
      <c r="G97" s="15" t="n">
        <f aca="false">COUNTIFS(Data!$B$2:$B$2284,$A97,Data!$H$2:$H$2284,"VXI Process/Tools")</f>
        <v>0</v>
      </c>
      <c r="H97" s="16" t="n">
        <f aca="false">IF(B97=0,0,C97/B97)</f>
        <v>0.777777777777778</v>
      </c>
      <c r="I97" s="16" t="n">
        <f aca="false">IF(B97=0,0,E97/B97)</f>
        <v>0.111111111111111</v>
      </c>
      <c r="J97" s="16" t="n">
        <f aca="false">IF(B97=0,0,F97/B97)</f>
        <v>0</v>
      </c>
      <c r="K97" s="31" t="n">
        <f aca="false">B97-B98</f>
        <v>5</v>
      </c>
      <c r="L97" s="32" t="n">
        <f aca="false">(H97-H98)*100</f>
        <v>2.77777777777778</v>
      </c>
      <c r="M97" s="15" t="n">
        <f aca="false">COUNTIFS(Data!$B$2:$B$2284,$A97,Data!$D$2:$D$2284,"Omar.Mansour@vxi.com")</f>
        <v>0</v>
      </c>
      <c r="N97" s="15" t="n">
        <v>2</v>
      </c>
    </row>
    <row r="98" customFormat="false" ht="15" hidden="false" customHeight="false" outlineLevel="0" collapsed="false">
      <c r="A98" s="22" t="n">
        <v>46204</v>
      </c>
      <c r="B98" s="27" t="n">
        <f aca="false">COUNTIFS(Data!$B$2:$B$2284,$A98)</f>
        <v>4</v>
      </c>
      <c r="C98" s="14" t="n">
        <f aca="false">COUNTIFS(Data!$B$2:$B$2284,$A98,Data!$H$2:$H$2284,"Agent Opportunity")</f>
        <v>3</v>
      </c>
      <c r="D98" s="14" t="n">
        <f aca="false">COUNTIFS(Data!$B$2:$B$2284,$A98,Data!$H$2:$H$2284,"Customer")</f>
        <v>0</v>
      </c>
      <c r="E98" s="14" t="n">
        <f aca="false">COUNTIFS(Data!$B$2:$B$2284,$A98,Data!$H$2:$H$2284,"Comcast Process/Tools")</f>
        <v>0</v>
      </c>
      <c r="F98" s="14" t="n">
        <f aca="false">COUNTIFS(Data!$B$2:$B$2284,$A98,Data!$H$2:$H$2284,"No Audio Found on I3")</f>
        <v>1</v>
      </c>
      <c r="G98" s="14" t="n">
        <f aca="false">COUNTIFS(Data!$B$2:$B$2284,$A98,Data!$H$2:$H$2284,"VXI Process/Tools")</f>
        <v>0</v>
      </c>
      <c r="H98" s="18" t="n">
        <f aca="false">IF(B98=0,0,C98/B98)</f>
        <v>0.75</v>
      </c>
      <c r="I98" s="18" t="n">
        <f aca="false">IF(B98=0,0,E98/B98)</f>
        <v>0</v>
      </c>
      <c r="J98" s="18" t="n">
        <f aca="false">IF(B98=0,0,F98/B98)</f>
        <v>0.25</v>
      </c>
      <c r="K98" s="28" t="n">
        <f aca="false">B98-B99</f>
        <v>-4</v>
      </c>
      <c r="L98" s="29" t="n">
        <f aca="false">(H98-H99)*100</f>
        <v>0</v>
      </c>
      <c r="M98" s="14" t="n">
        <f aca="false">COUNTIFS(Data!$B$2:$B$2284,$A98,Data!$D$2:$D$2284,"Omar.Mansour@vxi.com")</f>
        <v>0</v>
      </c>
      <c r="N98" s="14" t="n">
        <v>1</v>
      </c>
    </row>
    <row r="99" customFormat="false" ht="15" hidden="false" customHeight="false" outlineLevel="0" collapsed="false">
      <c r="A99" s="23" t="n">
        <v>46203</v>
      </c>
      <c r="B99" s="30" t="n">
        <f aca="false">COUNTIFS(Data!$B$2:$B$2284,$A99)</f>
        <v>8</v>
      </c>
      <c r="C99" s="15" t="n">
        <f aca="false">COUNTIFS(Data!$B$2:$B$2284,$A99,Data!$H$2:$H$2284,"Agent Opportunity")</f>
        <v>6</v>
      </c>
      <c r="D99" s="15" t="n">
        <f aca="false">COUNTIFS(Data!$B$2:$B$2284,$A99,Data!$H$2:$H$2284,"Customer")</f>
        <v>0</v>
      </c>
      <c r="E99" s="15" t="n">
        <f aca="false">COUNTIFS(Data!$B$2:$B$2284,$A99,Data!$H$2:$H$2284,"Comcast Process/Tools")</f>
        <v>1</v>
      </c>
      <c r="F99" s="15" t="n">
        <f aca="false">COUNTIFS(Data!$B$2:$B$2284,$A99,Data!$H$2:$H$2284,"No Audio Found on I3")</f>
        <v>0</v>
      </c>
      <c r="G99" s="15" t="n">
        <f aca="false">COUNTIFS(Data!$B$2:$B$2284,$A99,Data!$H$2:$H$2284,"VXI Process/Tools")</f>
        <v>1</v>
      </c>
      <c r="H99" s="16" t="n">
        <f aca="false">IF(B99=0,0,C99/B99)</f>
        <v>0.75</v>
      </c>
      <c r="I99" s="16" t="n">
        <f aca="false">IF(B99=0,0,E99/B99)</f>
        <v>0.125</v>
      </c>
      <c r="J99" s="16" t="n">
        <f aca="false">IF(B99=0,0,F99/B99)</f>
        <v>0</v>
      </c>
      <c r="K99" s="31" t="n">
        <f aca="false">B99-B100</f>
        <v>3</v>
      </c>
      <c r="L99" s="32" t="n">
        <f aca="false">(H99-H100)*100</f>
        <v>15</v>
      </c>
      <c r="M99" s="15" t="n">
        <f aca="false">COUNTIFS(Data!$B$2:$B$2284,$A99,Data!$D$2:$D$2284,"Omar.Mansour@vxi.com")</f>
        <v>0</v>
      </c>
      <c r="N99" s="15" t="n">
        <v>4</v>
      </c>
    </row>
    <row r="100" customFormat="false" ht="15" hidden="false" customHeight="false" outlineLevel="0" collapsed="false">
      <c r="A100" s="22" t="n">
        <v>46202</v>
      </c>
      <c r="B100" s="27" t="n">
        <f aca="false">COUNTIFS(Data!$B$2:$B$2284,$A100)</f>
        <v>5</v>
      </c>
      <c r="C100" s="14" t="n">
        <f aca="false">COUNTIFS(Data!$B$2:$B$2284,$A100,Data!$H$2:$H$2284,"Agent Opportunity")</f>
        <v>3</v>
      </c>
      <c r="D100" s="14" t="n">
        <f aca="false">COUNTIFS(Data!$B$2:$B$2284,$A100,Data!$H$2:$H$2284,"Customer")</f>
        <v>0</v>
      </c>
      <c r="E100" s="14" t="n">
        <f aca="false">COUNTIFS(Data!$B$2:$B$2284,$A100,Data!$H$2:$H$2284,"Comcast Process/Tools")</f>
        <v>1</v>
      </c>
      <c r="F100" s="14" t="n">
        <f aca="false">COUNTIFS(Data!$B$2:$B$2284,$A100,Data!$H$2:$H$2284,"No Audio Found on I3")</f>
        <v>1</v>
      </c>
      <c r="G100" s="14" t="n">
        <f aca="false">COUNTIFS(Data!$B$2:$B$2284,$A100,Data!$H$2:$H$2284,"VXI Process/Tools")</f>
        <v>0</v>
      </c>
      <c r="H100" s="18" t="n">
        <f aca="false">IF(B100=0,0,C100/B100)</f>
        <v>0.6</v>
      </c>
      <c r="I100" s="18" t="n">
        <f aca="false">IF(B100=0,0,E100/B100)</f>
        <v>0.2</v>
      </c>
      <c r="J100" s="18" t="n">
        <f aca="false">IF(B100=0,0,F100/B100)</f>
        <v>0.2</v>
      </c>
      <c r="K100" s="28" t="n">
        <f aca="false">B100-B101</f>
        <v>1</v>
      </c>
      <c r="L100" s="29" t="n">
        <f aca="false">(H100-H101)*100</f>
        <v>-40</v>
      </c>
      <c r="M100" s="14" t="n">
        <f aca="false">COUNTIFS(Data!$B$2:$B$2284,$A100,Data!$D$2:$D$2284,"Omar.Mansour@vxi.com")</f>
        <v>0</v>
      </c>
      <c r="N100" s="14" t="n">
        <v>2</v>
      </c>
    </row>
    <row r="101" customFormat="false" ht="15" hidden="false" customHeight="false" outlineLevel="0" collapsed="false">
      <c r="A101" s="23" t="n">
        <v>46200</v>
      </c>
      <c r="B101" s="30" t="n">
        <f aca="false">COUNTIFS(Data!$B$2:$B$2284,$A101)</f>
        <v>4</v>
      </c>
      <c r="C101" s="15" t="n">
        <f aca="false">COUNTIFS(Data!$B$2:$B$2284,$A101,Data!$H$2:$H$2284,"Agent Opportunity")</f>
        <v>4</v>
      </c>
      <c r="D101" s="15" t="n">
        <f aca="false">COUNTIFS(Data!$B$2:$B$2284,$A101,Data!$H$2:$H$2284,"Customer")</f>
        <v>0</v>
      </c>
      <c r="E101" s="15" t="n">
        <f aca="false">COUNTIFS(Data!$B$2:$B$2284,$A101,Data!$H$2:$H$2284,"Comcast Process/Tools")</f>
        <v>0</v>
      </c>
      <c r="F101" s="15" t="n">
        <f aca="false">COUNTIFS(Data!$B$2:$B$2284,$A101,Data!$H$2:$H$2284,"No Audio Found on I3")</f>
        <v>0</v>
      </c>
      <c r="G101" s="15" t="n">
        <f aca="false">COUNTIFS(Data!$B$2:$B$2284,$A101,Data!$H$2:$H$2284,"VXI Process/Tools")</f>
        <v>0</v>
      </c>
      <c r="H101" s="16" t="n">
        <f aca="false">IF(B101=0,0,C101/B101)</f>
        <v>1</v>
      </c>
      <c r="I101" s="16" t="n">
        <f aca="false">IF(B101=0,0,E101/B101)</f>
        <v>0</v>
      </c>
      <c r="J101" s="16" t="n">
        <f aca="false">IF(B101=0,0,F101/B101)</f>
        <v>0</v>
      </c>
      <c r="K101" s="31" t="n">
        <f aca="false">B101-B102</f>
        <v>2</v>
      </c>
      <c r="L101" s="32" t="n">
        <f aca="false">(H101-H102)*100</f>
        <v>0</v>
      </c>
      <c r="M101" s="15" t="n">
        <f aca="false">COUNTIFS(Data!$B$2:$B$2284,$A101,Data!$D$2:$D$2284,"Omar.Mansour@vxi.com")</f>
        <v>0</v>
      </c>
      <c r="N101" s="15" t="n">
        <v>1</v>
      </c>
    </row>
    <row r="102" customFormat="false" ht="15" hidden="false" customHeight="false" outlineLevel="0" collapsed="false">
      <c r="A102" s="22" t="n">
        <v>46199</v>
      </c>
      <c r="B102" s="27" t="n">
        <f aca="false">COUNTIFS(Data!$B$2:$B$2284,$A102)</f>
        <v>2</v>
      </c>
      <c r="C102" s="14" t="n">
        <f aca="false">COUNTIFS(Data!$B$2:$B$2284,$A102,Data!$H$2:$H$2284,"Agent Opportunity")</f>
        <v>2</v>
      </c>
      <c r="D102" s="14" t="n">
        <f aca="false">COUNTIFS(Data!$B$2:$B$2284,$A102,Data!$H$2:$H$2284,"Customer")</f>
        <v>0</v>
      </c>
      <c r="E102" s="14" t="n">
        <f aca="false">COUNTIFS(Data!$B$2:$B$2284,$A102,Data!$H$2:$H$2284,"Comcast Process/Tools")</f>
        <v>0</v>
      </c>
      <c r="F102" s="14" t="n">
        <f aca="false">COUNTIFS(Data!$B$2:$B$2284,$A102,Data!$H$2:$H$2284,"No Audio Found on I3")</f>
        <v>0</v>
      </c>
      <c r="G102" s="14" t="n">
        <f aca="false">COUNTIFS(Data!$B$2:$B$2284,$A102,Data!$H$2:$H$2284,"VXI Process/Tools")</f>
        <v>0</v>
      </c>
      <c r="H102" s="18" t="n">
        <f aca="false">IF(B102=0,0,C102/B102)</f>
        <v>1</v>
      </c>
      <c r="I102" s="18" t="n">
        <f aca="false">IF(B102=0,0,E102/B102)</f>
        <v>0</v>
      </c>
      <c r="J102" s="18" t="n">
        <f aca="false">IF(B102=0,0,F102/B102)</f>
        <v>0</v>
      </c>
      <c r="K102" s="28" t="n">
        <f aca="false">B102-B103</f>
        <v>-7</v>
      </c>
      <c r="L102" s="29" t="n">
        <f aca="false">(H102-H103)*100</f>
        <v>44.4444444444444</v>
      </c>
      <c r="M102" s="14" t="n">
        <f aca="false">COUNTIFS(Data!$B$2:$B$2284,$A102,Data!$D$2:$D$2284,"Omar.Mansour@vxi.com")</f>
        <v>0</v>
      </c>
      <c r="N102" s="14" t="n">
        <v>1</v>
      </c>
    </row>
    <row r="103" customFormat="false" ht="15" hidden="false" customHeight="false" outlineLevel="0" collapsed="false">
      <c r="A103" s="23" t="n">
        <v>46198</v>
      </c>
      <c r="B103" s="30" t="n">
        <f aca="false">COUNTIFS(Data!$B$2:$B$2284,$A103)</f>
        <v>9</v>
      </c>
      <c r="C103" s="15" t="n">
        <f aca="false">COUNTIFS(Data!$B$2:$B$2284,$A103,Data!$H$2:$H$2284,"Agent Opportunity")</f>
        <v>5</v>
      </c>
      <c r="D103" s="15" t="n">
        <f aca="false">COUNTIFS(Data!$B$2:$B$2284,$A103,Data!$H$2:$H$2284,"Customer")</f>
        <v>1</v>
      </c>
      <c r="E103" s="15" t="n">
        <f aca="false">COUNTIFS(Data!$B$2:$B$2284,$A103,Data!$H$2:$H$2284,"Comcast Process/Tools")</f>
        <v>0</v>
      </c>
      <c r="F103" s="15" t="n">
        <f aca="false">COUNTIFS(Data!$B$2:$B$2284,$A103,Data!$H$2:$H$2284,"No Audio Found on I3")</f>
        <v>1</v>
      </c>
      <c r="G103" s="15" t="n">
        <f aca="false">COUNTIFS(Data!$B$2:$B$2284,$A103,Data!$H$2:$H$2284,"VXI Process/Tools")</f>
        <v>2</v>
      </c>
      <c r="H103" s="16" t="n">
        <f aca="false">IF(B103=0,0,C103/B103)</f>
        <v>0.555555555555556</v>
      </c>
      <c r="I103" s="16" t="n">
        <f aca="false">IF(B103=0,0,E103/B103)</f>
        <v>0</v>
      </c>
      <c r="J103" s="16" t="n">
        <f aca="false">IF(B103=0,0,F103/B103)</f>
        <v>0.111111111111111</v>
      </c>
      <c r="K103" s="31" t="n">
        <f aca="false">B103-B104</f>
        <v>6</v>
      </c>
      <c r="L103" s="32" t="n">
        <f aca="false">(H103-H104)*100</f>
        <v>-11.1111111111111</v>
      </c>
      <c r="M103" s="15" t="n">
        <f aca="false">COUNTIFS(Data!$B$2:$B$2284,$A103,Data!$D$2:$D$2284,"Omar.Mansour@vxi.com")</f>
        <v>0</v>
      </c>
      <c r="N103" s="15" t="n">
        <v>3</v>
      </c>
    </row>
    <row r="104" customFormat="false" ht="15" hidden="false" customHeight="false" outlineLevel="0" collapsed="false">
      <c r="A104" s="22" t="n">
        <v>46197</v>
      </c>
      <c r="B104" s="27" t="n">
        <f aca="false">COUNTIFS(Data!$B$2:$B$2284,$A104)</f>
        <v>3</v>
      </c>
      <c r="C104" s="14" t="n">
        <f aca="false">COUNTIFS(Data!$B$2:$B$2284,$A104,Data!$H$2:$H$2284,"Agent Opportunity")</f>
        <v>2</v>
      </c>
      <c r="D104" s="14" t="n">
        <f aca="false">COUNTIFS(Data!$B$2:$B$2284,$A104,Data!$H$2:$H$2284,"Customer")</f>
        <v>0</v>
      </c>
      <c r="E104" s="14" t="n">
        <f aca="false">COUNTIFS(Data!$B$2:$B$2284,$A104,Data!$H$2:$H$2284,"Comcast Process/Tools")</f>
        <v>0</v>
      </c>
      <c r="F104" s="14" t="n">
        <f aca="false">COUNTIFS(Data!$B$2:$B$2284,$A104,Data!$H$2:$H$2284,"No Audio Found on I3")</f>
        <v>1</v>
      </c>
      <c r="G104" s="14" t="n">
        <f aca="false">COUNTIFS(Data!$B$2:$B$2284,$A104,Data!$H$2:$H$2284,"VXI Process/Tools")</f>
        <v>0</v>
      </c>
      <c r="H104" s="18" t="n">
        <f aca="false">IF(B104=0,0,C104/B104)</f>
        <v>0.666666666666667</v>
      </c>
      <c r="I104" s="18" t="n">
        <f aca="false">IF(B104=0,0,E104/B104)</f>
        <v>0</v>
      </c>
      <c r="J104" s="18" t="n">
        <f aca="false">IF(B104=0,0,F104/B104)</f>
        <v>0.333333333333333</v>
      </c>
      <c r="K104" s="28" t="n">
        <f aca="false">B104-B105</f>
        <v>-7</v>
      </c>
      <c r="L104" s="29" t="n">
        <f aca="false">(H104-H105)*100</f>
        <v>-33.3333333333333</v>
      </c>
      <c r="M104" s="14" t="n">
        <f aca="false">COUNTIFS(Data!$B$2:$B$2284,$A104,Data!$D$2:$D$2284,"Omar.Mansour@vxi.com")</f>
        <v>0</v>
      </c>
      <c r="N104" s="14" t="n">
        <v>1</v>
      </c>
    </row>
    <row r="105" customFormat="false" ht="15" hidden="false" customHeight="false" outlineLevel="0" collapsed="false">
      <c r="A105" s="23" t="n">
        <v>46196</v>
      </c>
      <c r="B105" s="30" t="n">
        <f aca="false">COUNTIFS(Data!$B$2:$B$2284,$A105)</f>
        <v>10</v>
      </c>
      <c r="C105" s="15" t="n">
        <f aca="false">COUNTIFS(Data!$B$2:$B$2284,$A105,Data!$H$2:$H$2284,"Agent Opportunity")</f>
        <v>10</v>
      </c>
      <c r="D105" s="15" t="n">
        <f aca="false">COUNTIFS(Data!$B$2:$B$2284,$A105,Data!$H$2:$H$2284,"Customer")</f>
        <v>0</v>
      </c>
      <c r="E105" s="15" t="n">
        <f aca="false">COUNTIFS(Data!$B$2:$B$2284,$A105,Data!$H$2:$H$2284,"Comcast Process/Tools")</f>
        <v>0</v>
      </c>
      <c r="F105" s="15" t="n">
        <f aca="false">COUNTIFS(Data!$B$2:$B$2284,$A105,Data!$H$2:$H$2284,"No Audio Found on I3")</f>
        <v>0</v>
      </c>
      <c r="G105" s="15" t="n">
        <f aca="false">COUNTIFS(Data!$B$2:$B$2284,$A105,Data!$H$2:$H$2284,"VXI Process/Tools")</f>
        <v>0</v>
      </c>
      <c r="H105" s="16" t="n">
        <f aca="false">IF(B105=0,0,C105/B105)</f>
        <v>1</v>
      </c>
      <c r="I105" s="16" t="n">
        <f aca="false">IF(B105=0,0,E105/B105)</f>
        <v>0</v>
      </c>
      <c r="J105" s="16" t="n">
        <f aca="false">IF(B105=0,0,F105/B105)</f>
        <v>0</v>
      </c>
      <c r="K105" s="31" t="n">
        <f aca="false">B105-B106</f>
        <v>1</v>
      </c>
      <c r="L105" s="32" t="n">
        <f aca="false">(H105-H106)*100</f>
        <v>11.1111111111111</v>
      </c>
      <c r="M105" s="15" t="n">
        <f aca="false">COUNTIFS(Data!$B$2:$B$2284,$A105,Data!$D$2:$D$2284,"Omar.Mansour@vxi.com")</f>
        <v>0</v>
      </c>
      <c r="N105" s="15" t="n">
        <v>2</v>
      </c>
    </row>
    <row r="106" customFormat="false" ht="15" hidden="false" customHeight="false" outlineLevel="0" collapsed="false">
      <c r="A106" s="22" t="n">
        <v>46195</v>
      </c>
      <c r="B106" s="27" t="n">
        <f aca="false">COUNTIFS(Data!$B$2:$B$2284,$A106)</f>
        <v>9</v>
      </c>
      <c r="C106" s="14" t="n">
        <f aca="false">COUNTIFS(Data!$B$2:$B$2284,$A106,Data!$H$2:$H$2284,"Agent Opportunity")</f>
        <v>8</v>
      </c>
      <c r="D106" s="14" t="n">
        <f aca="false">COUNTIFS(Data!$B$2:$B$2284,$A106,Data!$H$2:$H$2284,"Customer")</f>
        <v>0</v>
      </c>
      <c r="E106" s="14" t="n">
        <f aca="false">COUNTIFS(Data!$B$2:$B$2284,$A106,Data!$H$2:$H$2284,"Comcast Process/Tools")</f>
        <v>1</v>
      </c>
      <c r="F106" s="14" t="n">
        <f aca="false">COUNTIFS(Data!$B$2:$B$2284,$A106,Data!$H$2:$H$2284,"No Audio Found on I3")</f>
        <v>0</v>
      </c>
      <c r="G106" s="14" t="n">
        <f aca="false">COUNTIFS(Data!$B$2:$B$2284,$A106,Data!$H$2:$H$2284,"VXI Process/Tools")</f>
        <v>0</v>
      </c>
      <c r="H106" s="18" t="n">
        <f aca="false">IF(B106=0,0,C106/B106)</f>
        <v>0.888888888888889</v>
      </c>
      <c r="I106" s="18" t="n">
        <f aca="false">IF(B106=0,0,E106/B106)</f>
        <v>0.111111111111111</v>
      </c>
      <c r="J106" s="18" t="n">
        <f aca="false">IF(B106=0,0,F106/B106)</f>
        <v>0</v>
      </c>
      <c r="K106" s="28" t="n">
        <f aca="false">B106-B107</f>
        <v>8</v>
      </c>
      <c r="L106" s="29" t="n">
        <f aca="false">(H106-H107)*100</f>
        <v>-11.1111111111111</v>
      </c>
      <c r="M106" s="14" t="n">
        <f aca="false">COUNTIFS(Data!$B$2:$B$2284,$A106,Data!$D$2:$D$2284,"Omar.Mansour@vxi.com")</f>
        <v>0</v>
      </c>
      <c r="N106" s="14" t="n">
        <v>2</v>
      </c>
    </row>
    <row r="107" customFormat="false" ht="15" hidden="false" customHeight="false" outlineLevel="0" collapsed="false">
      <c r="A107" s="23" t="n">
        <v>46192</v>
      </c>
      <c r="B107" s="30" t="n">
        <f aca="false">COUNTIFS(Data!$B$2:$B$2284,$A107)</f>
        <v>1</v>
      </c>
      <c r="C107" s="15" t="n">
        <f aca="false">COUNTIFS(Data!$B$2:$B$2284,$A107,Data!$H$2:$H$2284,"Agent Opportunity")</f>
        <v>1</v>
      </c>
      <c r="D107" s="15" t="n">
        <f aca="false">COUNTIFS(Data!$B$2:$B$2284,$A107,Data!$H$2:$H$2284,"Customer")</f>
        <v>0</v>
      </c>
      <c r="E107" s="15" t="n">
        <f aca="false">COUNTIFS(Data!$B$2:$B$2284,$A107,Data!$H$2:$H$2284,"Comcast Process/Tools")</f>
        <v>0</v>
      </c>
      <c r="F107" s="15" t="n">
        <f aca="false">COUNTIFS(Data!$B$2:$B$2284,$A107,Data!$H$2:$H$2284,"No Audio Found on I3")</f>
        <v>0</v>
      </c>
      <c r="G107" s="15" t="n">
        <f aca="false">COUNTIFS(Data!$B$2:$B$2284,$A107,Data!$H$2:$H$2284,"VXI Process/Tools")</f>
        <v>0</v>
      </c>
      <c r="H107" s="16" t="n">
        <f aca="false">IF(B107=0,0,C107/B107)</f>
        <v>1</v>
      </c>
      <c r="I107" s="16" t="n">
        <f aca="false">IF(B107=0,0,E107/B107)</f>
        <v>0</v>
      </c>
      <c r="J107" s="16" t="n">
        <f aca="false">IF(B107=0,0,F107/B107)</f>
        <v>0</v>
      </c>
      <c r="K107" s="31" t="n">
        <f aca="false">B107-B108</f>
        <v>-17</v>
      </c>
      <c r="L107" s="32" t="n">
        <f aca="false">(H107-H108)*100</f>
        <v>44.4444444444444</v>
      </c>
      <c r="M107" s="15" t="n">
        <f aca="false">COUNTIFS(Data!$B$2:$B$2284,$A107,Data!$D$2:$D$2284,"Omar.Mansour@vxi.com")</f>
        <v>0</v>
      </c>
      <c r="N107" s="15" t="n">
        <v>1</v>
      </c>
    </row>
    <row r="108" customFormat="false" ht="15" hidden="false" customHeight="false" outlineLevel="0" collapsed="false">
      <c r="A108" s="22" t="n">
        <v>46191</v>
      </c>
      <c r="B108" s="27" t="n">
        <f aca="false">COUNTIFS(Data!$B$2:$B$2284,$A108)</f>
        <v>18</v>
      </c>
      <c r="C108" s="14" t="n">
        <f aca="false">COUNTIFS(Data!$B$2:$B$2284,$A108,Data!$H$2:$H$2284,"Agent Opportunity")</f>
        <v>10</v>
      </c>
      <c r="D108" s="14" t="n">
        <f aca="false">COUNTIFS(Data!$B$2:$B$2284,$A108,Data!$H$2:$H$2284,"Customer")</f>
        <v>2</v>
      </c>
      <c r="E108" s="14" t="n">
        <f aca="false">COUNTIFS(Data!$B$2:$B$2284,$A108,Data!$H$2:$H$2284,"Comcast Process/Tools")</f>
        <v>4</v>
      </c>
      <c r="F108" s="14" t="n">
        <f aca="false">COUNTIFS(Data!$B$2:$B$2284,$A108,Data!$H$2:$H$2284,"No Audio Found on I3")</f>
        <v>2</v>
      </c>
      <c r="G108" s="14" t="n">
        <f aca="false">COUNTIFS(Data!$B$2:$B$2284,$A108,Data!$H$2:$H$2284,"VXI Process/Tools")</f>
        <v>0</v>
      </c>
      <c r="H108" s="18" t="n">
        <f aca="false">IF(B108=0,0,C108/B108)</f>
        <v>0.555555555555556</v>
      </c>
      <c r="I108" s="18" t="n">
        <f aca="false">IF(B108=0,0,E108/B108)</f>
        <v>0.222222222222222</v>
      </c>
      <c r="J108" s="18" t="n">
        <f aca="false">IF(B108=0,0,F108/B108)</f>
        <v>0.111111111111111</v>
      </c>
      <c r="K108" s="28" t="n">
        <f aca="false">B108-B109</f>
        <v>10</v>
      </c>
      <c r="L108" s="29" t="n">
        <f aca="false">(H108-H109)*100</f>
        <v>5.55555555555556</v>
      </c>
      <c r="M108" s="14" t="n">
        <f aca="false">COUNTIFS(Data!$B$2:$B$2284,$A108,Data!$D$2:$D$2284,"Omar.Mansour@vxi.com")</f>
        <v>0</v>
      </c>
      <c r="N108" s="14" t="n">
        <v>5</v>
      </c>
    </row>
    <row r="109" customFormat="false" ht="15" hidden="false" customHeight="false" outlineLevel="0" collapsed="false">
      <c r="A109" s="23" t="n">
        <v>46190</v>
      </c>
      <c r="B109" s="30" t="n">
        <f aca="false">COUNTIFS(Data!$B$2:$B$2284,$A109)</f>
        <v>8</v>
      </c>
      <c r="C109" s="15" t="n">
        <f aca="false">COUNTIFS(Data!$B$2:$B$2284,$A109,Data!$H$2:$H$2284,"Agent Opportunity")</f>
        <v>4</v>
      </c>
      <c r="D109" s="15" t="n">
        <f aca="false">COUNTIFS(Data!$B$2:$B$2284,$A109,Data!$H$2:$H$2284,"Customer")</f>
        <v>1</v>
      </c>
      <c r="E109" s="15" t="n">
        <f aca="false">COUNTIFS(Data!$B$2:$B$2284,$A109,Data!$H$2:$H$2284,"Comcast Process/Tools")</f>
        <v>2</v>
      </c>
      <c r="F109" s="15" t="n">
        <f aca="false">COUNTIFS(Data!$B$2:$B$2284,$A109,Data!$H$2:$H$2284,"No Audio Found on I3")</f>
        <v>1</v>
      </c>
      <c r="G109" s="15" t="n">
        <f aca="false">COUNTIFS(Data!$B$2:$B$2284,$A109,Data!$H$2:$H$2284,"VXI Process/Tools")</f>
        <v>0</v>
      </c>
      <c r="H109" s="16" t="n">
        <f aca="false">IF(B109=0,0,C109/B109)</f>
        <v>0.5</v>
      </c>
      <c r="I109" s="16" t="n">
        <f aca="false">IF(B109=0,0,E109/B109)</f>
        <v>0.25</v>
      </c>
      <c r="J109" s="16" t="n">
        <f aca="false">IF(B109=0,0,F109/B109)</f>
        <v>0.125</v>
      </c>
      <c r="K109" s="31" t="n">
        <f aca="false">B109-B110</f>
        <v>-6</v>
      </c>
      <c r="L109" s="32" t="n">
        <f aca="false">(H109-H110)*100</f>
        <v>0</v>
      </c>
      <c r="M109" s="15" t="n">
        <f aca="false">COUNTIFS(Data!$B$2:$B$2284,$A109,Data!$D$2:$D$2284,"Omar.Mansour@vxi.com")</f>
        <v>0</v>
      </c>
      <c r="N109" s="15" t="n">
        <v>4</v>
      </c>
    </row>
    <row r="110" customFormat="false" ht="15" hidden="false" customHeight="false" outlineLevel="0" collapsed="false">
      <c r="A110" s="22" t="n">
        <v>46189</v>
      </c>
      <c r="B110" s="27" t="n">
        <f aca="false">COUNTIFS(Data!$B$2:$B$2284,$A110)</f>
        <v>14</v>
      </c>
      <c r="C110" s="14" t="n">
        <f aca="false">COUNTIFS(Data!$B$2:$B$2284,$A110,Data!$H$2:$H$2284,"Agent Opportunity")</f>
        <v>7</v>
      </c>
      <c r="D110" s="14" t="n">
        <f aca="false">COUNTIFS(Data!$B$2:$B$2284,$A110,Data!$H$2:$H$2284,"Customer")</f>
        <v>1</v>
      </c>
      <c r="E110" s="14" t="n">
        <f aca="false">COUNTIFS(Data!$B$2:$B$2284,$A110,Data!$H$2:$H$2284,"Comcast Process/Tools")</f>
        <v>4</v>
      </c>
      <c r="F110" s="14" t="n">
        <f aca="false">COUNTIFS(Data!$B$2:$B$2284,$A110,Data!$H$2:$H$2284,"No Audio Found on I3")</f>
        <v>1</v>
      </c>
      <c r="G110" s="14" t="n">
        <f aca="false">COUNTIFS(Data!$B$2:$B$2284,$A110,Data!$H$2:$H$2284,"VXI Process/Tools")</f>
        <v>1</v>
      </c>
      <c r="H110" s="18" t="n">
        <f aca="false">IF(B110=0,0,C110/B110)</f>
        <v>0.5</v>
      </c>
      <c r="I110" s="18" t="n">
        <f aca="false">IF(B110=0,0,E110/B110)</f>
        <v>0.285714285714286</v>
      </c>
      <c r="J110" s="18" t="n">
        <f aca="false">IF(B110=0,0,F110/B110)</f>
        <v>0.0714285714285714</v>
      </c>
      <c r="K110" s="28" t="n">
        <f aca="false">B110-B111</f>
        <v>-13</v>
      </c>
      <c r="L110" s="29" t="n">
        <f aca="false">(H110-H111)*100</f>
        <v>-16.6666666666667</v>
      </c>
      <c r="M110" s="14" t="n">
        <f aca="false">COUNTIFS(Data!$B$2:$B$2284,$A110,Data!$D$2:$D$2284,"Omar.Mansour@vxi.com")</f>
        <v>0</v>
      </c>
      <c r="N110" s="14" t="n">
        <v>5</v>
      </c>
    </row>
    <row r="111" customFormat="false" ht="15" hidden="false" customHeight="false" outlineLevel="0" collapsed="false">
      <c r="A111" s="23" t="n">
        <v>46188</v>
      </c>
      <c r="B111" s="30" t="n">
        <f aca="false">COUNTIFS(Data!$B$2:$B$2284,$A111)</f>
        <v>27</v>
      </c>
      <c r="C111" s="15" t="n">
        <f aca="false">COUNTIFS(Data!$B$2:$B$2284,$A111,Data!$H$2:$H$2284,"Agent Opportunity")</f>
        <v>18</v>
      </c>
      <c r="D111" s="15" t="n">
        <f aca="false">COUNTIFS(Data!$B$2:$B$2284,$A111,Data!$H$2:$H$2284,"Customer")</f>
        <v>2</v>
      </c>
      <c r="E111" s="15" t="n">
        <f aca="false">COUNTIFS(Data!$B$2:$B$2284,$A111,Data!$H$2:$H$2284,"Comcast Process/Tools")</f>
        <v>7</v>
      </c>
      <c r="F111" s="15" t="n">
        <f aca="false">COUNTIFS(Data!$B$2:$B$2284,$A111,Data!$H$2:$H$2284,"No Audio Found on I3")</f>
        <v>0</v>
      </c>
      <c r="G111" s="15" t="n">
        <f aca="false">COUNTIFS(Data!$B$2:$B$2284,$A111,Data!$H$2:$H$2284,"VXI Process/Tools")</f>
        <v>0</v>
      </c>
      <c r="H111" s="16" t="n">
        <f aca="false">IF(B111=0,0,C111/B111)</f>
        <v>0.666666666666667</v>
      </c>
      <c r="I111" s="16" t="n">
        <f aca="false">IF(B111=0,0,E111/B111)</f>
        <v>0.259259259259259</v>
      </c>
      <c r="J111" s="16" t="n">
        <f aca="false">IF(B111=0,0,F111/B111)</f>
        <v>0</v>
      </c>
      <c r="K111" s="31" t="n">
        <f aca="false">B111-B112</f>
        <v>25</v>
      </c>
      <c r="L111" s="32" t="n">
        <f aca="false">(H111-H112)*100</f>
        <v>16.6666666666667</v>
      </c>
      <c r="M111" s="15" t="n">
        <f aca="false">COUNTIFS(Data!$B$2:$B$2284,$A111,Data!$D$2:$D$2284,"Omar.Mansour@vxi.com")</f>
        <v>0</v>
      </c>
      <c r="N111" s="15" t="n">
        <v>6</v>
      </c>
    </row>
    <row r="112" customFormat="false" ht="15" hidden="false" customHeight="false" outlineLevel="0" collapsed="false">
      <c r="A112" s="22" t="n">
        <v>46186</v>
      </c>
      <c r="B112" s="27" t="n">
        <f aca="false">COUNTIFS(Data!$B$2:$B$2284,$A112)</f>
        <v>2</v>
      </c>
      <c r="C112" s="14" t="n">
        <f aca="false">COUNTIFS(Data!$B$2:$B$2284,$A112,Data!$H$2:$H$2284,"Agent Opportunity")</f>
        <v>1</v>
      </c>
      <c r="D112" s="14" t="n">
        <f aca="false">COUNTIFS(Data!$B$2:$B$2284,$A112,Data!$H$2:$H$2284,"Customer")</f>
        <v>1</v>
      </c>
      <c r="E112" s="14" t="n">
        <f aca="false">COUNTIFS(Data!$B$2:$B$2284,$A112,Data!$H$2:$H$2284,"Comcast Process/Tools")</f>
        <v>0</v>
      </c>
      <c r="F112" s="14" t="n">
        <f aca="false">COUNTIFS(Data!$B$2:$B$2284,$A112,Data!$H$2:$H$2284,"No Audio Found on I3")</f>
        <v>0</v>
      </c>
      <c r="G112" s="14" t="n">
        <f aca="false">COUNTIFS(Data!$B$2:$B$2284,$A112,Data!$H$2:$H$2284,"VXI Process/Tools")</f>
        <v>0</v>
      </c>
      <c r="H112" s="18" t="n">
        <f aca="false">IF(B112=0,0,C112/B112)</f>
        <v>0.5</v>
      </c>
      <c r="I112" s="18" t="n">
        <f aca="false">IF(B112=0,0,E112/B112)</f>
        <v>0</v>
      </c>
      <c r="J112" s="18" t="n">
        <f aca="false">IF(B112=0,0,F112/B112)</f>
        <v>0</v>
      </c>
      <c r="K112" s="28" t="n">
        <f aca="false">B112-B113</f>
        <v>-30</v>
      </c>
      <c r="L112" s="29" t="n">
        <f aca="false">(H112-H113)*100</f>
        <v>-15.625</v>
      </c>
      <c r="M112" s="14" t="n">
        <f aca="false">COUNTIFS(Data!$B$2:$B$2284,$A112,Data!$D$2:$D$2284,"Omar.Mansour@vxi.com")</f>
        <v>0</v>
      </c>
      <c r="N112" s="14" t="n">
        <v>1</v>
      </c>
    </row>
    <row r="113" customFormat="false" ht="15" hidden="false" customHeight="false" outlineLevel="0" collapsed="false">
      <c r="A113" s="23" t="n">
        <v>46185</v>
      </c>
      <c r="B113" s="30" t="n">
        <f aca="false">COUNTIFS(Data!$B$2:$B$2284,$A113)</f>
        <v>32</v>
      </c>
      <c r="C113" s="15" t="n">
        <f aca="false">COUNTIFS(Data!$B$2:$B$2284,$A113,Data!$H$2:$H$2284,"Agent Opportunity")</f>
        <v>21</v>
      </c>
      <c r="D113" s="15" t="n">
        <f aca="false">COUNTIFS(Data!$B$2:$B$2284,$A113,Data!$H$2:$H$2284,"Customer")</f>
        <v>0</v>
      </c>
      <c r="E113" s="15" t="n">
        <f aca="false">COUNTIFS(Data!$B$2:$B$2284,$A113,Data!$H$2:$H$2284,"Comcast Process/Tools")</f>
        <v>11</v>
      </c>
      <c r="F113" s="15" t="n">
        <f aca="false">COUNTIFS(Data!$B$2:$B$2284,$A113,Data!$H$2:$H$2284,"No Audio Found on I3")</f>
        <v>0</v>
      </c>
      <c r="G113" s="15" t="n">
        <f aca="false">COUNTIFS(Data!$B$2:$B$2284,$A113,Data!$H$2:$H$2284,"VXI Process/Tools")</f>
        <v>0</v>
      </c>
      <c r="H113" s="16" t="n">
        <f aca="false">IF(B113=0,0,C113/B113)</f>
        <v>0.65625</v>
      </c>
      <c r="I113" s="16" t="n">
        <f aca="false">IF(B113=0,0,E113/B113)</f>
        <v>0.34375</v>
      </c>
      <c r="J113" s="16" t="n">
        <f aca="false">IF(B113=0,0,F113/B113)</f>
        <v>0</v>
      </c>
      <c r="K113" s="31" t="n">
        <f aca="false">B113-B114</f>
        <v>13</v>
      </c>
      <c r="L113" s="32" t="n">
        <f aca="false">(H113-H114)*100</f>
        <v>12.9934210526316</v>
      </c>
      <c r="M113" s="15" t="n">
        <f aca="false">COUNTIFS(Data!$B$2:$B$2284,$A113,Data!$D$2:$D$2284,"Omar.Mansour@vxi.com")</f>
        <v>0</v>
      </c>
      <c r="N113" s="15" t="n">
        <v>6</v>
      </c>
    </row>
    <row r="114" customFormat="false" ht="15" hidden="false" customHeight="false" outlineLevel="0" collapsed="false">
      <c r="A114" s="22" t="n">
        <v>46184</v>
      </c>
      <c r="B114" s="27" t="n">
        <f aca="false">COUNTIFS(Data!$B$2:$B$2284,$A114)</f>
        <v>19</v>
      </c>
      <c r="C114" s="14" t="n">
        <f aca="false">COUNTIFS(Data!$B$2:$B$2284,$A114,Data!$H$2:$H$2284,"Agent Opportunity")</f>
        <v>10</v>
      </c>
      <c r="D114" s="14" t="n">
        <f aca="false">COUNTIFS(Data!$B$2:$B$2284,$A114,Data!$H$2:$H$2284,"Customer")</f>
        <v>0</v>
      </c>
      <c r="E114" s="14" t="n">
        <f aca="false">COUNTIFS(Data!$B$2:$B$2284,$A114,Data!$H$2:$H$2284,"Comcast Process/Tools")</f>
        <v>6</v>
      </c>
      <c r="F114" s="14" t="n">
        <f aca="false">COUNTIFS(Data!$B$2:$B$2284,$A114,Data!$H$2:$H$2284,"No Audio Found on I3")</f>
        <v>3</v>
      </c>
      <c r="G114" s="14" t="n">
        <f aca="false">COUNTIFS(Data!$B$2:$B$2284,$A114,Data!$H$2:$H$2284,"VXI Process/Tools")</f>
        <v>0</v>
      </c>
      <c r="H114" s="18" t="n">
        <f aca="false">IF(B114=0,0,C114/B114)</f>
        <v>0.526315789473684</v>
      </c>
      <c r="I114" s="18" t="n">
        <f aca="false">IF(B114=0,0,E114/B114)</f>
        <v>0.315789473684211</v>
      </c>
      <c r="J114" s="18" t="n">
        <f aca="false">IF(B114=0,0,F114/B114)</f>
        <v>0.157894736842105</v>
      </c>
      <c r="K114" s="28" t="n">
        <f aca="false">B114-B115</f>
        <v>14</v>
      </c>
      <c r="L114" s="29" t="n">
        <f aca="false">(H114-H115)*100</f>
        <v>-27.3684210526316</v>
      </c>
      <c r="M114" s="14" t="n">
        <f aca="false">COUNTIFS(Data!$B$2:$B$2284,$A114,Data!$D$2:$D$2284,"Omar.Mansour@vxi.com")</f>
        <v>0</v>
      </c>
      <c r="N114" s="14" t="n">
        <v>4</v>
      </c>
    </row>
    <row r="115" customFormat="false" ht="15" hidden="false" customHeight="false" outlineLevel="0" collapsed="false">
      <c r="A115" s="23" t="n">
        <v>46183</v>
      </c>
      <c r="B115" s="30" t="n">
        <f aca="false">COUNTIFS(Data!$B$2:$B$2284,$A115)</f>
        <v>5</v>
      </c>
      <c r="C115" s="15" t="n">
        <f aca="false">COUNTIFS(Data!$B$2:$B$2284,$A115,Data!$H$2:$H$2284,"Agent Opportunity")</f>
        <v>4</v>
      </c>
      <c r="D115" s="15" t="n">
        <f aca="false">COUNTIFS(Data!$B$2:$B$2284,$A115,Data!$H$2:$H$2284,"Customer")</f>
        <v>0</v>
      </c>
      <c r="E115" s="15" t="n">
        <f aca="false">COUNTIFS(Data!$B$2:$B$2284,$A115,Data!$H$2:$H$2284,"Comcast Process/Tools")</f>
        <v>1</v>
      </c>
      <c r="F115" s="15" t="n">
        <f aca="false">COUNTIFS(Data!$B$2:$B$2284,$A115,Data!$H$2:$H$2284,"No Audio Found on I3")</f>
        <v>0</v>
      </c>
      <c r="G115" s="15" t="n">
        <f aca="false">COUNTIFS(Data!$B$2:$B$2284,$A115,Data!$H$2:$H$2284,"VXI Process/Tools")</f>
        <v>0</v>
      </c>
      <c r="H115" s="16" t="n">
        <f aca="false">IF(B115=0,0,C115/B115)</f>
        <v>0.8</v>
      </c>
      <c r="I115" s="16" t="n">
        <f aca="false">IF(B115=0,0,E115/B115)</f>
        <v>0.2</v>
      </c>
      <c r="J115" s="16" t="n">
        <f aca="false">IF(B115=0,0,F115/B115)</f>
        <v>0</v>
      </c>
      <c r="K115" s="31" t="n">
        <f aca="false">B115-B116</f>
        <v>-12</v>
      </c>
      <c r="L115" s="32" t="n">
        <f aca="false">(H115-H116)*100</f>
        <v>44.7058823529412</v>
      </c>
      <c r="M115" s="15" t="n">
        <f aca="false">COUNTIFS(Data!$B$2:$B$2284,$A115,Data!$D$2:$D$2284,"Omar.Mansour@vxi.com")</f>
        <v>0</v>
      </c>
      <c r="N115" s="15" t="n">
        <v>2</v>
      </c>
    </row>
    <row r="116" customFormat="false" ht="15" hidden="false" customHeight="false" outlineLevel="0" collapsed="false">
      <c r="A116" s="22" t="n">
        <v>46182</v>
      </c>
      <c r="B116" s="27" t="n">
        <f aca="false">COUNTIFS(Data!$B$2:$B$2284,$A116)</f>
        <v>17</v>
      </c>
      <c r="C116" s="14" t="n">
        <f aca="false">COUNTIFS(Data!$B$2:$B$2284,$A116,Data!$H$2:$H$2284,"Agent Opportunity")</f>
        <v>6</v>
      </c>
      <c r="D116" s="14" t="n">
        <f aca="false">COUNTIFS(Data!$B$2:$B$2284,$A116,Data!$H$2:$H$2284,"Customer")</f>
        <v>2</v>
      </c>
      <c r="E116" s="14" t="n">
        <f aca="false">COUNTIFS(Data!$B$2:$B$2284,$A116,Data!$H$2:$H$2284,"Comcast Process/Tools")</f>
        <v>1</v>
      </c>
      <c r="F116" s="14" t="n">
        <f aca="false">COUNTIFS(Data!$B$2:$B$2284,$A116,Data!$H$2:$H$2284,"No Audio Found on I3")</f>
        <v>8</v>
      </c>
      <c r="G116" s="14" t="n">
        <f aca="false">COUNTIFS(Data!$B$2:$B$2284,$A116,Data!$H$2:$H$2284,"VXI Process/Tools")</f>
        <v>0</v>
      </c>
      <c r="H116" s="18" t="n">
        <f aca="false">IF(B116=0,0,C116/B116)</f>
        <v>0.352941176470588</v>
      </c>
      <c r="I116" s="18" t="n">
        <f aca="false">IF(B116=0,0,E116/B116)</f>
        <v>0.0588235294117647</v>
      </c>
      <c r="J116" s="18" t="n">
        <f aca="false">IF(B116=0,0,F116/B116)</f>
        <v>0.470588235294118</v>
      </c>
      <c r="K116" s="28" t="n">
        <f aca="false">B116-B117</f>
        <v>13</v>
      </c>
      <c r="L116" s="29" t="n">
        <f aca="false">(H116-H117)*100</f>
        <v>-14.7058823529412</v>
      </c>
      <c r="M116" s="14" t="n">
        <f aca="false">COUNTIFS(Data!$B$2:$B$2284,$A116,Data!$D$2:$D$2284,"Omar.Mansour@vxi.com")</f>
        <v>0</v>
      </c>
      <c r="N116" s="14" t="n">
        <v>5</v>
      </c>
    </row>
    <row r="117" customFormat="false" ht="15" hidden="false" customHeight="false" outlineLevel="0" collapsed="false">
      <c r="A117" s="23" t="n">
        <v>46181</v>
      </c>
      <c r="B117" s="30" t="n">
        <f aca="false">COUNTIFS(Data!$B$2:$B$2284,$A117)</f>
        <v>4</v>
      </c>
      <c r="C117" s="15" t="n">
        <f aca="false">COUNTIFS(Data!$B$2:$B$2284,$A117,Data!$H$2:$H$2284,"Agent Opportunity")</f>
        <v>2</v>
      </c>
      <c r="D117" s="15" t="n">
        <f aca="false">COUNTIFS(Data!$B$2:$B$2284,$A117,Data!$H$2:$H$2284,"Customer")</f>
        <v>1</v>
      </c>
      <c r="E117" s="15" t="n">
        <f aca="false">COUNTIFS(Data!$B$2:$B$2284,$A117,Data!$H$2:$H$2284,"Comcast Process/Tools")</f>
        <v>0</v>
      </c>
      <c r="F117" s="15" t="n">
        <f aca="false">COUNTIFS(Data!$B$2:$B$2284,$A117,Data!$H$2:$H$2284,"No Audio Found on I3")</f>
        <v>1</v>
      </c>
      <c r="G117" s="15" t="n">
        <f aca="false">COUNTIFS(Data!$B$2:$B$2284,$A117,Data!$H$2:$H$2284,"VXI Process/Tools")</f>
        <v>0</v>
      </c>
      <c r="H117" s="16" t="n">
        <f aca="false">IF(B117=0,0,C117/B117)</f>
        <v>0.5</v>
      </c>
      <c r="I117" s="16" t="n">
        <f aca="false">IF(B117=0,0,E117/B117)</f>
        <v>0</v>
      </c>
      <c r="J117" s="16" t="n">
        <f aca="false">IF(B117=0,0,F117/B117)</f>
        <v>0.25</v>
      </c>
      <c r="K117" s="31" t="n">
        <f aca="false">B117-B118</f>
        <v>1</v>
      </c>
      <c r="L117" s="32" t="n">
        <f aca="false">(H117-H118)*100</f>
        <v>-16.6666666666667</v>
      </c>
      <c r="M117" s="15" t="n">
        <f aca="false">COUNTIFS(Data!$B$2:$B$2284,$A117,Data!$D$2:$D$2284,"Omar.Mansour@vxi.com")</f>
        <v>0</v>
      </c>
      <c r="N117" s="15" t="n">
        <v>3</v>
      </c>
    </row>
    <row r="118" customFormat="false" ht="15" hidden="false" customHeight="false" outlineLevel="0" collapsed="false">
      <c r="A118" s="22" t="n">
        <v>46180</v>
      </c>
      <c r="B118" s="27" t="n">
        <f aca="false">COUNTIFS(Data!$B$2:$B$2284,$A118)</f>
        <v>3</v>
      </c>
      <c r="C118" s="14" t="n">
        <f aca="false">COUNTIFS(Data!$B$2:$B$2284,$A118,Data!$H$2:$H$2284,"Agent Opportunity")</f>
        <v>2</v>
      </c>
      <c r="D118" s="14" t="n">
        <f aca="false">COUNTIFS(Data!$B$2:$B$2284,$A118,Data!$H$2:$H$2284,"Customer")</f>
        <v>0</v>
      </c>
      <c r="E118" s="14" t="n">
        <f aca="false">COUNTIFS(Data!$B$2:$B$2284,$A118,Data!$H$2:$H$2284,"Comcast Process/Tools")</f>
        <v>1</v>
      </c>
      <c r="F118" s="14" t="n">
        <f aca="false">COUNTIFS(Data!$B$2:$B$2284,$A118,Data!$H$2:$H$2284,"No Audio Found on I3")</f>
        <v>0</v>
      </c>
      <c r="G118" s="14" t="n">
        <f aca="false">COUNTIFS(Data!$B$2:$B$2284,$A118,Data!$H$2:$H$2284,"VXI Process/Tools")</f>
        <v>0</v>
      </c>
      <c r="H118" s="18" t="n">
        <f aca="false">IF(B118=0,0,C118/B118)</f>
        <v>0.666666666666667</v>
      </c>
      <c r="I118" s="18" t="n">
        <f aca="false">IF(B118=0,0,E118/B118)</f>
        <v>0.333333333333333</v>
      </c>
      <c r="J118" s="18" t="n">
        <f aca="false">IF(B118=0,0,F118/B118)</f>
        <v>0</v>
      </c>
      <c r="K118" s="28" t="n">
        <f aca="false">B118-B119</f>
        <v>-6</v>
      </c>
      <c r="L118" s="29" t="n">
        <f aca="false">(H118-H119)*100</f>
        <v>33.3333333333333</v>
      </c>
      <c r="M118" s="14" t="n">
        <f aca="false">COUNTIFS(Data!$B$2:$B$2284,$A118,Data!$D$2:$D$2284,"Omar.Mansour@vxi.com")</f>
        <v>0</v>
      </c>
      <c r="N118" s="14" t="n">
        <v>1</v>
      </c>
    </row>
    <row r="119" customFormat="false" ht="15" hidden="false" customHeight="false" outlineLevel="0" collapsed="false">
      <c r="A119" s="23" t="n">
        <v>46179</v>
      </c>
      <c r="B119" s="30" t="n">
        <f aca="false">COUNTIFS(Data!$B$2:$B$2284,$A119)</f>
        <v>9</v>
      </c>
      <c r="C119" s="15" t="n">
        <f aca="false">COUNTIFS(Data!$B$2:$B$2284,$A119,Data!$H$2:$H$2284,"Agent Opportunity")</f>
        <v>3</v>
      </c>
      <c r="D119" s="15" t="n">
        <f aca="false">COUNTIFS(Data!$B$2:$B$2284,$A119,Data!$H$2:$H$2284,"Customer")</f>
        <v>3</v>
      </c>
      <c r="E119" s="15" t="n">
        <f aca="false">COUNTIFS(Data!$B$2:$B$2284,$A119,Data!$H$2:$H$2284,"Comcast Process/Tools")</f>
        <v>1</v>
      </c>
      <c r="F119" s="15" t="n">
        <f aca="false">COUNTIFS(Data!$B$2:$B$2284,$A119,Data!$H$2:$H$2284,"No Audio Found on I3")</f>
        <v>2</v>
      </c>
      <c r="G119" s="15" t="n">
        <f aca="false">COUNTIFS(Data!$B$2:$B$2284,$A119,Data!$H$2:$H$2284,"VXI Process/Tools")</f>
        <v>0</v>
      </c>
      <c r="H119" s="16" t="n">
        <f aca="false">IF(B119=0,0,C119/B119)</f>
        <v>0.333333333333333</v>
      </c>
      <c r="I119" s="16" t="n">
        <f aca="false">IF(B119=0,0,E119/B119)</f>
        <v>0.111111111111111</v>
      </c>
      <c r="J119" s="16" t="n">
        <f aca="false">IF(B119=0,0,F119/B119)</f>
        <v>0.222222222222222</v>
      </c>
      <c r="K119" s="31" t="n">
        <f aca="false">B119-B120</f>
        <v>-14</v>
      </c>
      <c r="L119" s="32" t="n">
        <f aca="false">(H119-H120)*100</f>
        <v>-27.536231884058</v>
      </c>
      <c r="M119" s="15" t="n">
        <f aca="false">COUNTIFS(Data!$B$2:$B$2284,$A119,Data!$D$2:$D$2284,"Omar.Mansour@vxi.com")</f>
        <v>0</v>
      </c>
      <c r="N119" s="15" t="n">
        <v>1</v>
      </c>
    </row>
    <row r="120" customFormat="false" ht="15" hidden="false" customHeight="false" outlineLevel="0" collapsed="false">
      <c r="A120" s="22" t="n">
        <v>46178</v>
      </c>
      <c r="B120" s="27" t="n">
        <f aca="false">COUNTIFS(Data!$B$2:$B$2284,$A120)</f>
        <v>23</v>
      </c>
      <c r="C120" s="14" t="n">
        <f aca="false">COUNTIFS(Data!$B$2:$B$2284,$A120,Data!$H$2:$H$2284,"Agent Opportunity")</f>
        <v>14</v>
      </c>
      <c r="D120" s="14" t="n">
        <f aca="false">COUNTIFS(Data!$B$2:$B$2284,$A120,Data!$H$2:$H$2284,"Customer")</f>
        <v>1</v>
      </c>
      <c r="E120" s="14" t="n">
        <f aca="false">COUNTIFS(Data!$B$2:$B$2284,$A120,Data!$H$2:$H$2284,"Comcast Process/Tools")</f>
        <v>1</v>
      </c>
      <c r="F120" s="14" t="n">
        <f aca="false">COUNTIFS(Data!$B$2:$B$2284,$A120,Data!$H$2:$H$2284,"No Audio Found on I3")</f>
        <v>6</v>
      </c>
      <c r="G120" s="14" t="n">
        <f aca="false">COUNTIFS(Data!$B$2:$B$2284,$A120,Data!$H$2:$H$2284,"VXI Process/Tools")</f>
        <v>1</v>
      </c>
      <c r="H120" s="18" t="n">
        <f aca="false">IF(B120=0,0,C120/B120)</f>
        <v>0.608695652173913</v>
      </c>
      <c r="I120" s="18" t="n">
        <f aca="false">IF(B120=0,0,E120/B120)</f>
        <v>0.0434782608695652</v>
      </c>
      <c r="J120" s="18" t="n">
        <f aca="false">IF(B120=0,0,F120/B120)</f>
        <v>0.260869565217391</v>
      </c>
      <c r="K120" s="28" t="n">
        <f aca="false">B120-B121</f>
        <v>2</v>
      </c>
      <c r="L120" s="29" t="n">
        <f aca="false">(H120-H121)*100</f>
        <v>-10.5590062111801</v>
      </c>
      <c r="M120" s="14" t="n">
        <f aca="false">COUNTIFS(Data!$B$2:$B$2284,$A120,Data!$D$2:$D$2284,"Omar.Mansour@vxi.com")</f>
        <v>0</v>
      </c>
      <c r="N120" s="14" t="n">
        <v>5</v>
      </c>
    </row>
    <row r="121" customFormat="false" ht="15" hidden="false" customHeight="false" outlineLevel="0" collapsed="false">
      <c r="A121" s="23" t="n">
        <v>46177</v>
      </c>
      <c r="B121" s="30" t="n">
        <f aca="false">COUNTIFS(Data!$B$2:$B$2284,$A121)</f>
        <v>21</v>
      </c>
      <c r="C121" s="15" t="n">
        <f aca="false">COUNTIFS(Data!$B$2:$B$2284,$A121,Data!$H$2:$H$2284,"Agent Opportunity")</f>
        <v>15</v>
      </c>
      <c r="D121" s="15" t="n">
        <f aca="false">COUNTIFS(Data!$B$2:$B$2284,$A121,Data!$H$2:$H$2284,"Customer")</f>
        <v>3</v>
      </c>
      <c r="E121" s="15" t="n">
        <f aca="false">COUNTIFS(Data!$B$2:$B$2284,$A121,Data!$H$2:$H$2284,"Comcast Process/Tools")</f>
        <v>1</v>
      </c>
      <c r="F121" s="15" t="n">
        <f aca="false">COUNTIFS(Data!$B$2:$B$2284,$A121,Data!$H$2:$H$2284,"No Audio Found on I3")</f>
        <v>2</v>
      </c>
      <c r="G121" s="15" t="n">
        <f aca="false">COUNTIFS(Data!$B$2:$B$2284,$A121,Data!$H$2:$H$2284,"VXI Process/Tools")</f>
        <v>0</v>
      </c>
      <c r="H121" s="16" t="n">
        <f aca="false">IF(B121=0,0,C121/B121)</f>
        <v>0.714285714285714</v>
      </c>
      <c r="I121" s="16" t="n">
        <f aca="false">IF(B121=0,0,E121/B121)</f>
        <v>0.0476190476190476</v>
      </c>
      <c r="J121" s="16" t="n">
        <f aca="false">IF(B121=0,0,F121/B121)</f>
        <v>0.0952380952380952</v>
      </c>
      <c r="K121" s="31" t="n">
        <f aca="false">B121-B122</f>
        <v>9</v>
      </c>
      <c r="L121" s="32" t="n">
        <f aca="false">(H121-H122)*100</f>
        <v>4.76190476190477</v>
      </c>
      <c r="M121" s="15" t="n">
        <f aca="false">COUNTIFS(Data!$B$2:$B$2284,$A121,Data!$D$2:$D$2284,"Omar.Mansour@vxi.com")</f>
        <v>0</v>
      </c>
      <c r="N121" s="15" t="n">
        <v>5</v>
      </c>
    </row>
    <row r="122" customFormat="false" ht="15" hidden="false" customHeight="false" outlineLevel="0" collapsed="false">
      <c r="A122" s="22" t="n">
        <v>46176</v>
      </c>
      <c r="B122" s="27" t="n">
        <f aca="false">COUNTIFS(Data!$B$2:$B$2284,$A122)</f>
        <v>12</v>
      </c>
      <c r="C122" s="14" t="n">
        <f aca="false">COUNTIFS(Data!$B$2:$B$2284,$A122,Data!$H$2:$H$2284,"Agent Opportunity")</f>
        <v>8</v>
      </c>
      <c r="D122" s="14" t="n">
        <f aca="false">COUNTIFS(Data!$B$2:$B$2284,$A122,Data!$H$2:$H$2284,"Customer")</f>
        <v>2</v>
      </c>
      <c r="E122" s="14" t="n">
        <f aca="false">COUNTIFS(Data!$B$2:$B$2284,$A122,Data!$H$2:$H$2284,"Comcast Process/Tools")</f>
        <v>0</v>
      </c>
      <c r="F122" s="14" t="n">
        <f aca="false">COUNTIFS(Data!$B$2:$B$2284,$A122,Data!$H$2:$H$2284,"No Audio Found on I3")</f>
        <v>2</v>
      </c>
      <c r="G122" s="14" t="n">
        <f aca="false">COUNTIFS(Data!$B$2:$B$2284,$A122,Data!$H$2:$H$2284,"VXI Process/Tools")</f>
        <v>0</v>
      </c>
      <c r="H122" s="18" t="n">
        <f aca="false">IF(B122=0,0,C122/B122)</f>
        <v>0.666666666666667</v>
      </c>
      <c r="I122" s="18" t="n">
        <f aca="false">IF(B122=0,0,E122/B122)</f>
        <v>0</v>
      </c>
      <c r="J122" s="18" t="n">
        <f aca="false">IF(B122=0,0,F122/B122)</f>
        <v>0.166666666666667</v>
      </c>
      <c r="K122" s="28" t="n">
        <f aca="false">B122-B123</f>
        <v>-5</v>
      </c>
      <c r="L122" s="29" t="n">
        <f aca="false">(H122-H123)*100</f>
        <v>13.7254901960784</v>
      </c>
      <c r="M122" s="14" t="n">
        <f aca="false">COUNTIFS(Data!$B$2:$B$2284,$A122,Data!$D$2:$D$2284,"Omar.Mansour@vxi.com")</f>
        <v>0</v>
      </c>
      <c r="N122" s="14" t="n">
        <v>3</v>
      </c>
    </row>
    <row r="123" customFormat="false" ht="15" hidden="false" customHeight="false" outlineLevel="0" collapsed="false">
      <c r="A123" s="23" t="n">
        <v>46175</v>
      </c>
      <c r="B123" s="30" t="n">
        <f aca="false">COUNTIFS(Data!$B$2:$B$2284,$A123)</f>
        <v>17</v>
      </c>
      <c r="C123" s="15" t="n">
        <f aca="false">COUNTIFS(Data!$B$2:$B$2284,$A123,Data!$H$2:$H$2284,"Agent Opportunity")</f>
        <v>9</v>
      </c>
      <c r="D123" s="15" t="n">
        <f aca="false">COUNTIFS(Data!$B$2:$B$2284,$A123,Data!$H$2:$H$2284,"Customer")</f>
        <v>3</v>
      </c>
      <c r="E123" s="15" t="n">
        <f aca="false">COUNTIFS(Data!$B$2:$B$2284,$A123,Data!$H$2:$H$2284,"Comcast Process/Tools")</f>
        <v>5</v>
      </c>
      <c r="F123" s="15" t="n">
        <f aca="false">COUNTIFS(Data!$B$2:$B$2284,$A123,Data!$H$2:$H$2284,"No Audio Found on I3")</f>
        <v>0</v>
      </c>
      <c r="G123" s="15" t="n">
        <f aca="false">COUNTIFS(Data!$B$2:$B$2284,$A123,Data!$H$2:$H$2284,"VXI Process/Tools")</f>
        <v>0</v>
      </c>
      <c r="H123" s="16" t="n">
        <f aca="false">IF(B123=0,0,C123/B123)</f>
        <v>0.529411764705882</v>
      </c>
      <c r="I123" s="16" t="n">
        <f aca="false">IF(B123=0,0,E123/B123)</f>
        <v>0.294117647058824</v>
      </c>
      <c r="J123" s="16" t="n">
        <f aca="false">IF(B123=0,0,F123/B123)</f>
        <v>0</v>
      </c>
      <c r="K123" s="31" t="n">
        <f aca="false">B123-B124</f>
        <v>10</v>
      </c>
      <c r="L123" s="32" t="n">
        <f aca="false">(H123-H124)*100</f>
        <v>10.0840336134454</v>
      </c>
      <c r="M123" s="15" t="n">
        <f aca="false">COUNTIFS(Data!$B$2:$B$2284,$A123,Data!$D$2:$D$2284,"Omar.Mansour@vxi.com")</f>
        <v>0</v>
      </c>
      <c r="N123" s="15" t="n">
        <v>3</v>
      </c>
    </row>
    <row r="124" customFormat="false" ht="15" hidden="false" customHeight="false" outlineLevel="0" collapsed="false">
      <c r="A124" s="22" t="n">
        <v>46174</v>
      </c>
      <c r="B124" s="27" t="n">
        <f aca="false">COUNTIFS(Data!$B$2:$B$2284,$A124)</f>
        <v>7</v>
      </c>
      <c r="C124" s="14" t="n">
        <f aca="false">COUNTIFS(Data!$B$2:$B$2284,$A124,Data!$H$2:$H$2284,"Agent Opportunity")</f>
        <v>3</v>
      </c>
      <c r="D124" s="14" t="n">
        <f aca="false">COUNTIFS(Data!$B$2:$B$2284,$A124,Data!$H$2:$H$2284,"Customer")</f>
        <v>0</v>
      </c>
      <c r="E124" s="14" t="n">
        <f aca="false">COUNTIFS(Data!$B$2:$B$2284,$A124,Data!$H$2:$H$2284,"Comcast Process/Tools")</f>
        <v>3</v>
      </c>
      <c r="F124" s="14" t="n">
        <f aca="false">COUNTIFS(Data!$B$2:$B$2284,$A124,Data!$H$2:$H$2284,"No Audio Found on I3")</f>
        <v>1</v>
      </c>
      <c r="G124" s="14" t="n">
        <f aca="false">COUNTIFS(Data!$B$2:$B$2284,$A124,Data!$H$2:$H$2284,"VXI Process/Tools")</f>
        <v>0</v>
      </c>
      <c r="H124" s="18" t="n">
        <f aca="false">IF(B124=0,0,C124/B124)</f>
        <v>0.428571428571429</v>
      </c>
      <c r="I124" s="18" t="n">
        <f aca="false">IF(B124=0,0,E124/B124)</f>
        <v>0.428571428571429</v>
      </c>
      <c r="J124" s="18" t="n">
        <f aca="false">IF(B124=0,0,F124/B124)</f>
        <v>0.142857142857143</v>
      </c>
      <c r="K124" s="28" t="n">
        <f aca="false">B124-B125</f>
        <v>-17</v>
      </c>
      <c r="L124" s="29" t="n">
        <f aca="false">(H124-H125)*100</f>
        <v>-7.14285714285715</v>
      </c>
      <c r="M124" s="14" t="n">
        <f aca="false">COUNTIFS(Data!$B$2:$B$2284,$A124,Data!$D$2:$D$2284,"Omar.Mansour@vxi.com")</f>
        <v>0</v>
      </c>
      <c r="N124" s="14" t="n">
        <v>3</v>
      </c>
    </row>
    <row r="125" customFormat="false" ht="15" hidden="false" customHeight="false" outlineLevel="0" collapsed="false">
      <c r="A125" s="23" t="n">
        <v>46171</v>
      </c>
      <c r="B125" s="30" t="n">
        <f aca="false">COUNTIFS(Data!$B$2:$B$2284,$A125)</f>
        <v>24</v>
      </c>
      <c r="C125" s="15" t="n">
        <f aca="false">COUNTIFS(Data!$B$2:$B$2284,$A125,Data!$H$2:$H$2284,"Agent Opportunity")</f>
        <v>12</v>
      </c>
      <c r="D125" s="15" t="n">
        <f aca="false">COUNTIFS(Data!$B$2:$B$2284,$A125,Data!$H$2:$H$2284,"Customer")</f>
        <v>3</v>
      </c>
      <c r="E125" s="15" t="n">
        <f aca="false">COUNTIFS(Data!$B$2:$B$2284,$A125,Data!$H$2:$H$2284,"Comcast Process/Tools")</f>
        <v>6</v>
      </c>
      <c r="F125" s="15" t="n">
        <f aca="false">COUNTIFS(Data!$B$2:$B$2284,$A125,Data!$H$2:$H$2284,"No Audio Found on I3")</f>
        <v>2</v>
      </c>
      <c r="G125" s="15" t="n">
        <f aca="false">COUNTIFS(Data!$B$2:$B$2284,$A125,Data!$H$2:$H$2284,"VXI Process/Tools")</f>
        <v>1</v>
      </c>
      <c r="H125" s="16" t="n">
        <f aca="false">IF(B125=0,0,C125/B125)</f>
        <v>0.5</v>
      </c>
      <c r="I125" s="16" t="n">
        <f aca="false">IF(B125=0,0,E125/B125)</f>
        <v>0.25</v>
      </c>
      <c r="J125" s="16" t="n">
        <f aca="false">IF(B125=0,0,F125/B125)</f>
        <v>0.0833333333333333</v>
      </c>
      <c r="K125" s="31" t="n">
        <f aca="false">B125-B126</f>
        <v>4</v>
      </c>
      <c r="L125" s="32" t="n">
        <f aca="false">(H125-H126)*100</f>
        <v>-25</v>
      </c>
      <c r="M125" s="15" t="n">
        <f aca="false">COUNTIFS(Data!$B$2:$B$2284,$A125,Data!$D$2:$D$2284,"Omar.Mansour@vxi.com")</f>
        <v>0</v>
      </c>
      <c r="N125" s="15" t="n">
        <v>5</v>
      </c>
    </row>
    <row r="126" customFormat="false" ht="15" hidden="false" customHeight="false" outlineLevel="0" collapsed="false">
      <c r="A126" s="22" t="n">
        <v>46170</v>
      </c>
      <c r="B126" s="27" t="n">
        <f aca="false">COUNTIFS(Data!$B$2:$B$2284,$A126)</f>
        <v>20</v>
      </c>
      <c r="C126" s="14" t="n">
        <f aca="false">COUNTIFS(Data!$B$2:$B$2284,$A126,Data!$H$2:$H$2284,"Agent Opportunity")</f>
        <v>15</v>
      </c>
      <c r="D126" s="14" t="n">
        <f aca="false">COUNTIFS(Data!$B$2:$B$2284,$A126,Data!$H$2:$H$2284,"Customer")</f>
        <v>3</v>
      </c>
      <c r="E126" s="14" t="n">
        <f aca="false">COUNTIFS(Data!$B$2:$B$2284,$A126,Data!$H$2:$H$2284,"Comcast Process/Tools")</f>
        <v>1</v>
      </c>
      <c r="F126" s="14" t="n">
        <f aca="false">COUNTIFS(Data!$B$2:$B$2284,$A126,Data!$H$2:$H$2284,"No Audio Found on I3")</f>
        <v>1</v>
      </c>
      <c r="G126" s="14" t="n">
        <f aca="false">COUNTIFS(Data!$B$2:$B$2284,$A126,Data!$H$2:$H$2284,"VXI Process/Tools")</f>
        <v>0</v>
      </c>
      <c r="H126" s="18" t="n">
        <f aca="false">IF(B126=0,0,C126/B126)</f>
        <v>0.75</v>
      </c>
      <c r="I126" s="18" t="n">
        <f aca="false">IF(B126=0,0,E126/B126)</f>
        <v>0.05</v>
      </c>
      <c r="J126" s="18" t="n">
        <f aca="false">IF(B126=0,0,F126/B126)</f>
        <v>0.05</v>
      </c>
      <c r="K126" s="28" t="n">
        <f aca="false">B126-B127</f>
        <v>0</v>
      </c>
      <c r="L126" s="29" t="n">
        <f aca="false">(H126-H127)*100</f>
        <v>0</v>
      </c>
      <c r="M126" s="14" t="n">
        <f aca="false">COUNTIFS(Data!$B$2:$B$2284,$A126,Data!$D$2:$D$2284,"Omar.Mansour@vxi.com")</f>
        <v>0</v>
      </c>
      <c r="N126" s="14" t="n">
        <v>4</v>
      </c>
    </row>
    <row r="127" customFormat="false" ht="15" hidden="false" customHeight="false" outlineLevel="0" collapsed="false">
      <c r="A127" s="23" t="n">
        <v>46169</v>
      </c>
      <c r="B127" s="30" t="n">
        <f aca="false">COUNTIFS(Data!$B$2:$B$2284,$A127)</f>
        <v>20</v>
      </c>
      <c r="C127" s="15" t="n">
        <f aca="false">COUNTIFS(Data!$B$2:$B$2284,$A127,Data!$H$2:$H$2284,"Agent Opportunity")</f>
        <v>15</v>
      </c>
      <c r="D127" s="15" t="n">
        <f aca="false">COUNTIFS(Data!$B$2:$B$2284,$A127,Data!$H$2:$H$2284,"Customer")</f>
        <v>3</v>
      </c>
      <c r="E127" s="15" t="n">
        <f aca="false">COUNTIFS(Data!$B$2:$B$2284,$A127,Data!$H$2:$H$2284,"Comcast Process/Tools")</f>
        <v>2</v>
      </c>
      <c r="F127" s="15" t="n">
        <f aca="false">COUNTIFS(Data!$B$2:$B$2284,$A127,Data!$H$2:$H$2284,"No Audio Found on I3")</f>
        <v>0</v>
      </c>
      <c r="G127" s="15" t="n">
        <f aca="false">COUNTIFS(Data!$B$2:$B$2284,$A127,Data!$H$2:$H$2284,"VXI Process/Tools")</f>
        <v>0</v>
      </c>
      <c r="H127" s="16" t="n">
        <f aca="false">IF(B127=0,0,C127/B127)</f>
        <v>0.75</v>
      </c>
      <c r="I127" s="16" t="n">
        <f aca="false">IF(B127=0,0,E127/B127)</f>
        <v>0.1</v>
      </c>
      <c r="J127" s="16" t="n">
        <f aca="false">IF(B127=0,0,F127/B127)</f>
        <v>0</v>
      </c>
      <c r="K127" s="31" t="n">
        <f aca="false">B127-B128</f>
        <v>16</v>
      </c>
      <c r="L127" s="32" t="n">
        <f aca="false">(H127-H128)*100</f>
        <v>0</v>
      </c>
      <c r="M127" s="15" t="n">
        <f aca="false">COUNTIFS(Data!$B$2:$B$2284,$A127,Data!$D$2:$D$2284,"Omar.Mansour@vxi.com")</f>
        <v>0</v>
      </c>
      <c r="N127" s="15" t="n">
        <v>5</v>
      </c>
    </row>
    <row r="128" customFormat="false" ht="15" hidden="false" customHeight="false" outlineLevel="0" collapsed="false">
      <c r="A128" s="22" t="n">
        <v>46168</v>
      </c>
      <c r="B128" s="27" t="n">
        <f aca="false">COUNTIFS(Data!$B$2:$B$2284,$A128)</f>
        <v>4</v>
      </c>
      <c r="C128" s="14" t="n">
        <f aca="false">COUNTIFS(Data!$B$2:$B$2284,$A128,Data!$H$2:$H$2284,"Agent Opportunity")</f>
        <v>3</v>
      </c>
      <c r="D128" s="14" t="n">
        <f aca="false">COUNTIFS(Data!$B$2:$B$2284,$A128,Data!$H$2:$H$2284,"Customer")</f>
        <v>0</v>
      </c>
      <c r="E128" s="14" t="n">
        <f aca="false">COUNTIFS(Data!$B$2:$B$2284,$A128,Data!$H$2:$H$2284,"Comcast Process/Tools")</f>
        <v>1</v>
      </c>
      <c r="F128" s="14" t="n">
        <f aca="false">COUNTIFS(Data!$B$2:$B$2284,$A128,Data!$H$2:$H$2284,"No Audio Found on I3")</f>
        <v>0</v>
      </c>
      <c r="G128" s="14" t="n">
        <f aca="false">COUNTIFS(Data!$B$2:$B$2284,$A128,Data!$H$2:$H$2284,"VXI Process/Tools")</f>
        <v>0</v>
      </c>
      <c r="H128" s="18" t="n">
        <f aca="false">IF(B128=0,0,C128/B128)</f>
        <v>0.75</v>
      </c>
      <c r="I128" s="18" t="n">
        <f aca="false">IF(B128=0,0,E128/B128)</f>
        <v>0.25</v>
      </c>
      <c r="J128" s="18" t="n">
        <f aca="false">IF(B128=0,0,F128/B128)</f>
        <v>0</v>
      </c>
      <c r="K128" s="28" t="n">
        <f aca="false">B128-B129</f>
        <v>-5</v>
      </c>
      <c r="L128" s="29" t="n">
        <f aca="false">(H128-H129)*100</f>
        <v>19.4444444444444</v>
      </c>
      <c r="M128" s="14" t="n">
        <f aca="false">COUNTIFS(Data!$B$2:$B$2284,$A128,Data!$D$2:$D$2284,"Omar.Mansour@vxi.com")</f>
        <v>0</v>
      </c>
      <c r="N128" s="14" t="n">
        <v>2</v>
      </c>
    </row>
    <row r="129" customFormat="false" ht="15" hidden="false" customHeight="false" outlineLevel="0" collapsed="false">
      <c r="A129" s="23" t="n">
        <v>46167</v>
      </c>
      <c r="B129" s="30" t="n">
        <f aca="false">COUNTIFS(Data!$B$2:$B$2284,$A129)</f>
        <v>9</v>
      </c>
      <c r="C129" s="15" t="n">
        <f aca="false">COUNTIFS(Data!$B$2:$B$2284,$A129,Data!$H$2:$H$2284,"Agent Opportunity")</f>
        <v>5</v>
      </c>
      <c r="D129" s="15" t="n">
        <f aca="false">COUNTIFS(Data!$B$2:$B$2284,$A129,Data!$H$2:$H$2284,"Customer")</f>
        <v>2</v>
      </c>
      <c r="E129" s="15" t="n">
        <f aca="false">COUNTIFS(Data!$B$2:$B$2284,$A129,Data!$H$2:$H$2284,"Comcast Process/Tools")</f>
        <v>0</v>
      </c>
      <c r="F129" s="15" t="n">
        <f aca="false">COUNTIFS(Data!$B$2:$B$2284,$A129,Data!$H$2:$H$2284,"No Audio Found on I3")</f>
        <v>2</v>
      </c>
      <c r="G129" s="15" t="n">
        <f aca="false">COUNTIFS(Data!$B$2:$B$2284,$A129,Data!$H$2:$H$2284,"VXI Process/Tools")</f>
        <v>0</v>
      </c>
      <c r="H129" s="16" t="n">
        <f aca="false">IF(B129=0,0,C129/B129)</f>
        <v>0.555555555555556</v>
      </c>
      <c r="I129" s="16" t="n">
        <f aca="false">IF(B129=0,0,E129/B129)</f>
        <v>0</v>
      </c>
      <c r="J129" s="16" t="n">
        <f aca="false">IF(B129=0,0,F129/B129)</f>
        <v>0.222222222222222</v>
      </c>
      <c r="K129" s="31" t="n">
        <f aca="false">B129-B130</f>
        <v>-37</v>
      </c>
      <c r="L129" s="32" t="n">
        <f aca="false">(H129-H130)*100</f>
        <v>-5.31400966183575</v>
      </c>
      <c r="M129" s="15" t="n">
        <f aca="false">COUNTIFS(Data!$B$2:$B$2284,$A129,Data!$D$2:$D$2284,"Omar.Mansour@vxi.com")</f>
        <v>0</v>
      </c>
      <c r="N129" s="15" t="n">
        <v>3</v>
      </c>
    </row>
    <row r="130" customFormat="false" ht="15" hidden="false" customHeight="false" outlineLevel="0" collapsed="false">
      <c r="A130" s="22" t="n">
        <v>46166</v>
      </c>
      <c r="B130" s="27" t="n">
        <f aca="false">COUNTIFS(Data!$B$2:$B$2284,$A130)</f>
        <v>46</v>
      </c>
      <c r="C130" s="14" t="n">
        <f aca="false">COUNTIFS(Data!$B$2:$B$2284,$A130,Data!$H$2:$H$2284,"Agent Opportunity")</f>
        <v>28</v>
      </c>
      <c r="D130" s="14" t="n">
        <f aca="false">COUNTIFS(Data!$B$2:$B$2284,$A130,Data!$H$2:$H$2284,"Customer")</f>
        <v>0</v>
      </c>
      <c r="E130" s="14" t="n">
        <f aca="false">COUNTIFS(Data!$B$2:$B$2284,$A130,Data!$H$2:$H$2284,"Comcast Process/Tools")</f>
        <v>13</v>
      </c>
      <c r="F130" s="14" t="n">
        <f aca="false">COUNTIFS(Data!$B$2:$B$2284,$A130,Data!$H$2:$H$2284,"No Audio Found on I3")</f>
        <v>0</v>
      </c>
      <c r="G130" s="14" t="n">
        <f aca="false">COUNTIFS(Data!$B$2:$B$2284,$A130,Data!$H$2:$H$2284,"VXI Process/Tools")</f>
        <v>5</v>
      </c>
      <c r="H130" s="18" t="n">
        <f aca="false">IF(B130=0,0,C130/B130)</f>
        <v>0.608695652173913</v>
      </c>
      <c r="I130" s="18" t="n">
        <f aca="false">IF(B130=0,0,E130/B130)</f>
        <v>0.282608695652174</v>
      </c>
      <c r="J130" s="18" t="n">
        <f aca="false">IF(B130=0,0,F130/B130)</f>
        <v>0</v>
      </c>
      <c r="K130" s="28" t="n">
        <f aca="false">B130-B131</f>
        <v>37</v>
      </c>
      <c r="L130" s="29" t="n">
        <f aca="false">(H130-H131)*100</f>
        <v>5.31400966183575</v>
      </c>
      <c r="M130" s="14" t="n">
        <f aca="false">COUNTIFS(Data!$B$2:$B$2284,$A130,Data!$D$2:$D$2284,"Omar.Mansour@vxi.com")</f>
        <v>0</v>
      </c>
      <c r="N130" s="14" t="n">
        <v>1</v>
      </c>
    </row>
    <row r="131" customFormat="false" ht="15" hidden="false" customHeight="false" outlineLevel="0" collapsed="false">
      <c r="A131" s="23" t="n">
        <v>46164</v>
      </c>
      <c r="B131" s="30" t="n">
        <f aca="false">COUNTIFS(Data!$B$2:$B$2284,$A131)</f>
        <v>9</v>
      </c>
      <c r="C131" s="15" t="n">
        <f aca="false">COUNTIFS(Data!$B$2:$B$2284,$A131,Data!$H$2:$H$2284,"Agent Opportunity")</f>
        <v>5</v>
      </c>
      <c r="D131" s="15" t="n">
        <f aca="false">COUNTIFS(Data!$B$2:$B$2284,$A131,Data!$H$2:$H$2284,"Customer")</f>
        <v>1</v>
      </c>
      <c r="E131" s="15" t="n">
        <f aca="false">COUNTIFS(Data!$B$2:$B$2284,$A131,Data!$H$2:$H$2284,"Comcast Process/Tools")</f>
        <v>2</v>
      </c>
      <c r="F131" s="15" t="n">
        <f aca="false">COUNTIFS(Data!$B$2:$B$2284,$A131,Data!$H$2:$H$2284,"No Audio Found on I3")</f>
        <v>1</v>
      </c>
      <c r="G131" s="15" t="n">
        <f aca="false">COUNTIFS(Data!$B$2:$B$2284,$A131,Data!$H$2:$H$2284,"VXI Process/Tools")</f>
        <v>0</v>
      </c>
      <c r="H131" s="16" t="n">
        <f aca="false">IF(B131=0,0,C131/B131)</f>
        <v>0.555555555555556</v>
      </c>
      <c r="I131" s="16" t="n">
        <f aca="false">IF(B131=0,0,E131/B131)</f>
        <v>0.222222222222222</v>
      </c>
      <c r="J131" s="16" t="n">
        <f aca="false">IF(B131=0,0,F131/B131)</f>
        <v>0.111111111111111</v>
      </c>
      <c r="K131" s="31" t="n">
        <f aca="false">B131-B132</f>
        <v>2</v>
      </c>
      <c r="L131" s="32" t="n">
        <f aca="false">(H131-H132)*100</f>
        <v>-15.8730158730159</v>
      </c>
      <c r="M131" s="15" t="n">
        <f aca="false">COUNTIFS(Data!$B$2:$B$2284,$A131,Data!$D$2:$D$2284,"Omar.Mansour@vxi.com")</f>
        <v>0</v>
      </c>
      <c r="N131" s="15" t="n">
        <v>1</v>
      </c>
    </row>
    <row r="132" customFormat="false" ht="15" hidden="false" customHeight="false" outlineLevel="0" collapsed="false">
      <c r="A132" s="22" t="n">
        <v>46163</v>
      </c>
      <c r="B132" s="27" t="n">
        <f aca="false">COUNTIFS(Data!$B$2:$B$2284,$A132)</f>
        <v>7</v>
      </c>
      <c r="C132" s="14" t="n">
        <f aca="false">COUNTIFS(Data!$B$2:$B$2284,$A132,Data!$H$2:$H$2284,"Agent Opportunity")</f>
        <v>5</v>
      </c>
      <c r="D132" s="14" t="n">
        <f aca="false">COUNTIFS(Data!$B$2:$B$2284,$A132,Data!$H$2:$H$2284,"Customer")</f>
        <v>1</v>
      </c>
      <c r="E132" s="14" t="n">
        <f aca="false">COUNTIFS(Data!$B$2:$B$2284,$A132,Data!$H$2:$H$2284,"Comcast Process/Tools")</f>
        <v>1</v>
      </c>
      <c r="F132" s="14" t="n">
        <f aca="false">COUNTIFS(Data!$B$2:$B$2284,$A132,Data!$H$2:$H$2284,"No Audio Found on I3")</f>
        <v>0</v>
      </c>
      <c r="G132" s="14" t="n">
        <f aca="false">COUNTIFS(Data!$B$2:$B$2284,$A132,Data!$H$2:$H$2284,"VXI Process/Tools")</f>
        <v>0</v>
      </c>
      <c r="H132" s="18" t="n">
        <f aca="false">IF(B132=0,0,C132/B132)</f>
        <v>0.714285714285714</v>
      </c>
      <c r="I132" s="18" t="n">
        <f aca="false">IF(B132=0,0,E132/B132)</f>
        <v>0.142857142857143</v>
      </c>
      <c r="J132" s="18" t="n">
        <f aca="false">IF(B132=0,0,F132/B132)</f>
        <v>0</v>
      </c>
      <c r="K132" s="28" t="n">
        <f aca="false">B132-B133</f>
        <v>-8</v>
      </c>
      <c r="L132" s="29" t="n">
        <f aca="false">(H132-H133)*100</f>
        <v>18.0952380952381</v>
      </c>
      <c r="M132" s="14" t="n">
        <f aca="false">COUNTIFS(Data!$B$2:$B$2284,$A132,Data!$D$2:$D$2284,"Omar.Mansour@vxi.com")</f>
        <v>0</v>
      </c>
      <c r="N132" s="14" t="n">
        <v>2</v>
      </c>
    </row>
    <row r="133" customFormat="false" ht="15" hidden="false" customHeight="false" outlineLevel="0" collapsed="false">
      <c r="A133" s="23" t="n">
        <v>46162</v>
      </c>
      <c r="B133" s="30" t="n">
        <f aca="false">COUNTIFS(Data!$B$2:$B$2284,$A133)</f>
        <v>15</v>
      </c>
      <c r="C133" s="15" t="n">
        <f aca="false">COUNTIFS(Data!$B$2:$B$2284,$A133,Data!$H$2:$H$2284,"Agent Opportunity")</f>
        <v>8</v>
      </c>
      <c r="D133" s="15" t="n">
        <f aca="false">COUNTIFS(Data!$B$2:$B$2284,$A133,Data!$H$2:$H$2284,"Customer")</f>
        <v>3</v>
      </c>
      <c r="E133" s="15" t="n">
        <f aca="false">COUNTIFS(Data!$B$2:$B$2284,$A133,Data!$H$2:$H$2284,"Comcast Process/Tools")</f>
        <v>1</v>
      </c>
      <c r="F133" s="15" t="n">
        <f aca="false">COUNTIFS(Data!$B$2:$B$2284,$A133,Data!$H$2:$H$2284,"No Audio Found on I3")</f>
        <v>3</v>
      </c>
      <c r="G133" s="15" t="n">
        <f aca="false">COUNTIFS(Data!$B$2:$B$2284,$A133,Data!$H$2:$H$2284,"VXI Process/Tools")</f>
        <v>0</v>
      </c>
      <c r="H133" s="16" t="n">
        <f aca="false">IF(B133=0,0,C133/B133)</f>
        <v>0.533333333333333</v>
      </c>
      <c r="I133" s="16" t="n">
        <f aca="false">IF(B133=0,0,E133/B133)</f>
        <v>0.0666666666666667</v>
      </c>
      <c r="J133" s="16" t="n">
        <f aca="false">IF(B133=0,0,F133/B133)</f>
        <v>0.2</v>
      </c>
      <c r="K133" s="31" t="n">
        <f aca="false">B133-B134</f>
        <v>10</v>
      </c>
      <c r="L133" s="32" t="n">
        <f aca="false">(H133-H134)*100</f>
        <v>-6.66666666666667</v>
      </c>
      <c r="M133" s="15" t="n">
        <f aca="false">COUNTIFS(Data!$B$2:$B$2284,$A133,Data!$D$2:$D$2284,"Omar.Mansour@vxi.com")</f>
        <v>0</v>
      </c>
      <c r="N133" s="15" t="n">
        <v>3</v>
      </c>
    </row>
    <row r="134" customFormat="false" ht="15" hidden="false" customHeight="false" outlineLevel="0" collapsed="false">
      <c r="A134" s="22" t="n">
        <v>46161</v>
      </c>
      <c r="B134" s="27" t="n">
        <f aca="false">COUNTIFS(Data!$B$2:$B$2284,$A134)</f>
        <v>5</v>
      </c>
      <c r="C134" s="14" t="n">
        <f aca="false">COUNTIFS(Data!$B$2:$B$2284,$A134,Data!$H$2:$H$2284,"Agent Opportunity")</f>
        <v>3</v>
      </c>
      <c r="D134" s="14" t="n">
        <f aca="false">COUNTIFS(Data!$B$2:$B$2284,$A134,Data!$H$2:$H$2284,"Customer")</f>
        <v>1</v>
      </c>
      <c r="E134" s="14" t="n">
        <f aca="false">COUNTIFS(Data!$B$2:$B$2284,$A134,Data!$H$2:$H$2284,"Comcast Process/Tools")</f>
        <v>1</v>
      </c>
      <c r="F134" s="14" t="n">
        <f aca="false">COUNTIFS(Data!$B$2:$B$2284,$A134,Data!$H$2:$H$2284,"No Audio Found on I3")</f>
        <v>0</v>
      </c>
      <c r="G134" s="14" t="n">
        <f aca="false">COUNTIFS(Data!$B$2:$B$2284,$A134,Data!$H$2:$H$2284,"VXI Process/Tools")</f>
        <v>0</v>
      </c>
      <c r="H134" s="18" t="n">
        <f aca="false">IF(B134=0,0,C134/B134)</f>
        <v>0.6</v>
      </c>
      <c r="I134" s="18" t="n">
        <f aca="false">IF(B134=0,0,E134/B134)</f>
        <v>0.2</v>
      </c>
      <c r="J134" s="18" t="n">
        <f aca="false">IF(B134=0,0,F134/B134)</f>
        <v>0</v>
      </c>
      <c r="K134" s="28" t="n">
        <f aca="false">B134-B135</f>
        <v>-11</v>
      </c>
      <c r="L134" s="29" t="n">
        <f aca="false">(H134-H135)*100</f>
        <v>-21.25</v>
      </c>
      <c r="M134" s="14" t="n">
        <f aca="false">COUNTIFS(Data!$B$2:$B$2284,$A134,Data!$D$2:$D$2284,"Omar.Mansour@vxi.com")</f>
        <v>0</v>
      </c>
      <c r="N134" s="14" t="n">
        <v>2</v>
      </c>
    </row>
    <row r="135" customFormat="false" ht="15" hidden="false" customHeight="false" outlineLevel="0" collapsed="false">
      <c r="A135" s="23" t="n">
        <v>46160</v>
      </c>
      <c r="B135" s="30" t="n">
        <f aca="false">COUNTIFS(Data!$B$2:$B$2284,$A135)</f>
        <v>16</v>
      </c>
      <c r="C135" s="15" t="n">
        <f aca="false">COUNTIFS(Data!$B$2:$B$2284,$A135,Data!$H$2:$H$2284,"Agent Opportunity")</f>
        <v>13</v>
      </c>
      <c r="D135" s="15" t="n">
        <f aca="false">COUNTIFS(Data!$B$2:$B$2284,$A135,Data!$H$2:$H$2284,"Customer")</f>
        <v>0</v>
      </c>
      <c r="E135" s="15" t="n">
        <f aca="false">COUNTIFS(Data!$B$2:$B$2284,$A135,Data!$H$2:$H$2284,"Comcast Process/Tools")</f>
        <v>3</v>
      </c>
      <c r="F135" s="15" t="n">
        <f aca="false">COUNTIFS(Data!$B$2:$B$2284,$A135,Data!$H$2:$H$2284,"No Audio Found on I3")</f>
        <v>0</v>
      </c>
      <c r="G135" s="15" t="n">
        <f aca="false">COUNTIFS(Data!$B$2:$B$2284,$A135,Data!$H$2:$H$2284,"VXI Process/Tools")</f>
        <v>0</v>
      </c>
      <c r="H135" s="16" t="n">
        <f aca="false">IF(B135=0,0,C135/B135)</f>
        <v>0.8125</v>
      </c>
      <c r="I135" s="16" t="n">
        <f aca="false">IF(B135=0,0,E135/B135)</f>
        <v>0.1875</v>
      </c>
      <c r="J135" s="16" t="n">
        <f aca="false">IF(B135=0,0,F135/B135)</f>
        <v>0</v>
      </c>
      <c r="K135" s="31" t="n">
        <f aca="false">B135-B136</f>
        <v>11</v>
      </c>
      <c r="L135" s="32" t="n">
        <f aca="false">(H135-H136)*100</f>
        <v>1.25</v>
      </c>
      <c r="M135" s="15" t="n">
        <f aca="false">COUNTIFS(Data!$B$2:$B$2284,$A135,Data!$D$2:$D$2284,"Omar.Mansour@vxi.com")</f>
        <v>0</v>
      </c>
      <c r="N135" s="15" t="n">
        <v>4</v>
      </c>
    </row>
    <row r="136" customFormat="false" ht="15" hidden="false" customHeight="false" outlineLevel="0" collapsed="false">
      <c r="A136" s="22" t="n">
        <v>46158</v>
      </c>
      <c r="B136" s="27" t="n">
        <f aca="false">COUNTIFS(Data!$B$2:$B$2284,$A136)</f>
        <v>5</v>
      </c>
      <c r="C136" s="14" t="n">
        <f aca="false">COUNTIFS(Data!$B$2:$B$2284,$A136,Data!$H$2:$H$2284,"Agent Opportunity")</f>
        <v>4</v>
      </c>
      <c r="D136" s="14" t="n">
        <f aca="false">COUNTIFS(Data!$B$2:$B$2284,$A136,Data!$H$2:$H$2284,"Customer")</f>
        <v>0</v>
      </c>
      <c r="E136" s="14" t="n">
        <f aca="false">COUNTIFS(Data!$B$2:$B$2284,$A136,Data!$H$2:$H$2284,"Comcast Process/Tools")</f>
        <v>0</v>
      </c>
      <c r="F136" s="14" t="n">
        <f aca="false">COUNTIFS(Data!$B$2:$B$2284,$A136,Data!$H$2:$H$2284,"No Audio Found on I3")</f>
        <v>1</v>
      </c>
      <c r="G136" s="14" t="n">
        <f aca="false">COUNTIFS(Data!$B$2:$B$2284,$A136,Data!$H$2:$H$2284,"VXI Process/Tools")</f>
        <v>0</v>
      </c>
      <c r="H136" s="18" t="n">
        <f aca="false">IF(B136=0,0,C136/B136)</f>
        <v>0.8</v>
      </c>
      <c r="I136" s="18" t="n">
        <f aca="false">IF(B136=0,0,E136/B136)</f>
        <v>0</v>
      </c>
      <c r="J136" s="18" t="n">
        <f aca="false">IF(B136=0,0,F136/B136)</f>
        <v>0.2</v>
      </c>
      <c r="K136" s="28" t="n">
        <f aca="false">B136-B137</f>
        <v>-9</v>
      </c>
      <c r="L136" s="29" t="n">
        <f aca="false">(H136-H137)*100</f>
        <v>15.7142857142857</v>
      </c>
      <c r="M136" s="14" t="n">
        <f aca="false">COUNTIFS(Data!$B$2:$B$2284,$A136,Data!$D$2:$D$2284,"Omar.Mansour@vxi.com")</f>
        <v>0</v>
      </c>
      <c r="N136" s="14" t="n">
        <v>2</v>
      </c>
    </row>
    <row r="137" customFormat="false" ht="15" hidden="false" customHeight="false" outlineLevel="0" collapsed="false">
      <c r="A137" s="23" t="n">
        <v>46157</v>
      </c>
      <c r="B137" s="30" t="n">
        <f aca="false">COUNTIFS(Data!$B$2:$B$2284,$A137)</f>
        <v>14</v>
      </c>
      <c r="C137" s="15" t="n">
        <f aca="false">COUNTIFS(Data!$B$2:$B$2284,$A137,Data!$H$2:$H$2284,"Agent Opportunity")</f>
        <v>9</v>
      </c>
      <c r="D137" s="15" t="n">
        <f aca="false">COUNTIFS(Data!$B$2:$B$2284,$A137,Data!$H$2:$H$2284,"Customer")</f>
        <v>0</v>
      </c>
      <c r="E137" s="15" t="n">
        <f aca="false">COUNTIFS(Data!$B$2:$B$2284,$A137,Data!$H$2:$H$2284,"Comcast Process/Tools")</f>
        <v>4</v>
      </c>
      <c r="F137" s="15" t="n">
        <f aca="false">COUNTIFS(Data!$B$2:$B$2284,$A137,Data!$H$2:$H$2284,"No Audio Found on I3")</f>
        <v>1</v>
      </c>
      <c r="G137" s="15" t="n">
        <f aca="false">COUNTIFS(Data!$B$2:$B$2284,$A137,Data!$H$2:$H$2284,"VXI Process/Tools")</f>
        <v>0</v>
      </c>
      <c r="H137" s="16" t="n">
        <f aca="false">IF(B137=0,0,C137/B137)</f>
        <v>0.642857142857143</v>
      </c>
      <c r="I137" s="16" t="n">
        <f aca="false">IF(B137=0,0,E137/B137)</f>
        <v>0.285714285714286</v>
      </c>
      <c r="J137" s="16" t="n">
        <f aca="false">IF(B137=0,0,F137/B137)</f>
        <v>0.0714285714285714</v>
      </c>
      <c r="K137" s="31" t="n">
        <f aca="false">B137-B138</f>
        <v>-1</v>
      </c>
      <c r="L137" s="32" t="n">
        <f aca="false">(H137-H138)*100</f>
        <v>10.952380952381</v>
      </c>
      <c r="M137" s="15" t="n">
        <f aca="false">COUNTIFS(Data!$B$2:$B$2284,$A137,Data!$D$2:$D$2284,"Omar.Mansour@vxi.com")</f>
        <v>0</v>
      </c>
      <c r="N137" s="15" t="n">
        <v>5</v>
      </c>
    </row>
    <row r="138" customFormat="false" ht="15" hidden="false" customHeight="false" outlineLevel="0" collapsed="false">
      <c r="A138" s="22" t="n">
        <v>46156</v>
      </c>
      <c r="B138" s="27" t="n">
        <f aca="false">COUNTIFS(Data!$B$2:$B$2284,$A138)</f>
        <v>15</v>
      </c>
      <c r="C138" s="14" t="n">
        <f aca="false">COUNTIFS(Data!$B$2:$B$2284,$A138,Data!$H$2:$H$2284,"Agent Opportunity")</f>
        <v>8</v>
      </c>
      <c r="D138" s="14" t="n">
        <f aca="false">COUNTIFS(Data!$B$2:$B$2284,$A138,Data!$H$2:$H$2284,"Customer")</f>
        <v>1</v>
      </c>
      <c r="E138" s="14" t="n">
        <f aca="false">COUNTIFS(Data!$B$2:$B$2284,$A138,Data!$H$2:$H$2284,"Comcast Process/Tools")</f>
        <v>5</v>
      </c>
      <c r="F138" s="14" t="n">
        <f aca="false">COUNTIFS(Data!$B$2:$B$2284,$A138,Data!$H$2:$H$2284,"No Audio Found on I3")</f>
        <v>1</v>
      </c>
      <c r="G138" s="14" t="n">
        <f aca="false">COUNTIFS(Data!$B$2:$B$2284,$A138,Data!$H$2:$H$2284,"VXI Process/Tools")</f>
        <v>0</v>
      </c>
      <c r="H138" s="18" t="n">
        <f aca="false">IF(B138=0,0,C138/B138)</f>
        <v>0.533333333333333</v>
      </c>
      <c r="I138" s="18" t="n">
        <f aca="false">IF(B138=0,0,E138/B138)</f>
        <v>0.333333333333333</v>
      </c>
      <c r="J138" s="18" t="n">
        <f aca="false">IF(B138=0,0,F138/B138)</f>
        <v>0.0666666666666667</v>
      </c>
      <c r="K138" s="28" t="n">
        <f aca="false">B138-B139</f>
        <v>3</v>
      </c>
      <c r="L138" s="29" t="n">
        <f aca="false">(H138-H139)*100</f>
        <v>28.3333333333333</v>
      </c>
      <c r="M138" s="14" t="n">
        <f aca="false">COUNTIFS(Data!$B$2:$B$2284,$A138,Data!$D$2:$D$2284,"Omar.Mansour@vxi.com")</f>
        <v>0</v>
      </c>
      <c r="N138" s="14" t="n">
        <v>5</v>
      </c>
    </row>
    <row r="139" customFormat="false" ht="15" hidden="false" customHeight="false" outlineLevel="0" collapsed="false">
      <c r="A139" s="23" t="n">
        <v>46155</v>
      </c>
      <c r="B139" s="30" t="n">
        <f aca="false">COUNTIFS(Data!$B$2:$B$2284,$A139)</f>
        <v>12</v>
      </c>
      <c r="C139" s="15" t="n">
        <f aca="false">COUNTIFS(Data!$B$2:$B$2284,$A139,Data!$H$2:$H$2284,"Agent Opportunity")</f>
        <v>3</v>
      </c>
      <c r="D139" s="15" t="n">
        <f aca="false">COUNTIFS(Data!$B$2:$B$2284,$A139,Data!$H$2:$H$2284,"Customer")</f>
        <v>4</v>
      </c>
      <c r="E139" s="15" t="n">
        <f aca="false">COUNTIFS(Data!$B$2:$B$2284,$A139,Data!$H$2:$H$2284,"Comcast Process/Tools")</f>
        <v>3</v>
      </c>
      <c r="F139" s="15" t="n">
        <f aca="false">COUNTIFS(Data!$B$2:$B$2284,$A139,Data!$H$2:$H$2284,"No Audio Found on I3")</f>
        <v>2</v>
      </c>
      <c r="G139" s="15" t="n">
        <f aca="false">COUNTIFS(Data!$B$2:$B$2284,$A139,Data!$H$2:$H$2284,"VXI Process/Tools")</f>
        <v>0</v>
      </c>
      <c r="H139" s="16" t="n">
        <f aca="false">IF(B139=0,0,C139/B139)</f>
        <v>0.25</v>
      </c>
      <c r="I139" s="16" t="n">
        <f aca="false">IF(B139=0,0,E139/B139)</f>
        <v>0.25</v>
      </c>
      <c r="J139" s="16" t="n">
        <f aca="false">IF(B139=0,0,F139/B139)</f>
        <v>0.166666666666667</v>
      </c>
      <c r="K139" s="31" t="n">
        <f aca="false">B139-B140</f>
        <v>-1</v>
      </c>
      <c r="L139" s="32" t="n">
        <f aca="false">(H139-H140)*100</f>
        <v>-51.9230769230769</v>
      </c>
      <c r="M139" s="15" t="n">
        <f aca="false">COUNTIFS(Data!$B$2:$B$2284,$A139,Data!$D$2:$D$2284,"Omar.Mansour@vxi.com")</f>
        <v>0</v>
      </c>
      <c r="N139" s="15" t="n">
        <v>5</v>
      </c>
    </row>
    <row r="140" customFormat="false" ht="15" hidden="false" customHeight="false" outlineLevel="0" collapsed="false">
      <c r="A140" s="22" t="n">
        <v>46154</v>
      </c>
      <c r="B140" s="27" t="n">
        <f aca="false">COUNTIFS(Data!$B$2:$B$2284,$A140)</f>
        <v>13</v>
      </c>
      <c r="C140" s="14" t="n">
        <f aca="false">COUNTIFS(Data!$B$2:$B$2284,$A140,Data!$H$2:$H$2284,"Agent Opportunity")</f>
        <v>10</v>
      </c>
      <c r="D140" s="14" t="n">
        <f aca="false">COUNTIFS(Data!$B$2:$B$2284,$A140,Data!$H$2:$H$2284,"Customer")</f>
        <v>0</v>
      </c>
      <c r="E140" s="14" t="n">
        <f aca="false">COUNTIFS(Data!$B$2:$B$2284,$A140,Data!$H$2:$H$2284,"Comcast Process/Tools")</f>
        <v>1</v>
      </c>
      <c r="F140" s="14" t="n">
        <f aca="false">COUNTIFS(Data!$B$2:$B$2284,$A140,Data!$H$2:$H$2284,"No Audio Found on I3")</f>
        <v>2</v>
      </c>
      <c r="G140" s="14" t="n">
        <f aca="false">COUNTIFS(Data!$B$2:$B$2284,$A140,Data!$H$2:$H$2284,"VXI Process/Tools")</f>
        <v>0</v>
      </c>
      <c r="H140" s="18" t="n">
        <f aca="false">IF(B140=0,0,C140/B140)</f>
        <v>0.769230769230769</v>
      </c>
      <c r="I140" s="18" t="n">
        <f aca="false">IF(B140=0,0,E140/B140)</f>
        <v>0.0769230769230769</v>
      </c>
      <c r="J140" s="18" t="n">
        <f aca="false">IF(B140=0,0,F140/B140)</f>
        <v>0.153846153846154</v>
      </c>
      <c r="K140" s="28" t="n">
        <f aca="false">B140-B141</f>
        <v>-5</v>
      </c>
      <c r="L140" s="29" t="n">
        <f aca="false">(H140-H141)*100</f>
        <v>-0.854700854700852</v>
      </c>
      <c r="M140" s="14" t="n">
        <f aca="false">COUNTIFS(Data!$B$2:$B$2284,$A140,Data!$D$2:$D$2284,"Omar.Mansour@vxi.com")</f>
        <v>0</v>
      </c>
      <c r="N140" s="14" t="n">
        <v>4</v>
      </c>
    </row>
    <row r="141" customFormat="false" ht="15" hidden="false" customHeight="false" outlineLevel="0" collapsed="false">
      <c r="A141" s="23" t="n">
        <v>46153</v>
      </c>
      <c r="B141" s="30" t="n">
        <f aca="false">COUNTIFS(Data!$B$2:$B$2284,$A141)</f>
        <v>18</v>
      </c>
      <c r="C141" s="15" t="n">
        <f aca="false">COUNTIFS(Data!$B$2:$B$2284,$A141,Data!$H$2:$H$2284,"Agent Opportunity")</f>
        <v>14</v>
      </c>
      <c r="D141" s="15" t="n">
        <f aca="false">COUNTIFS(Data!$B$2:$B$2284,$A141,Data!$H$2:$H$2284,"Customer")</f>
        <v>2</v>
      </c>
      <c r="E141" s="15" t="n">
        <f aca="false">COUNTIFS(Data!$B$2:$B$2284,$A141,Data!$H$2:$H$2284,"Comcast Process/Tools")</f>
        <v>1</v>
      </c>
      <c r="F141" s="15" t="n">
        <f aca="false">COUNTIFS(Data!$B$2:$B$2284,$A141,Data!$H$2:$H$2284,"No Audio Found on I3")</f>
        <v>1</v>
      </c>
      <c r="G141" s="15" t="n">
        <f aca="false">COUNTIFS(Data!$B$2:$B$2284,$A141,Data!$H$2:$H$2284,"VXI Process/Tools")</f>
        <v>0</v>
      </c>
      <c r="H141" s="16" t="n">
        <f aca="false">IF(B141=0,0,C141/B141)</f>
        <v>0.777777777777778</v>
      </c>
      <c r="I141" s="16" t="n">
        <f aca="false">IF(B141=0,0,E141/B141)</f>
        <v>0.0555555555555556</v>
      </c>
      <c r="J141" s="16" t="n">
        <f aca="false">IF(B141=0,0,F141/B141)</f>
        <v>0.0555555555555556</v>
      </c>
      <c r="K141" s="31" t="n">
        <f aca="false">B141-B142</f>
        <v>3</v>
      </c>
      <c r="L141" s="32" t="n">
        <f aca="false">(H141-H142)*100</f>
        <v>-2.22222222222223</v>
      </c>
      <c r="M141" s="15" t="n">
        <f aca="false">COUNTIFS(Data!$B$2:$B$2284,$A141,Data!$D$2:$D$2284,"Omar.Mansour@vxi.com")</f>
        <v>0</v>
      </c>
      <c r="N141" s="15" t="n">
        <v>4</v>
      </c>
    </row>
    <row r="142" customFormat="false" ht="15" hidden="false" customHeight="false" outlineLevel="0" collapsed="false">
      <c r="A142" s="22" t="n">
        <v>46150</v>
      </c>
      <c r="B142" s="27" t="n">
        <f aca="false">COUNTIFS(Data!$B$2:$B$2284,$A142)</f>
        <v>15</v>
      </c>
      <c r="C142" s="14" t="n">
        <f aca="false">COUNTIFS(Data!$B$2:$B$2284,$A142,Data!$H$2:$H$2284,"Agent Opportunity")</f>
        <v>12</v>
      </c>
      <c r="D142" s="14" t="n">
        <f aca="false">COUNTIFS(Data!$B$2:$B$2284,$A142,Data!$H$2:$H$2284,"Customer")</f>
        <v>3</v>
      </c>
      <c r="E142" s="14" t="n">
        <f aca="false">COUNTIFS(Data!$B$2:$B$2284,$A142,Data!$H$2:$H$2284,"Comcast Process/Tools")</f>
        <v>0</v>
      </c>
      <c r="F142" s="14" t="n">
        <f aca="false">COUNTIFS(Data!$B$2:$B$2284,$A142,Data!$H$2:$H$2284,"No Audio Found on I3")</f>
        <v>0</v>
      </c>
      <c r="G142" s="14" t="n">
        <f aca="false">COUNTIFS(Data!$B$2:$B$2284,$A142,Data!$H$2:$H$2284,"VXI Process/Tools")</f>
        <v>0</v>
      </c>
      <c r="H142" s="18" t="n">
        <f aca="false">IF(B142=0,0,C142/B142)</f>
        <v>0.8</v>
      </c>
      <c r="I142" s="18" t="n">
        <f aca="false">IF(B142=0,0,E142/B142)</f>
        <v>0</v>
      </c>
      <c r="J142" s="18" t="n">
        <f aca="false">IF(B142=0,0,F142/B142)</f>
        <v>0</v>
      </c>
      <c r="K142" s="28" t="n">
        <f aca="false">B142-B143</f>
        <v>-17</v>
      </c>
      <c r="L142" s="29" t="n">
        <f aca="false">(H142-H143)*100</f>
        <v>20.625</v>
      </c>
      <c r="M142" s="14" t="n">
        <f aca="false">COUNTIFS(Data!$B$2:$B$2284,$A142,Data!$D$2:$D$2284,"Omar.Mansour@vxi.com")</f>
        <v>0</v>
      </c>
      <c r="N142" s="14" t="n">
        <v>4</v>
      </c>
    </row>
    <row r="143" customFormat="false" ht="15" hidden="false" customHeight="false" outlineLevel="0" collapsed="false">
      <c r="A143" s="23" t="n">
        <v>46149</v>
      </c>
      <c r="B143" s="30" t="n">
        <f aca="false">COUNTIFS(Data!$B$2:$B$2284,$A143)</f>
        <v>32</v>
      </c>
      <c r="C143" s="15" t="n">
        <f aca="false">COUNTIFS(Data!$B$2:$B$2284,$A143,Data!$H$2:$H$2284,"Agent Opportunity")</f>
        <v>19</v>
      </c>
      <c r="D143" s="15" t="n">
        <f aca="false">COUNTIFS(Data!$B$2:$B$2284,$A143,Data!$H$2:$H$2284,"Customer")</f>
        <v>2</v>
      </c>
      <c r="E143" s="15" t="n">
        <f aca="false">COUNTIFS(Data!$B$2:$B$2284,$A143,Data!$H$2:$H$2284,"Comcast Process/Tools")</f>
        <v>6</v>
      </c>
      <c r="F143" s="15" t="n">
        <f aca="false">COUNTIFS(Data!$B$2:$B$2284,$A143,Data!$H$2:$H$2284,"No Audio Found on I3")</f>
        <v>1</v>
      </c>
      <c r="G143" s="15" t="n">
        <f aca="false">COUNTIFS(Data!$B$2:$B$2284,$A143,Data!$H$2:$H$2284,"VXI Process/Tools")</f>
        <v>4</v>
      </c>
      <c r="H143" s="16" t="n">
        <f aca="false">IF(B143=0,0,C143/B143)</f>
        <v>0.59375</v>
      </c>
      <c r="I143" s="16" t="n">
        <f aca="false">IF(B143=0,0,E143/B143)</f>
        <v>0.1875</v>
      </c>
      <c r="J143" s="16" t="n">
        <f aca="false">IF(B143=0,0,F143/B143)</f>
        <v>0.03125</v>
      </c>
      <c r="K143" s="31" t="n">
        <f aca="false">B143-B144</f>
        <v>9</v>
      </c>
      <c r="L143" s="32" t="n">
        <f aca="false">(H143-H144)*100</f>
        <v>-14.5380434782609</v>
      </c>
      <c r="M143" s="15" t="n">
        <f aca="false">COUNTIFS(Data!$B$2:$B$2284,$A143,Data!$D$2:$D$2284,"Omar.Mansour@vxi.com")</f>
        <v>0</v>
      </c>
      <c r="N143" s="15" t="n">
        <v>6</v>
      </c>
    </row>
    <row r="144" customFormat="false" ht="15" hidden="false" customHeight="false" outlineLevel="0" collapsed="false">
      <c r="A144" s="22" t="n">
        <v>46148</v>
      </c>
      <c r="B144" s="27" t="n">
        <f aca="false">COUNTIFS(Data!$B$2:$B$2284,$A144)</f>
        <v>23</v>
      </c>
      <c r="C144" s="14" t="n">
        <f aca="false">COUNTIFS(Data!$B$2:$B$2284,$A144,Data!$H$2:$H$2284,"Agent Opportunity")</f>
        <v>17</v>
      </c>
      <c r="D144" s="14" t="n">
        <f aca="false">COUNTIFS(Data!$B$2:$B$2284,$A144,Data!$H$2:$H$2284,"Customer")</f>
        <v>1</v>
      </c>
      <c r="E144" s="14" t="n">
        <f aca="false">COUNTIFS(Data!$B$2:$B$2284,$A144,Data!$H$2:$H$2284,"Comcast Process/Tools")</f>
        <v>4</v>
      </c>
      <c r="F144" s="14" t="n">
        <f aca="false">COUNTIFS(Data!$B$2:$B$2284,$A144,Data!$H$2:$H$2284,"No Audio Found on I3")</f>
        <v>1</v>
      </c>
      <c r="G144" s="14" t="n">
        <f aca="false">COUNTIFS(Data!$B$2:$B$2284,$A144,Data!$H$2:$H$2284,"VXI Process/Tools")</f>
        <v>0</v>
      </c>
      <c r="H144" s="18" t="n">
        <f aca="false">IF(B144=0,0,C144/B144)</f>
        <v>0.739130434782609</v>
      </c>
      <c r="I144" s="18" t="n">
        <f aca="false">IF(B144=0,0,E144/B144)</f>
        <v>0.173913043478261</v>
      </c>
      <c r="J144" s="18" t="n">
        <f aca="false">IF(B144=0,0,F144/B144)</f>
        <v>0.0434782608695652</v>
      </c>
      <c r="K144" s="28" t="n">
        <f aca="false">B144-B145</f>
        <v>10</v>
      </c>
      <c r="L144" s="29" t="n">
        <f aca="false">(H144-H145)*100</f>
        <v>27.7591973244147</v>
      </c>
      <c r="M144" s="14" t="n">
        <f aca="false">COUNTIFS(Data!$B$2:$B$2284,$A144,Data!$D$2:$D$2284,"Omar.Mansour@vxi.com")</f>
        <v>0</v>
      </c>
      <c r="N144" s="14" t="n">
        <v>3</v>
      </c>
    </row>
    <row r="145" customFormat="false" ht="15" hidden="false" customHeight="false" outlineLevel="0" collapsed="false">
      <c r="A145" s="23" t="n">
        <v>46147</v>
      </c>
      <c r="B145" s="30" t="n">
        <f aca="false">COUNTIFS(Data!$B$2:$B$2284,$A145)</f>
        <v>13</v>
      </c>
      <c r="C145" s="15" t="n">
        <f aca="false">COUNTIFS(Data!$B$2:$B$2284,$A145,Data!$H$2:$H$2284,"Agent Opportunity")</f>
        <v>6</v>
      </c>
      <c r="D145" s="15" t="n">
        <f aca="false">COUNTIFS(Data!$B$2:$B$2284,$A145,Data!$H$2:$H$2284,"Customer")</f>
        <v>2</v>
      </c>
      <c r="E145" s="15" t="n">
        <f aca="false">COUNTIFS(Data!$B$2:$B$2284,$A145,Data!$H$2:$H$2284,"Comcast Process/Tools")</f>
        <v>3</v>
      </c>
      <c r="F145" s="15" t="n">
        <f aca="false">COUNTIFS(Data!$B$2:$B$2284,$A145,Data!$H$2:$H$2284,"No Audio Found on I3")</f>
        <v>1</v>
      </c>
      <c r="G145" s="15" t="n">
        <f aca="false">COUNTIFS(Data!$B$2:$B$2284,$A145,Data!$H$2:$H$2284,"VXI Process/Tools")</f>
        <v>1</v>
      </c>
      <c r="H145" s="16" t="n">
        <f aca="false">IF(B145=0,0,C145/B145)</f>
        <v>0.461538461538462</v>
      </c>
      <c r="I145" s="16" t="n">
        <f aca="false">IF(B145=0,0,E145/B145)</f>
        <v>0.230769230769231</v>
      </c>
      <c r="J145" s="16" t="n">
        <f aca="false">IF(B145=0,0,F145/B145)</f>
        <v>0.0769230769230769</v>
      </c>
      <c r="K145" s="31" t="n">
        <f aca="false">B145-B146</f>
        <v>8</v>
      </c>
      <c r="L145" s="32" t="n">
        <f aca="false">(H145-H146)*100</f>
        <v>-53.8461538461539</v>
      </c>
      <c r="M145" s="15" t="n">
        <f aca="false">COUNTIFS(Data!$B$2:$B$2284,$A145,Data!$D$2:$D$2284,"Omar.Mansour@vxi.com")</f>
        <v>0</v>
      </c>
      <c r="N145" s="15" t="n">
        <v>4</v>
      </c>
    </row>
    <row r="146" customFormat="false" ht="15" hidden="false" customHeight="false" outlineLevel="0" collapsed="false">
      <c r="A146" s="22" t="n">
        <v>46146</v>
      </c>
      <c r="B146" s="27" t="n">
        <f aca="false">COUNTIFS(Data!$B$2:$B$2284,$A146)</f>
        <v>5</v>
      </c>
      <c r="C146" s="14" t="n">
        <f aca="false">COUNTIFS(Data!$B$2:$B$2284,$A146,Data!$H$2:$H$2284,"Agent Opportunity")</f>
        <v>5</v>
      </c>
      <c r="D146" s="14" t="n">
        <f aca="false">COUNTIFS(Data!$B$2:$B$2284,$A146,Data!$H$2:$H$2284,"Customer")</f>
        <v>0</v>
      </c>
      <c r="E146" s="14" t="n">
        <f aca="false">COUNTIFS(Data!$B$2:$B$2284,$A146,Data!$H$2:$H$2284,"Comcast Process/Tools")</f>
        <v>0</v>
      </c>
      <c r="F146" s="14" t="n">
        <f aca="false">COUNTIFS(Data!$B$2:$B$2284,$A146,Data!$H$2:$H$2284,"No Audio Found on I3")</f>
        <v>0</v>
      </c>
      <c r="G146" s="14" t="n">
        <f aca="false">COUNTIFS(Data!$B$2:$B$2284,$A146,Data!$H$2:$H$2284,"VXI Process/Tools")</f>
        <v>0</v>
      </c>
      <c r="H146" s="18" t="n">
        <f aca="false">IF(B146=0,0,C146/B146)</f>
        <v>1</v>
      </c>
      <c r="I146" s="18" t="n">
        <f aca="false">IF(B146=0,0,E146/B146)</f>
        <v>0</v>
      </c>
      <c r="J146" s="18" t="n">
        <f aca="false">IF(B146=0,0,F146/B146)</f>
        <v>0</v>
      </c>
      <c r="K146" s="28" t="n">
        <f aca="false">B146-B147</f>
        <v>3</v>
      </c>
      <c r="L146" s="29" t="n">
        <f aca="false">(H146-H147)*100</f>
        <v>50</v>
      </c>
      <c r="M146" s="14" t="n">
        <f aca="false">COUNTIFS(Data!$B$2:$B$2284,$A146,Data!$D$2:$D$2284,"Omar.Mansour@vxi.com")</f>
        <v>0</v>
      </c>
      <c r="N146" s="14" t="n">
        <v>1</v>
      </c>
    </row>
    <row r="147" customFormat="false" ht="15" hidden="false" customHeight="false" outlineLevel="0" collapsed="false">
      <c r="A147" s="23" t="n">
        <v>46143</v>
      </c>
      <c r="B147" s="30" t="n">
        <f aca="false">COUNTIFS(Data!$B$2:$B$2284,$A147)</f>
        <v>2</v>
      </c>
      <c r="C147" s="15" t="n">
        <f aca="false">COUNTIFS(Data!$B$2:$B$2284,$A147,Data!$H$2:$H$2284,"Agent Opportunity")</f>
        <v>1</v>
      </c>
      <c r="D147" s="15" t="n">
        <f aca="false">COUNTIFS(Data!$B$2:$B$2284,$A147,Data!$H$2:$H$2284,"Customer")</f>
        <v>1</v>
      </c>
      <c r="E147" s="15" t="n">
        <f aca="false">COUNTIFS(Data!$B$2:$B$2284,$A147,Data!$H$2:$H$2284,"Comcast Process/Tools")</f>
        <v>0</v>
      </c>
      <c r="F147" s="15" t="n">
        <f aca="false">COUNTIFS(Data!$B$2:$B$2284,$A147,Data!$H$2:$H$2284,"No Audio Found on I3")</f>
        <v>0</v>
      </c>
      <c r="G147" s="15" t="n">
        <f aca="false">COUNTIFS(Data!$B$2:$B$2284,$A147,Data!$H$2:$H$2284,"VXI Process/Tools")</f>
        <v>0</v>
      </c>
      <c r="H147" s="16" t="n">
        <f aca="false">IF(B147=0,0,C147/B147)</f>
        <v>0.5</v>
      </c>
      <c r="I147" s="16" t="n">
        <f aca="false">IF(B147=0,0,E147/B147)</f>
        <v>0</v>
      </c>
      <c r="J147" s="16" t="n">
        <f aca="false">IF(B147=0,0,F147/B147)</f>
        <v>0</v>
      </c>
      <c r="K147" s="31" t="n">
        <f aca="false">B147-B148</f>
        <v>0</v>
      </c>
      <c r="L147" s="32" t="n">
        <f aca="false">(H147-H148)*100</f>
        <v>-50</v>
      </c>
      <c r="M147" s="15" t="n">
        <f aca="false">COUNTIFS(Data!$B$2:$B$2284,$A147,Data!$D$2:$D$2284,"Omar.Mansour@vxi.com")</f>
        <v>0</v>
      </c>
      <c r="N147" s="15" t="n">
        <v>1</v>
      </c>
    </row>
    <row r="148" customFormat="false" ht="15" hidden="false" customHeight="false" outlineLevel="0" collapsed="false">
      <c r="A148" s="22" t="n">
        <v>46142</v>
      </c>
      <c r="B148" s="27" t="n">
        <f aca="false">COUNTIFS(Data!$B$2:$B$2284,$A148)</f>
        <v>2</v>
      </c>
      <c r="C148" s="14" t="n">
        <f aca="false">COUNTIFS(Data!$B$2:$B$2284,$A148,Data!$H$2:$H$2284,"Agent Opportunity")</f>
        <v>2</v>
      </c>
      <c r="D148" s="14" t="n">
        <f aca="false">COUNTIFS(Data!$B$2:$B$2284,$A148,Data!$H$2:$H$2284,"Customer")</f>
        <v>0</v>
      </c>
      <c r="E148" s="14" t="n">
        <f aca="false">COUNTIFS(Data!$B$2:$B$2284,$A148,Data!$H$2:$H$2284,"Comcast Process/Tools")</f>
        <v>0</v>
      </c>
      <c r="F148" s="14" t="n">
        <f aca="false">COUNTIFS(Data!$B$2:$B$2284,$A148,Data!$H$2:$H$2284,"No Audio Found on I3")</f>
        <v>0</v>
      </c>
      <c r="G148" s="14" t="n">
        <f aca="false">COUNTIFS(Data!$B$2:$B$2284,$A148,Data!$H$2:$H$2284,"VXI Process/Tools")</f>
        <v>0</v>
      </c>
      <c r="H148" s="18" t="n">
        <f aca="false">IF(B148=0,0,C148/B148)</f>
        <v>1</v>
      </c>
      <c r="I148" s="18" t="n">
        <f aca="false">IF(B148=0,0,E148/B148)</f>
        <v>0</v>
      </c>
      <c r="J148" s="18" t="n">
        <f aca="false">IF(B148=0,0,F148/B148)</f>
        <v>0</v>
      </c>
      <c r="K148" s="28" t="n">
        <f aca="false">B148-B149</f>
        <v>1</v>
      </c>
      <c r="L148" s="29" t="n">
        <f aca="false">(H148-H149)*100</f>
        <v>0</v>
      </c>
      <c r="M148" s="14" t="n">
        <f aca="false">COUNTIFS(Data!$B$2:$B$2284,$A148,Data!$D$2:$D$2284,"Omar.Mansour@vxi.com")</f>
        <v>0</v>
      </c>
      <c r="N148" s="14" t="n">
        <v>1</v>
      </c>
    </row>
    <row r="149" customFormat="false" ht="15" hidden="false" customHeight="false" outlineLevel="0" collapsed="false">
      <c r="A149" s="23" t="n">
        <v>46141</v>
      </c>
      <c r="B149" s="30" t="n">
        <f aca="false">COUNTIFS(Data!$B$2:$B$2284,$A149)</f>
        <v>1</v>
      </c>
      <c r="C149" s="15" t="n">
        <f aca="false">COUNTIFS(Data!$B$2:$B$2284,$A149,Data!$H$2:$H$2284,"Agent Opportunity")</f>
        <v>1</v>
      </c>
      <c r="D149" s="15" t="n">
        <f aca="false">COUNTIFS(Data!$B$2:$B$2284,$A149,Data!$H$2:$H$2284,"Customer")</f>
        <v>0</v>
      </c>
      <c r="E149" s="15" t="n">
        <f aca="false">COUNTIFS(Data!$B$2:$B$2284,$A149,Data!$H$2:$H$2284,"Comcast Process/Tools")</f>
        <v>0</v>
      </c>
      <c r="F149" s="15" t="n">
        <f aca="false">COUNTIFS(Data!$B$2:$B$2284,$A149,Data!$H$2:$H$2284,"No Audio Found on I3")</f>
        <v>0</v>
      </c>
      <c r="G149" s="15" t="n">
        <f aca="false">COUNTIFS(Data!$B$2:$B$2284,$A149,Data!$H$2:$H$2284,"VXI Process/Tools")</f>
        <v>0</v>
      </c>
      <c r="H149" s="16" t="n">
        <f aca="false">IF(B149=0,0,C149/B149)</f>
        <v>1</v>
      </c>
      <c r="I149" s="16" t="n">
        <f aca="false">IF(B149=0,0,E149/B149)</f>
        <v>0</v>
      </c>
      <c r="J149" s="16" t="n">
        <f aca="false">IF(B149=0,0,F149/B149)</f>
        <v>0</v>
      </c>
      <c r="K149" s="31" t="n">
        <f aca="false">B149-B150</f>
        <v>-3</v>
      </c>
      <c r="L149" s="32" t="n">
        <f aca="false">(H149-H150)*100</f>
        <v>25</v>
      </c>
      <c r="M149" s="15" t="n">
        <f aca="false">COUNTIFS(Data!$B$2:$B$2284,$A149,Data!$D$2:$D$2284,"Omar.Mansour@vxi.com")</f>
        <v>0</v>
      </c>
      <c r="N149" s="15" t="n">
        <v>1</v>
      </c>
    </row>
    <row r="150" customFormat="false" ht="15" hidden="false" customHeight="false" outlineLevel="0" collapsed="false">
      <c r="A150" s="22" t="n">
        <v>46140</v>
      </c>
      <c r="B150" s="27" t="n">
        <f aca="false">COUNTIFS(Data!$B$2:$B$2284,$A150)</f>
        <v>4</v>
      </c>
      <c r="C150" s="14" t="n">
        <f aca="false">COUNTIFS(Data!$B$2:$B$2284,$A150,Data!$H$2:$H$2284,"Agent Opportunity")</f>
        <v>3</v>
      </c>
      <c r="D150" s="14" t="n">
        <f aca="false">COUNTIFS(Data!$B$2:$B$2284,$A150,Data!$H$2:$H$2284,"Customer")</f>
        <v>0</v>
      </c>
      <c r="E150" s="14" t="n">
        <f aca="false">COUNTIFS(Data!$B$2:$B$2284,$A150,Data!$H$2:$H$2284,"Comcast Process/Tools")</f>
        <v>0</v>
      </c>
      <c r="F150" s="14" t="n">
        <f aca="false">COUNTIFS(Data!$B$2:$B$2284,$A150,Data!$H$2:$H$2284,"No Audio Found on I3")</f>
        <v>1</v>
      </c>
      <c r="G150" s="14" t="n">
        <f aca="false">COUNTIFS(Data!$B$2:$B$2284,$A150,Data!$H$2:$H$2284,"VXI Process/Tools")</f>
        <v>0</v>
      </c>
      <c r="H150" s="18" t="n">
        <f aca="false">IF(B150=0,0,C150/B150)</f>
        <v>0.75</v>
      </c>
      <c r="I150" s="18" t="n">
        <f aca="false">IF(B150=0,0,E150/B150)</f>
        <v>0</v>
      </c>
      <c r="J150" s="18" t="n">
        <f aca="false">IF(B150=0,0,F150/B150)</f>
        <v>0.25</v>
      </c>
      <c r="K150" s="28" t="n">
        <f aca="false">B150-B151</f>
        <v>-4</v>
      </c>
      <c r="L150" s="29" t="n">
        <f aca="false">(H150-H151)*100</f>
        <v>25</v>
      </c>
      <c r="M150" s="14" t="n">
        <f aca="false">COUNTIFS(Data!$B$2:$B$2284,$A150,Data!$D$2:$D$2284,"Omar.Mansour@vxi.com")</f>
        <v>0</v>
      </c>
      <c r="N150" s="14" t="n">
        <v>2</v>
      </c>
    </row>
    <row r="151" customFormat="false" ht="15" hidden="false" customHeight="false" outlineLevel="0" collapsed="false">
      <c r="A151" s="23" t="n">
        <v>46139</v>
      </c>
      <c r="B151" s="30" t="n">
        <f aca="false">COUNTIFS(Data!$B$2:$B$2284,$A151)</f>
        <v>8</v>
      </c>
      <c r="C151" s="15" t="n">
        <f aca="false">COUNTIFS(Data!$B$2:$B$2284,$A151,Data!$H$2:$H$2284,"Agent Opportunity")</f>
        <v>4</v>
      </c>
      <c r="D151" s="15" t="n">
        <f aca="false">COUNTIFS(Data!$B$2:$B$2284,$A151,Data!$H$2:$H$2284,"Customer")</f>
        <v>0</v>
      </c>
      <c r="E151" s="15" t="n">
        <f aca="false">COUNTIFS(Data!$B$2:$B$2284,$A151,Data!$H$2:$H$2284,"Comcast Process/Tools")</f>
        <v>2</v>
      </c>
      <c r="F151" s="15" t="n">
        <f aca="false">COUNTIFS(Data!$B$2:$B$2284,$A151,Data!$H$2:$H$2284,"No Audio Found on I3")</f>
        <v>2</v>
      </c>
      <c r="G151" s="15" t="n">
        <f aca="false">COUNTIFS(Data!$B$2:$B$2284,$A151,Data!$H$2:$H$2284,"VXI Process/Tools")</f>
        <v>0</v>
      </c>
      <c r="H151" s="16" t="n">
        <f aca="false">IF(B151=0,0,C151/B151)</f>
        <v>0.5</v>
      </c>
      <c r="I151" s="16" t="n">
        <f aca="false">IF(B151=0,0,E151/B151)</f>
        <v>0.25</v>
      </c>
      <c r="J151" s="16" t="n">
        <f aca="false">IF(B151=0,0,F151/B151)</f>
        <v>0.25</v>
      </c>
      <c r="K151" s="31" t="n">
        <f aca="false">B151-B152</f>
        <v>-1</v>
      </c>
      <c r="L151" s="32" t="n">
        <f aca="false">(H151-H152)*100</f>
        <v>-5.55555555555556</v>
      </c>
      <c r="M151" s="15" t="n">
        <f aca="false">COUNTIFS(Data!$B$2:$B$2284,$A151,Data!$D$2:$D$2284,"Omar.Mansour@vxi.com")</f>
        <v>0</v>
      </c>
      <c r="N151" s="15" t="n">
        <v>2</v>
      </c>
    </row>
    <row r="152" customFormat="false" ht="15" hidden="false" customHeight="false" outlineLevel="0" collapsed="false">
      <c r="A152" s="22" t="n">
        <v>46135</v>
      </c>
      <c r="B152" s="27" t="n">
        <f aca="false">COUNTIFS(Data!$B$2:$B$2284,$A152)</f>
        <v>9</v>
      </c>
      <c r="C152" s="14" t="n">
        <f aca="false">COUNTIFS(Data!$B$2:$B$2284,$A152,Data!$H$2:$H$2284,"Agent Opportunity")</f>
        <v>5</v>
      </c>
      <c r="D152" s="14" t="n">
        <f aca="false">COUNTIFS(Data!$B$2:$B$2284,$A152,Data!$H$2:$H$2284,"Customer")</f>
        <v>2</v>
      </c>
      <c r="E152" s="14" t="n">
        <f aca="false">COUNTIFS(Data!$B$2:$B$2284,$A152,Data!$H$2:$H$2284,"Comcast Process/Tools")</f>
        <v>2</v>
      </c>
      <c r="F152" s="14" t="n">
        <f aca="false">COUNTIFS(Data!$B$2:$B$2284,$A152,Data!$H$2:$H$2284,"No Audio Found on I3")</f>
        <v>0</v>
      </c>
      <c r="G152" s="14" t="n">
        <f aca="false">COUNTIFS(Data!$B$2:$B$2284,$A152,Data!$H$2:$H$2284,"VXI Process/Tools")</f>
        <v>0</v>
      </c>
      <c r="H152" s="18" t="n">
        <f aca="false">IF(B152=0,0,C152/B152)</f>
        <v>0.555555555555556</v>
      </c>
      <c r="I152" s="18" t="n">
        <f aca="false">IF(B152=0,0,E152/B152)</f>
        <v>0.222222222222222</v>
      </c>
      <c r="J152" s="18" t="n">
        <f aca="false">IF(B152=0,0,F152/B152)</f>
        <v>0</v>
      </c>
      <c r="K152" s="28" t="n">
        <f aca="false">B152-B153</f>
        <v>-2</v>
      </c>
      <c r="L152" s="29" t="n">
        <f aca="false">(H152-H153)*100</f>
        <v>1.01010101010102</v>
      </c>
      <c r="M152" s="14" t="n">
        <f aca="false">COUNTIFS(Data!$B$2:$B$2284,$A152,Data!$D$2:$D$2284,"Omar.Mansour@vxi.com")</f>
        <v>0</v>
      </c>
      <c r="N152" s="14" t="n">
        <v>3</v>
      </c>
    </row>
    <row r="153" customFormat="false" ht="15" hidden="false" customHeight="false" outlineLevel="0" collapsed="false">
      <c r="A153" s="23" t="n">
        <v>46134</v>
      </c>
      <c r="B153" s="30" t="n">
        <f aca="false">COUNTIFS(Data!$B$2:$B$2284,$A153)</f>
        <v>11</v>
      </c>
      <c r="C153" s="15" t="n">
        <f aca="false">COUNTIFS(Data!$B$2:$B$2284,$A153,Data!$H$2:$H$2284,"Agent Opportunity")</f>
        <v>6</v>
      </c>
      <c r="D153" s="15" t="n">
        <f aca="false">COUNTIFS(Data!$B$2:$B$2284,$A153,Data!$H$2:$H$2284,"Customer")</f>
        <v>2</v>
      </c>
      <c r="E153" s="15" t="n">
        <f aca="false">COUNTIFS(Data!$B$2:$B$2284,$A153,Data!$H$2:$H$2284,"Comcast Process/Tools")</f>
        <v>1</v>
      </c>
      <c r="F153" s="15" t="n">
        <f aca="false">COUNTIFS(Data!$B$2:$B$2284,$A153,Data!$H$2:$H$2284,"No Audio Found on I3")</f>
        <v>1</v>
      </c>
      <c r="G153" s="15" t="n">
        <f aca="false">COUNTIFS(Data!$B$2:$B$2284,$A153,Data!$H$2:$H$2284,"VXI Process/Tools")</f>
        <v>1</v>
      </c>
      <c r="H153" s="16" t="n">
        <f aca="false">IF(B153=0,0,C153/B153)</f>
        <v>0.545454545454545</v>
      </c>
      <c r="I153" s="16" t="n">
        <f aca="false">IF(B153=0,0,E153/B153)</f>
        <v>0.0909090909090909</v>
      </c>
      <c r="J153" s="16" t="n">
        <f aca="false">IF(B153=0,0,F153/B153)</f>
        <v>0.0909090909090909</v>
      </c>
      <c r="K153" s="31" t="n">
        <f aca="false">B153-B154</f>
        <v>-3</v>
      </c>
      <c r="L153" s="32" t="n">
        <f aca="false">(H153-H154)*100</f>
        <v>18.8311688311688</v>
      </c>
      <c r="M153" s="15" t="n">
        <f aca="false">COUNTIFS(Data!$B$2:$B$2284,$A153,Data!$D$2:$D$2284,"Omar.Mansour@vxi.com")</f>
        <v>0</v>
      </c>
      <c r="N153" s="15" t="n">
        <v>4</v>
      </c>
    </row>
    <row r="154" customFormat="false" ht="15" hidden="false" customHeight="false" outlineLevel="0" collapsed="false">
      <c r="A154" s="22" t="n">
        <v>46133</v>
      </c>
      <c r="B154" s="27" t="n">
        <f aca="false">COUNTIFS(Data!$B$2:$B$2284,$A154)</f>
        <v>14</v>
      </c>
      <c r="C154" s="14" t="n">
        <f aca="false">COUNTIFS(Data!$B$2:$B$2284,$A154,Data!$H$2:$H$2284,"Agent Opportunity")</f>
        <v>5</v>
      </c>
      <c r="D154" s="14" t="n">
        <f aca="false">COUNTIFS(Data!$B$2:$B$2284,$A154,Data!$H$2:$H$2284,"Customer")</f>
        <v>1</v>
      </c>
      <c r="E154" s="14" t="n">
        <f aca="false">COUNTIFS(Data!$B$2:$B$2284,$A154,Data!$H$2:$H$2284,"Comcast Process/Tools")</f>
        <v>5</v>
      </c>
      <c r="F154" s="14" t="n">
        <f aca="false">COUNTIFS(Data!$B$2:$B$2284,$A154,Data!$H$2:$H$2284,"No Audio Found on I3")</f>
        <v>3</v>
      </c>
      <c r="G154" s="14" t="n">
        <f aca="false">COUNTIFS(Data!$B$2:$B$2284,$A154,Data!$H$2:$H$2284,"VXI Process/Tools")</f>
        <v>0</v>
      </c>
      <c r="H154" s="18" t="n">
        <f aca="false">IF(B154=0,0,C154/B154)</f>
        <v>0.357142857142857</v>
      </c>
      <c r="I154" s="18" t="n">
        <f aca="false">IF(B154=0,0,E154/B154)</f>
        <v>0.357142857142857</v>
      </c>
      <c r="J154" s="18" t="n">
        <f aca="false">IF(B154=0,0,F154/B154)</f>
        <v>0.214285714285714</v>
      </c>
      <c r="K154" s="28" t="n">
        <f aca="false">B154-B155</f>
        <v>-6</v>
      </c>
      <c r="L154" s="29" t="n">
        <f aca="false">(H154-H155)*100</f>
        <v>-14.2857142857143</v>
      </c>
      <c r="M154" s="14" t="n">
        <f aca="false">COUNTIFS(Data!$B$2:$B$2284,$A154,Data!$D$2:$D$2284,"Omar.Mansour@vxi.com")</f>
        <v>0</v>
      </c>
      <c r="N154" s="14" t="n">
        <v>4</v>
      </c>
    </row>
    <row r="155" customFormat="false" ht="15" hidden="false" customHeight="false" outlineLevel="0" collapsed="false">
      <c r="A155" s="23" t="n">
        <v>46132</v>
      </c>
      <c r="B155" s="30" t="n">
        <f aca="false">COUNTIFS(Data!$B$2:$B$2284,$A155)</f>
        <v>20</v>
      </c>
      <c r="C155" s="15" t="n">
        <f aca="false">COUNTIFS(Data!$B$2:$B$2284,$A155,Data!$H$2:$H$2284,"Agent Opportunity")</f>
        <v>10</v>
      </c>
      <c r="D155" s="15" t="n">
        <f aca="false">COUNTIFS(Data!$B$2:$B$2284,$A155,Data!$H$2:$H$2284,"Customer")</f>
        <v>2</v>
      </c>
      <c r="E155" s="15" t="n">
        <f aca="false">COUNTIFS(Data!$B$2:$B$2284,$A155,Data!$H$2:$H$2284,"Comcast Process/Tools")</f>
        <v>3</v>
      </c>
      <c r="F155" s="15" t="n">
        <f aca="false">COUNTIFS(Data!$B$2:$B$2284,$A155,Data!$H$2:$H$2284,"No Audio Found on I3")</f>
        <v>5</v>
      </c>
      <c r="G155" s="15" t="n">
        <f aca="false">COUNTIFS(Data!$B$2:$B$2284,$A155,Data!$H$2:$H$2284,"VXI Process/Tools")</f>
        <v>0</v>
      </c>
      <c r="H155" s="16" t="n">
        <f aca="false">IF(B155=0,0,C155/B155)</f>
        <v>0.5</v>
      </c>
      <c r="I155" s="16" t="n">
        <f aca="false">IF(B155=0,0,E155/B155)</f>
        <v>0.15</v>
      </c>
      <c r="J155" s="16" t="n">
        <f aca="false">IF(B155=0,0,F155/B155)</f>
        <v>0.25</v>
      </c>
      <c r="K155" s="31" t="n">
        <f aca="false">B155-B156</f>
        <v>0</v>
      </c>
      <c r="L155" s="32" t="n">
        <f aca="false">(H155-H156)*100</f>
        <v>10</v>
      </c>
      <c r="M155" s="15" t="n">
        <f aca="false">COUNTIFS(Data!$B$2:$B$2284,$A155,Data!$D$2:$D$2284,"Omar.Mansour@vxi.com")</f>
        <v>0</v>
      </c>
      <c r="N155" s="15" t="n">
        <v>6</v>
      </c>
    </row>
    <row r="156" customFormat="false" ht="15" hidden="false" customHeight="false" outlineLevel="0" collapsed="false">
      <c r="A156" s="22" t="n">
        <v>46129</v>
      </c>
      <c r="B156" s="27" t="n">
        <f aca="false">COUNTIFS(Data!$B$2:$B$2284,$A156)</f>
        <v>20</v>
      </c>
      <c r="C156" s="14" t="n">
        <f aca="false">COUNTIFS(Data!$B$2:$B$2284,$A156,Data!$H$2:$H$2284,"Agent Opportunity")</f>
        <v>8</v>
      </c>
      <c r="D156" s="14" t="n">
        <f aca="false">COUNTIFS(Data!$B$2:$B$2284,$A156,Data!$H$2:$H$2284,"Customer")</f>
        <v>2</v>
      </c>
      <c r="E156" s="14" t="n">
        <f aca="false">COUNTIFS(Data!$B$2:$B$2284,$A156,Data!$H$2:$H$2284,"Comcast Process/Tools")</f>
        <v>6</v>
      </c>
      <c r="F156" s="14" t="n">
        <f aca="false">COUNTIFS(Data!$B$2:$B$2284,$A156,Data!$H$2:$H$2284,"No Audio Found on I3")</f>
        <v>4</v>
      </c>
      <c r="G156" s="14" t="n">
        <f aca="false">COUNTIFS(Data!$B$2:$B$2284,$A156,Data!$H$2:$H$2284,"VXI Process/Tools")</f>
        <v>0</v>
      </c>
      <c r="H156" s="18" t="n">
        <f aca="false">IF(B156=0,0,C156/B156)</f>
        <v>0.4</v>
      </c>
      <c r="I156" s="18" t="n">
        <f aca="false">IF(B156=0,0,E156/B156)</f>
        <v>0.3</v>
      </c>
      <c r="J156" s="18" t="n">
        <f aca="false">IF(B156=0,0,F156/B156)</f>
        <v>0.2</v>
      </c>
      <c r="K156" s="28" t="n">
        <f aca="false">B156-B157</f>
        <v>2</v>
      </c>
      <c r="L156" s="29" t="n">
        <f aca="false">(H156-H157)*100</f>
        <v>-37.7777777777778</v>
      </c>
      <c r="M156" s="14" t="n">
        <f aca="false">COUNTIFS(Data!$B$2:$B$2284,$A156,Data!$D$2:$D$2284,"Omar.Mansour@vxi.com")</f>
        <v>0</v>
      </c>
      <c r="N156" s="14" t="n">
        <v>4</v>
      </c>
    </row>
    <row r="157" customFormat="false" ht="15" hidden="false" customHeight="false" outlineLevel="0" collapsed="false">
      <c r="A157" s="23" t="n">
        <v>46128</v>
      </c>
      <c r="B157" s="30" t="n">
        <f aca="false">COUNTIFS(Data!$B$2:$B$2284,$A157)</f>
        <v>18</v>
      </c>
      <c r="C157" s="15" t="n">
        <f aca="false">COUNTIFS(Data!$B$2:$B$2284,$A157,Data!$H$2:$H$2284,"Agent Opportunity")</f>
        <v>14</v>
      </c>
      <c r="D157" s="15" t="n">
        <f aca="false">COUNTIFS(Data!$B$2:$B$2284,$A157,Data!$H$2:$H$2284,"Customer")</f>
        <v>1</v>
      </c>
      <c r="E157" s="15" t="n">
        <f aca="false">COUNTIFS(Data!$B$2:$B$2284,$A157,Data!$H$2:$H$2284,"Comcast Process/Tools")</f>
        <v>3</v>
      </c>
      <c r="F157" s="15" t="n">
        <f aca="false">COUNTIFS(Data!$B$2:$B$2284,$A157,Data!$H$2:$H$2284,"No Audio Found on I3")</f>
        <v>0</v>
      </c>
      <c r="G157" s="15" t="n">
        <f aca="false">COUNTIFS(Data!$B$2:$B$2284,$A157,Data!$H$2:$H$2284,"VXI Process/Tools")</f>
        <v>0</v>
      </c>
      <c r="H157" s="16" t="n">
        <f aca="false">IF(B157=0,0,C157/B157)</f>
        <v>0.777777777777778</v>
      </c>
      <c r="I157" s="16" t="n">
        <f aca="false">IF(B157=0,0,E157/B157)</f>
        <v>0.166666666666667</v>
      </c>
      <c r="J157" s="16" t="n">
        <f aca="false">IF(B157=0,0,F157/B157)</f>
        <v>0</v>
      </c>
      <c r="K157" s="31" t="n">
        <f aca="false">B157-B158</f>
        <v>5</v>
      </c>
      <c r="L157" s="32" t="n">
        <f aca="false">(H157-H158)*100</f>
        <v>0.854700854700852</v>
      </c>
      <c r="M157" s="15" t="n">
        <f aca="false">COUNTIFS(Data!$B$2:$B$2284,$A157,Data!$D$2:$D$2284,"Omar.Mansour@vxi.com")</f>
        <v>0</v>
      </c>
      <c r="N157" s="15" t="n">
        <v>4</v>
      </c>
    </row>
    <row r="158" customFormat="false" ht="15" hidden="false" customHeight="false" outlineLevel="0" collapsed="false">
      <c r="A158" s="22" t="n">
        <v>46127</v>
      </c>
      <c r="B158" s="27" t="n">
        <f aca="false">COUNTIFS(Data!$B$2:$B$2284,$A158)</f>
        <v>13</v>
      </c>
      <c r="C158" s="14" t="n">
        <f aca="false">COUNTIFS(Data!$B$2:$B$2284,$A158,Data!$H$2:$H$2284,"Agent Opportunity")</f>
        <v>10</v>
      </c>
      <c r="D158" s="14" t="n">
        <f aca="false">COUNTIFS(Data!$B$2:$B$2284,$A158,Data!$H$2:$H$2284,"Customer")</f>
        <v>1</v>
      </c>
      <c r="E158" s="14" t="n">
        <f aca="false">COUNTIFS(Data!$B$2:$B$2284,$A158,Data!$H$2:$H$2284,"Comcast Process/Tools")</f>
        <v>2</v>
      </c>
      <c r="F158" s="14" t="n">
        <f aca="false">COUNTIFS(Data!$B$2:$B$2284,$A158,Data!$H$2:$H$2284,"No Audio Found on I3")</f>
        <v>0</v>
      </c>
      <c r="G158" s="14" t="n">
        <f aca="false">COUNTIFS(Data!$B$2:$B$2284,$A158,Data!$H$2:$H$2284,"VXI Process/Tools")</f>
        <v>0</v>
      </c>
      <c r="H158" s="18" t="n">
        <f aca="false">IF(B158=0,0,C158/B158)</f>
        <v>0.769230769230769</v>
      </c>
      <c r="I158" s="18" t="n">
        <f aca="false">IF(B158=0,0,E158/B158)</f>
        <v>0.153846153846154</v>
      </c>
      <c r="J158" s="18" t="n">
        <f aca="false">IF(B158=0,0,F158/B158)</f>
        <v>0</v>
      </c>
      <c r="K158" s="28" t="n">
        <f aca="false">B158-B159</f>
        <v>-11</v>
      </c>
      <c r="L158" s="29" t="n">
        <f aca="false">(H158-H159)*100</f>
        <v>22.7564102564103</v>
      </c>
      <c r="M158" s="14" t="n">
        <f aca="false">COUNTIFS(Data!$B$2:$B$2284,$A158,Data!$D$2:$D$2284,"Omar.Mansour@vxi.com")</f>
        <v>0</v>
      </c>
      <c r="N158" s="14" t="n">
        <v>5</v>
      </c>
    </row>
    <row r="159" customFormat="false" ht="15" hidden="false" customHeight="false" outlineLevel="0" collapsed="false">
      <c r="A159" s="23" t="n">
        <v>46126</v>
      </c>
      <c r="B159" s="30" t="n">
        <f aca="false">COUNTIFS(Data!$B$2:$B$2284,$A159)</f>
        <v>24</v>
      </c>
      <c r="C159" s="15" t="n">
        <f aca="false">COUNTIFS(Data!$B$2:$B$2284,$A159,Data!$H$2:$H$2284,"Agent Opportunity")</f>
        <v>13</v>
      </c>
      <c r="D159" s="15" t="n">
        <f aca="false">COUNTIFS(Data!$B$2:$B$2284,$A159,Data!$H$2:$H$2284,"Customer")</f>
        <v>4</v>
      </c>
      <c r="E159" s="15" t="n">
        <f aca="false">COUNTIFS(Data!$B$2:$B$2284,$A159,Data!$H$2:$H$2284,"Comcast Process/Tools")</f>
        <v>3</v>
      </c>
      <c r="F159" s="15" t="n">
        <f aca="false">COUNTIFS(Data!$B$2:$B$2284,$A159,Data!$H$2:$H$2284,"No Audio Found on I3")</f>
        <v>4</v>
      </c>
      <c r="G159" s="15" t="n">
        <f aca="false">COUNTIFS(Data!$B$2:$B$2284,$A159,Data!$H$2:$H$2284,"VXI Process/Tools")</f>
        <v>0</v>
      </c>
      <c r="H159" s="16" t="n">
        <f aca="false">IF(B159=0,0,C159/B159)</f>
        <v>0.541666666666667</v>
      </c>
      <c r="I159" s="16" t="n">
        <f aca="false">IF(B159=0,0,E159/B159)</f>
        <v>0.125</v>
      </c>
      <c r="J159" s="16" t="n">
        <f aca="false">IF(B159=0,0,F159/B159)</f>
        <v>0.166666666666667</v>
      </c>
      <c r="K159" s="31" t="n">
        <f aca="false">B159-B160</f>
        <v>0</v>
      </c>
      <c r="L159" s="32" t="n">
        <f aca="false">(H159-H160)*100</f>
        <v>0</v>
      </c>
      <c r="M159" s="15" t="n">
        <f aca="false">COUNTIFS(Data!$B$2:$B$2284,$A159,Data!$D$2:$D$2284,"Omar.Mansour@vxi.com")</f>
        <v>0</v>
      </c>
      <c r="N159" s="15" t="n">
        <v>6</v>
      </c>
    </row>
    <row r="160" customFormat="false" ht="15" hidden="false" customHeight="false" outlineLevel="0" collapsed="false">
      <c r="A160" s="22" t="n">
        <v>46125</v>
      </c>
      <c r="B160" s="27" t="n">
        <f aca="false">COUNTIFS(Data!$B$2:$B$2284,$A160)</f>
        <v>24</v>
      </c>
      <c r="C160" s="14" t="n">
        <f aca="false">COUNTIFS(Data!$B$2:$B$2284,$A160,Data!$H$2:$H$2284,"Agent Opportunity")</f>
        <v>13</v>
      </c>
      <c r="D160" s="14" t="n">
        <f aca="false">COUNTIFS(Data!$B$2:$B$2284,$A160,Data!$H$2:$H$2284,"Customer")</f>
        <v>3</v>
      </c>
      <c r="E160" s="14" t="n">
        <f aca="false">COUNTIFS(Data!$B$2:$B$2284,$A160,Data!$H$2:$H$2284,"Comcast Process/Tools")</f>
        <v>6</v>
      </c>
      <c r="F160" s="14" t="n">
        <f aca="false">COUNTIFS(Data!$B$2:$B$2284,$A160,Data!$H$2:$H$2284,"No Audio Found on I3")</f>
        <v>1</v>
      </c>
      <c r="G160" s="14" t="n">
        <f aca="false">COUNTIFS(Data!$B$2:$B$2284,$A160,Data!$H$2:$H$2284,"VXI Process/Tools")</f>
        <v>1</v>
      </c>
      <c r="H160" s="18" t="n">
        <f aca="false">IF(B160=0,0,C160/B160)</f>
        <v>0.541666666666667</v>
      </c>
      <c r="I160" s="18" t="n">
        <f aca="false">IF(B160=0,0,E160/B160)</f>
        <v>0.25</v>
      </c>
      <c r="J160" s="18" t="n">
        <f aca="false">IF(B160=0,0,F160/B160)</f>
        <v>0.0416666666666667</v>
      </c>
      <c r="K160" s="28" t="n">
        <f aca="false">B160-B161</f>
        <v>20</v>
      </c>
      <c r="L160" s="29" t="n">
        <f aca="false">(H160-H161)*100</f>
        <v>29.1666666666667</v>
      </c>
      <c r="M160" s="14" t="n">
        <f aca="false">COUNTIFS(Data!$B$2:$B$2284,$A160,Data!$D$2:$D$2284,"Omar.Mansour@vxi.com")</f>
        <v>0</v>
      </c>
      <c r="N160" s="14" t="n">
        <v>5</v>
      </c>
    </row>
    <row r="161" customFormat="false" ht="15" hidden="false" customHeight="false" outlineLevel="0" collapsed="false">
      <c r="A161" s="23" t="n">
        <v>46123</v>
      </c>
      <c r="B161" s="30" t="n">
        <f aca="false">COUNTIFS(Data!$B$2:$B$2284,$A161)</f>
        <v>4</v>
      </c>
      <c r="C161" s="15" t="n">
        <f aca="false">COUNTIFS(Data!$B$2:$B$2284,$A161,Data!$H$2:$H$2284,"Agent Opportunity")</f>
        <v>1</v>
      </c>
      <c r="D161" s="15" t="n">
        <f aca="false">COUNTIFS(Data!$B$2:$B$2284,$A161,Data!$H$2:$H$2284,"Customer")</f>
        <v>2</v>
      </c>
      <c r="E161" s="15" t="n">
        <f aca="false">COUNTIFS(Data!$B$2:$B$2284,$A161,Data!$H$2:$H$2284,"Comcast Process/Tools")</f>
        <v>1</v>
      </c>
      <c r="F161" s="15" t="n">
        <f aca="false">COUNTIFS(Data!$B$2:$B$2284,$A161,Data!$H$2:$H$2284,"No Audio Found on I3")</f>
        <v>0</v>
      </c>
      <c r="G161" s="15" t="n">
        <f aca="false">COUNTIFS(Data!$B$2:$B$2284,$A161,Data!$H$2:$H$2284,"VXI Process/Tools")</f>
        <v>0</v>
      </c>
      <c r="H161" s="16" t="n">
        <f aca="false">IF(B161=0,0,C161/B161)</f>
        <v>0.25</v>
      </c>
      <c r="I161" s="16" t="n">
        <f aca="false">IF(B161=0,0,E161/B161)</f>
        <v>0.25</v>
      </c>
      <c r="J161" s="16" t="n">
        <f aca="false">IF(B161=0,0,F161/B161)</f>
        <v>0</v>
      </c>
      <c r="K161" s="31" t="n">
        <f aca="false">B161-B162</f>
        <v>-10</v>
      </c>
      <c r="L161" s="32" t="n">
        <f aca="false">(H161-H162)*100</f>
        <v>-10.7142857142857</v>
      </c>
      <c r="M161" s="15" t="n">
        <f aca="false">COUNTIFS(Data!$B$2:$B$2284,$A161,Data!$D$2:$D$2284,"Omar.Mansour@vxi.com")</f>
        <v>0</v>
      </c>
      <c r="N161" s="15" t="n">
        <v>1</v>
      </c>
    </row>
    <row r="162" customFormat="false" ht="15" hidden="false" customHeight="false" outlineLevel="0" collapsed="false">
      <c r="A162" s="22" t="n">
        <v>46122</v>
      </c>
      <c r="B162" s="27" t="n">
        <f aca="false">COUNTIFS(Data!$B$2:$B$2284,$A162)</f>
        <v>14</v>
      </c>
      <c r="C162" s="14" t="n">
        <f aca="false">COUNTIFS(Data!$B$2:$B$2284,$A162,Data!$H$2:$H$2284,"Agent Opportunity")</f>
        <v>5</v>
      </c>
      <c r="D162" s="14" t="n">
        <f aca="false">COUNTIFS(Data!$B$2:$B$2284,$A162,Data!$H$2:$H$2284,"Customer")</f>
        <v>1</v>
      </c>
      <c r="E162" s="14" t="n">
        <f aca="false">COUNTIFS(Data!$B$2:$B$2284,$A162,Data!$H$2:$H$2284,"Comcast Process/Tools")</f>
        <v>7</v>
      </c>
      <c r="F162" s="14" t="n">
        <f aca="false">COUNTIFS(Data!$B$2:$B$2284,$A162,Data!$H$2:$H$2284,"No Audio Found on I3")</f>
        <v>1</v>
      </c>
      <c r="G162" s="14" t="n">
        <f aca="false">COUNTIFS(Data!$B$2:$B$2284,$A162,Data!$H$2:$H$2284,"VXI Process/Tools")</f>
        <v>0</v>
      </c>
      <c r="H162" s="18" t="n">
        <f aca="false">IF(B162=0,0,C162/B162)</f>
        <v>0.357142857142857</v>
      </c>
      <c r="I162" s="18" t="n">
        <f aca="false">IF(B162=0,0,E162/B162)</f>
        <v>0.5</v>
      </c>
      <c r="J162" s="18" t="n">
        <f aca="false">IF(B162=0,0,F162/B162)</f>
        <v>0.0714285714285714</v>
      </c>
      <c r="K162" s="28" t="n">
        <f aca="false">B162-B163</f>
        <v>7</v>
      </c>
      <c r="L162" s="29" t="n">
        <f aca="false">(H162-H163)*100</f>
        <v>-35.7142857142857</v>
      </c>
      <c r="M162" s="14" t="n">
        <f aca="false">COUNTIFS(Data!$B$2:$B$2284,$A162,Data!$D$2:$D$2284,"Omar.Mansour@vxi.com")</f>
        <v>0</v>
      </c>
      <c r="N162" s="14" t="n">
        <v>4</v>
      </c>
    </row>
    <row r="163" customFormat="false" ht="15" hidden="false" customHeight="false" outlineLevel="0" collapsed="false">
      <c r="A163" s="23" t="n">
        <v>46121</v>
      </c>
      <c r="B163" s="30" t="n">
        <f aca="false">COUNTIFS(Data!$B$2:$B$2284,$A163)</f>
        <v>7</v>
      </c>
      <c r="C163" s="15" t="n">
        <f aca="false">COUNTIFS(Data!$B$2:$B$2284,$A163,Data!$H$2:$H$2284,"Agent Opportunity")</f>
        <v>5</v>
      </c>
      <c r="D163" s="15" t="n">
        <f aca="false">COUNTIFS(Data!$B$2:$B$2284,$A163,Data!$H$2:$H$2284,"Customer")</f>
        <v>0</v>
      </c>
      <c r="E163" s="15" t="n">
        <f aca="false">COUNTIFS(Data!$B$2:$B$2284,$A163,Data!$H$2:$H$2284,"Comcast Process/Tools")</f>
        <v>1</v>
      </c>
      <c r="F163" s="15" t="n">
        <f aca="false">COUNTIFS(Data!$B$2:$B$2284,$A163,Data!$H$2:$H$2284,"No Audio Found on I3")</f>
        <v>1</v>
      </c>
      <c r="G163" s="15" t="n">
        <f aca="false">COUNTIFS(Data!$B$2:$B$2284,$A163,Data!$H$2:$H$2284,"VXI Process/Tools")</f>
        <v>0</v>
      </c>
      <c r="H163" s="16" t="n">
        <f aca="false">IF(B163=0,0,C163/B163)</f>
        <v>0.714285714285714</v>
      </c>
      <c r="I163" s="16" t="n">
        <f aca="false">IF(B163=0,0,E163/B163)</f>
        <v>0.142857142857143</v>
      </c>
      <c r="J163" s="16" t="n">
        <f aca="false">IF(B163=0,0,F163/B163)</f>
        <v>0.142857142857143</v>
      </c>
      <c r="K163" s="31" t="n">
        <f aca="false">B163-B164</f>
        <v>-13</v>
      </c>
      <c r="L163" s="32" t="n">
        <f aca="false">(H163-H164)*100</f>
        <v>-3.57142857142857</v>
      </c>
      <c r="M163" s="15" t="n">
        <f aca="false">COUNTIFS(Data!$B$2:$B$2284,$A163,Data!$D$2:$D$2284,"Omar.Mansour@vxi.com")</f>
        <v>0</v>
      </c>
      <c r="N163" s="15" t="n">
        <v>3</v>
      </c>
    </row>
    <row r="164" customFormat="false" ht="15" hidden="false" customHeight="false" outlineLevel="0" collapsed="false">
      <c r="A164" s="22" t="n">
        <v>46120</v>
      </c>
      <c r="B164" s="27" t="n">
        <f aca="false">COUNTIFS(Data!$B$2:$B$2284,$A164)</f>
        <v>20</v>
      </c>
      <c r="C164" s="14" t="n">
        <f aca="false">COUNTIFS(Data!$B$2:$B$2284,$A164,Data!$H$2:$H$2284,"Agent Opportunity")</f>
        <v>15</v>
      </c>
      <c r="D164" s="14" t="n">
        <f aca="false">COUNTIFS(Data!$B$2:$B$2284,$A164,Data!$H$2:$H$2284,"Customer")</f>
        <v>2</v>
      </c>
      <c r="E164" s="14" t="n">
        <f aca="false">COUNTIFS(Data!$B$2:$B$2284,$A164,Data!$H$2:$H$2284,"Comcast Process/Tools")</f>
        <v>3</v>
      </c>
      <c r="F164" s="14" t="n">
        <f aca="false">COUNTIFS(Data!$B$2:$B$2284,$A164,Data!$H$2:$H$2284,"No Audio Found on I3")</f>
        <v>0</v>
      </c>
      <c r="G164" s="14" t="n">
        <f aca="false">COUNTIFS(Data!$B$2:$B$2284,$A164,Data!$H$2:$H$2284,"VXI Process/Tools")</f>
        <v>0</v>
      </c>
      <c r="H164" s="18" t="n">
        <f aca="false">IF(B164=0,0,C164/B164)</f>
        <v>0.75</v>
      </c>
      <c r="I164" s="18" t="n">
        <f aca="false">IF(B164=0,0,E164/B164)</f>
        <v>0.15</v>
      </c>
      <c r="J164" s="18" t="n">
        <f aca="false">IF(B164=0,0,F164/B164)</f>
        <v>0</v>
      </c>
      <c r="K164" s="28" t="n">
        <f aca="false">B164-B165</f>
        <v>7</v>
      </c>
      <c r="L164" s="29" t="n">
        <f aca="false">(H164-H165)*100</f>
        <v>-9.61538461538462</v>
      </c>
      <c r="M164" s="14" t="n">
        <f aca="false">COUNTIFS(Data!$B$2:$B$2284,$A164,Data!$D$2:$D$2284,"Omar.Mansour@vxi.com")</f>
        <v>0</v>
      </c>
      <c r="N164" s="14" t="n">
        <v>4</v>
      </c>
    </row>
    <row r="165" customFormat="false" ht="15" hidden="false" customHeight="false" outlineLevel="0" collapsed="false">
      <c r="A165" s="23" t="n">
        <v>46119</v>
      </c>
      <c r="B165" s="30" t="n">
        <f aca="false">COUNTIFS(Data!$B$2:$B$2284,$A165)</f>
        <v>13</v>
      </c>
      <c r="C165" s="15" t="n">
        <f aca="false">COUNTIFS(Data!$B$2:$B$2284,$A165,Data!$H$2:$H$2284,"Agent Opportunity")</f>
        <v>11</v>
      </c>
      <c r="D165" s="15" t="n">
        <f aca="false">COUNTIFS(Data!$B$2:$B$2284,$A165,Data!$H$2:$H$2284,"Customer")</f>
        <v>0</v>
      </c>
      <c r="E165" s="15" t="n">
        <f aca="false">COUNTIFS(Data!$B$2:$B$2284,$A165,Data!$H$2:$H$2284,"Comcast Process/Tools")</f>
        <v>1</v>
      </c>
      <c r="F165" s="15" t="n">
        <f aca="false">COUNTIFS(Data!$B$2:$B$2284,$A165,Data!$H$2:$H$2284,"No Audio Found on I3")</f>
        <v>1</v>
      </c>
      <c r="G165" s="15" t="n">
        <f aca="false">COUNTIFS(Data!$B$2:$B$2284,$A165,Data!$H$2:$H$2284,"VXI Process/Tools")</f>
        <v>0</v>
      </c>
      <c r="H165" s="16" t="n">
        <f aca="false">IF(B165=0,0,C165/B165)</f>
        <v>0.846153846153846</v>
      </c>
      <c r="I165" s="16" t="n">
        <f aca="false">IF(B165=0,0,E165/B165)</f>
        <v>0.0769230769230769</v>
      </c>
      <c r="J165" s="16" t="n">
        <f aca="false">IF(B165=0,0,F165/B165)</f>
        <v>0.0769230769230769</v>
      </c>
      <c r="K165" s="31" t="n">
        <f aca="false">B165-B166</f>
        <v>8</v>
      </c>
      <c r="L165" s="32" t="n">
        <f aca="false">(H165-H166)*100</f>
        <v>-15.3846153846154</v>
      </c>
      <c r="M165" s="15" t="n">
        <f aca="false">COUNTIFS(Data!$B$2:$B$2284,$A165,Data!$D$2:$D$2284,"Omar.Mansour@vxi.com")</f>
        <v>0</v>
      </c>
      <c r="N165" s="15" t="n">
        <v>4</v>
      </c>
    </row>
    <row r="166" customFormat="false" ht="15" hidden="false" customHeight="false" outlineLevel="0" collapsed="false">
      <c r="A166" s="22" t="n">
        <v>46118</v>
      </c>
      <c r="B166" s="27" t="n">
        <f aca="false">COUNTIFS(Data!$B$2:$B$2284,$A166)</f>
        <v>5</v>
      </c>
      <c r="C166" s="14" t="n">
        <f aca="false">COUNTIFS(Data!$B$2:$B$2284,$A166,Data!$H$2:$H$2284,"Agent Opportunity")</f>
        <v>5</v>
      </c>
      <c r="D166" s="14" t="n">
        <f aca="false">COUNTIFS(Data!$B$2:$B$2284,$A166,Data!$H$2:$H$2284,"Customer")</f>
        <v>0</v>
      </c>
      <c r="E166" s="14" t="n">
        <f aca="false">COUNTIFS(Data!$B$2:$B$2284,$A166,Data!$H$2:$H$2284,"Comcast Process/Tools")</f>
        <v>0</v>
      </c>
      <c r="F166" s="14" t="n">
        <f aca="false">COUNTIFS(Data!$B$2:$B$2284,$A166,Data!$H$2:$H$2284,"No Audio Found on I3")</f>
        <v>0</v>
      </c>
      <c r="G166" s="14" t="n">
        <f aca="false">COUNTIFS(Data!$B$2:$B$2284,$A166,Data!$H$2:$H$2284,"VXI Process/Tools")</f>
        <v>0</v>
      </c>
      <c r="H166" s="18" t="n">
        <f aca="false">IF(B166=0,0,C166/B166)</f>
        <v>1</v>
      </c>
      <c r="I166" s="18" t="n">
        <f aca="false">IF(B166=0,0,E166/B166)</f>
        <v>0</v>
      </c>
      <c r="J166" s="18" t="n">
        <f aca="false">IF(B166=0,0,F166/B166)</f>
        <v>0</v>
      </c>
      <c r="K166" s="28" t="n">
        <f aca="false">B166-B167</f>
        <v>-2</v>
      </c>
      <c r="L166" s="29" t="n">
        <f aca="false">(H166-H167)*100</f>
        <v>28.5714285714286</v>
      </c>
      <c r="M166" s="14" t="n">
        <f aca="false">COUNTIFS(Data!$B$2:$B$2284,$A166,Data!$D$2:$D$2284,"Omar.Mansour@vxi.com")</f>
        <v>0</v>
      </c>
      <c r="N166" s="14" t="n">
        <v>1</v>
      </c>
    </row>
    <row r="167" customFormat="false" ht="15" hidden="false" customHeight="false" outlineLevel="0" collapsed="false">
      <c r="A167" s="23" t="n">
        <v>46114</v>
      </c>
      <c r="B167" s="30" t="n">
        <f aca="false">COUNTIFS(Data!$B$2:$B$2284,$A167)</f>
        <v>7</v>
      </c>
      <c r="C167" s="15" t="n">
        <f aca="false">COUNTIFS(Data!$B$2:$B$2284,$A167,Data!$H$2:$H$2284,"Agent Opportunity")</f>
        <v>5</v>
      </c>
      <c r="D167" s="15" t="n">
        <f aca="false">COUNTIFS(Data!$B$2:$B$2284,$A167,Data!$H$2:$H$2284,"Customer")</f>
        <v>1</v>
      </c>
      <c r="E167" s="15" t="n">
        <f aca="false">COUNTIFS(Data!$B$2:$B$2284,$A167,Data!$H$2:$H$2284,"Comcast Process/Tools")</f>
        <v>0</v>
      </c>
      <c r="F167" s="15" t="n">
        <f aca="false">COUNTIFS(Data!$B$2:$B$2284,$A167,Data!$H$2:$H$2284,"No Audio Found on I3")</f>
        <v>1</v>
      </c>
      <c r="G167" s="15" t="n">
        <f aca="false">COUNTIFS(Data!$B$2:$B$2284,$A167,Data!$H$2:$H$2284,"VXI Process/Tools")</f>
        <v>0</v>
      </c>
      <c r="H167" s="16" t="n">
        <f aca="false">IF(B167=0,0,C167/B167)</f>
        <v>0.714285714285714</v>
      </c>
      <c r="I167" s="16" t="n">
        <f aca="false">IF(B167=0,0,E167/B167)</f>
        <v>0</v>
      </c>
      <c r="J167" s="16" t="n">
        <f aca="false">IF(B167=0,0,F167/B167)</f>
        <v>0.142857142857143</v>
      </c>
      <c r="K167" s="31" t="n">
        <f aca="false">B167-B168</f>
        <v>-2</v>
      </c>
      <c r="L167" s="32" t="n">
        <f aca="false">(H167-H168)*100</f>
        <v>4.76190476190477</v>
      </c>
      <c r="M167" s="15" t="n">
        <f aca="false">COUNTIFS(Data!$B$2:$B$2284,$A167,Data!$D$2:$D$2284,"Omar.Mansour@vxi.com")</f>
        <v>0</v>
      </c>
      <c r="N167" s="15" t="n">
        <v>2</v>
      </c>
    </row>
    <row r="168" customFormat="false" ht="15" hidden="false" customHeight="false" outlineLevel="0" collapsed="false">
      <c r="A168" s="22" t="n">
        <v>46113</v>
      </c>
      <c r="B168" s="27" t="n">
        <f aca="false">COUNTIFS(Data!$B$2:$B$2284,$A168)</f>
        <v>9</v>
      </c>
      <c r="C168" s="14" t="n">
        <f aca="false">COUNTIFS(Data!$B$2:$B$2284,$A168,Data!$H$2:$H$2284,"Agent Opportunity")</f>
        <v>6</v>
      </c>
      <c r="D168" s="14" t="n">
        <f aca="false">COUNTIFS(Data!$B$2:$B$2284,$A168,Data!$H$2:$H$2284,"Customer")</f>
        <v>1</v>
      </c>
      <c r="E168" s="14" t="n">
        <f aca="false">COUNTIFS(Data!$B$2:$B$2284,$A168,Data!$H$2:$H$2284,"Comcast Process/Tools")</f>
        <v>1</v>
      </c>
      <c r="F168" s="14" t="n">
        <f aca="false">COUNTIFS(Data!$B$2:$B$2284,$A168,Data!$H$2:$H$2284,"No Audio Found on I3")</f>
        <v>1</v>
      </c>
      <c r="G168" s="14" t="n">
        <f aca="false">COUNTIFS(Data!$B$2:$B$2284,$A168,Data!$H$2:$H$2284,"VXI Process/Tools")</f>
        <v>0</v>
      </c>
      <c r="H168" s="18" t="n">
        <f aca="false">IF(B168=0,0,C168/B168)</f>
        <v>0.666666666666667</v>
      </c>
      <c r="I168" s="18" t="n">
        <f aca="false">IF(B168=0,0,E168/B168)</f>
        <v>0.111111111111111</v>
      </c>
      <c r="J168" s="18" t="n">
        <f aca="false">IF(B168=0,0,F168/B168)</f>
        <v>0.111111111111111</v>
      </c>
      <c r="K168" s="28" t="n">
        <f aca="false">0</f>
        <v>0</v>
      </c>
      <c r="L168" s="29" t="n">
        <f aca="false">0</f>
        <v>0</v>
      </c>
      <c r="M168" s="14" t="n">
        <f aca="false">COUNTIFS(Data!$B$2:$B$2284,$A168,Data!$D$2:$D$2284,"Omar.Mansour@vxi.com")</f>
        <v>0</v>
      </c>
      <c r="N168" s="14" t="n">
        <v>2</v>
      </c>
    </row>
  </sheetData>
  <conditionalFormatting sqref="H6:H168">
    <cfRule type="colorScale" priority="2">
      <colorScale>
        <cfvo type="num" val="0.4"/>
        <cfvo type="num" val="0.64"/>
        <cfvo type="num" val="0.85"/>
        <color rgb="FF63BE7B"/>
        <color rgb="FFFFEB84"/>
        <color rgb="FFF8696B"/>
      </colorScale>
    </cfRule>
  </conditionalFormatting>
  <conditionalFormatting sqref="K6:K168">
    <cfRule type="cellIs" priority="3" operator="lessThan" aboveAverage="0" equalAverage="0" bottom="0" percent="0" rank="0" text="" dxfId="2">
      <formula>0</formula>
    </cfRule>
    <cfRule type="cellIs" priority="4" operator="greaterThan" aboveAverage="0" equalAverage="0" bottom="0" percent="0" rank="0" text="" dxfId="3">
      <formula>0</formula>
    </cfRule>
  </conditionalFormatting>
  <conditionalFormatting sqref="B6:B168">
    <cfRule type="dataBar" priority="5">
      <dataBar showValue="1" minLength="10" maxLength="90">
        <cfvo type="min" val="0"/>
        <cfvo type="max" val="0"/>
        <color rgb="FFF28C28"/>
      </dataBar>
      <extLst>
        <ext xmlns:x14="http://schemas.microsoft.com/office/spreadsheetml/2009/9/main" uri="{B025F937-C7B1-47D3-B67F-A62EFF666E3E}">
          <x14:id>{65F22193-E12F-489F-826E-BDA0A4AA7EFD}</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65F22193-E12F-489F-826E-BDA0A4AA7EFD}">
            <x14:dataBar minLength="10" maxLength="90" axisPosition="none" gradient="true">
              <x14:cfvo type="min"/>
              <x14:cfvo type="max"/>
              <x14:negativeFillColor rgb="FFF28C28"/>
              <x14:axisColor rgb="FF000000"/>
            </x14:dataBar>
          </x14:cfRule>
          <xm:sqref>B6:B168</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2545"/>
    <pageSetUpPr fitToPage="false"/>
  </sheetPr>
  <dimension ref="A1:N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9"/>
    <col collapsed="false" customWidth="true" hidden="false" outlineLevel="0" max="7" min="4" style="0" width="10"/>
    <col collapsed="false" customWidth="true" hidden="false" outlineLevel="0" max="8" min="8" style="0" width="8"/>
    <col collapsed="false" customWidth="true" hidden="false" outlineLevel="0" max="9" min="9" style="0" width="11"/>
    <col collapsed="false" customWidth="true" hidden="false" outlineLevel="0" max="10" min="10" style="0" width="10"/>
    <col collapsed="false" customWidth="true" hidden="false" outlineLevel="0" max="11" min="11" style="0" width="12"/>
    <col collapsed="false" customWidth="true" hidden="false" outlineLevel="0" max="12" min="12" style="0" width="13"/>
  </cols>
  <sheetData>
    <row r="1" customFormat="false" ht="30" hidden="false" customHeight="true" outlineLevel="0" collapsed="false">
      <c r="A1" s="1" t="s">
        <v>113</v>
      </c>
      <c r="B1" s="2"/>
      <c r="C1" s="2"/>
      <c r="D1" s="2"/>
      <c r="E1" s="2"/>
      <c r="F1" s="2"/>
      <c r="G1" s="2"/>
      <c r="H1" s="2"/>
      <c r="I1" s="2"/>
      <c r="J1" s="2"/>
      <c r="K1" s="2"/>
      <c r="L1" s="2"/>
      <c r="M1" s="2"/>
      <c r="N1" s="2"/>
    </row>
    <row r="2" customFormat="false" ht="15" hidden="false" customHeight="false" outlineLevel="0" collapsed="false">
      <c r="A2" s="3" t="s">
        <v>114</v>
      </c>
      <c r="B2" s="2"/>
      <c r="C2" s="2"/>
      <c r="D2" s="2"/>
      <c r="E2" s="2"/>
      <c r="F2" s="2"/>
      <c r="G2" s="2"/>
      <c r="H2" s="2"/>
      <c r="I2" s="2"/>
      <c r="J2" s="2"/>
      <c r="K2" s="2"/>
      <c r="L2" s="2"/>
      <c r="M2" s="2"/>
      <c r="N2" s="2"/>
    </row>
    <row r="3" customFormat="false" ht="3.75" hidden="false" customHeight="true" outlineLevel="0" collapsed="false">
      <c r="A3" s="4"/>
      <c r="B3" s="4"/>
      <c r="C3" s="4"/>
      <c r="D3" s="4"/>
      <c r="E3" s="4"/>
      <c r="F3" s="4"/>
      <c r="G3" s="4"/>
      <c r="H3" s="4"/>
      <c r="I3" s="4"/>
      <c r="J3" s="4"/>
      <c r="K3" s="4"/>
      <c r="L3" s="4"/>
      <c r="M3" s="4"/>
      <c r="N3" s="4"/>
    </row>
    <row r="5" customFormat="false" ht="23.85" hidden="false" customHeight="false" outlineLevel="0" collapsed="false">
      <c r="A5" s="13" t="s">
        <v>115</v>
      </c>
      <c r="B5" s="13" t="s">
        <v>116</v>
      </c>
      <c r="C5" s="13" t="s">
        <v>117</v>
      </c>
      <c r="D5" s="13" t="s">
        <v>55</v>
      </c>
      <c r="E5" s="13" t="s">
        <v>57</v>
      </c>
      <c r="F5" s="13" t="s">
        <v>56</v>
      </c>
      <c r="G5" s="13" t="s">
        <v>58</v>
      </c>
      <c r="H5" s="13" t="s">
        <v>109</v>
      </c>
      <c r="I5" s="13" t="s">
        <v>3</v>
      </c>
      <c r="J5" s="13" t="s">
        <v>4</v>
      </c>
      <c r="K5" s="13" t="s">
        <v>118</v>
      </c>
      <c r="L5" s="13" t="s">
        <v>119</v>
      </c>
    </row>
    <row r="6" customFormat="false" ht="15" hidden="false" customHeight="false" outlineLevel="0" collapsed="false">
      <c r="A6" s="33" t="n">
        <v>46113</v>
      </c>
      <c r="B6" s="34" t="n">
        <v>46142</v>
      </c>
      <c r="C6" s="14" t="n">
        <f aca="false">COUNTIFS(Data!$B$2:$B$2284,"&gt;="&amp;A6,Data!$B$2:$B$2284,"&lt;="&amp;B6)</f>
        <v>247</v>
      </c>
      <c r="D6" s="14" t="n">
        <f aca="false">COUNTIFS(Data!$B$2:$B$2284,"&gt;="&amp;A6,Data!$B$2:$B$2284,"&lt;="&amp;B6,Data!$H$2:$H$2284,"Agent Opportunity")</f>
        <v>147</v>
      </c>
      <c r="E6" s="14" t="n">
        <f aca="false">COUNTIFS(Data!$B$2:$B$2284,"&gt;="&amp;A6,Data!$B$2:$B$2284,"&lt;="&amp;B6,Data!$H$2:$H$2284,"Customer")</f>
        <v>25</v>
      </c>
      <c r="F6" s="14" t="n">
        <f aca="false">COUNTIFS(Data!$B$2:$B$2284,"&gt;="&amp;A6,Data!$B$2:$B$2284,"&lt;="&amp;B6,Data!$H$2:$H$2284,"Comcast Process/Tools")</f>
        <v>47</v>
      </c>
      <c r="G6" s="14" t="n">
        <f aca="false">COUNTIFS(Data!$B$2:$B$2284,"&gt;="&amp;A6,Data!$B$2:$B$2284,"&lt;="&amp;B6,Data!$H$2:$H$2284,"No Audio Found on I3")</f>
        <v>26</v>
      </c>
      <c r="H6" s="14" t="n">
        <f aca="false">COUNTIFS(Data!$B$2:$B$2284,"&gt;="&amp;A6,Data!$B$2:$B$2284,"&lt;="&amp;B6,Data!$H$2:$H$2284,"VXI Process/Tools")</f>
        <v>2</v>
      </c>
      <c r="I6" s="18" t="n">
        <f aca="false">IF(C6=0,0,D6/C6)</f>
        <v>0.595141700404858</v>
      </c>
      <c r="J6" s="18" t="n">
        <f aca="false">IF(C6=0,0,F6/C6)</f>
        <v>0.190283400809717</v>
      </c>
      <c r="K6" s="28" t="n">
        <f aca="false">0</f>
        <v>0</v>
      </c>
      <c r="L6" s="29" t="n">
        <f aca="false">0</f>
        <v>0</v>
      </c>
    </row>
    <row r="7" customFormat="false" ht="15" hidden="false" customHeight="false" outlineLevel="0" collapsed="false">
      <c r="A7" s="35" t="n">
        <v>46143</v>
      </c>
      <c r="B7" s="36" t="n">
        <v>46173</v>
      </c>
      <c r="C7" s="15" t="n">
        <f aca="false">COUNTIFS(Data!$B$2:$B$2284,"&gt;="&amp;A7,Data!$B$2:$B$2284,"&lt;="&amp;B7)</f>
        <v>342</v>
      </c>
      <c r="D7" s="15" t="n">
        <f aca="false">COUNTIFS(Data!$B$2:$B$2284,"&gt;="&amp;A7,Data!$B$2:$B$2284,"&lt;="&amp;B7,Data!$H$2:$H$2284,"Agent Opportunity")</f>
        <v>220</v>
      </c>
      <c r="E7" s="15" t="n">
        <f aca="false">COUNTIFS(Data!$B$2:$B$2284,"&gt;="&amp;A7,Data!$B$2:$B$2284,"&lt;="&amp;B7,Data!$H$2:$H$2284,"Customer")</f>
        <v>33</v>
      </c>
      <c r="F7" s="15" t="n">
        <f aca="false">COUNTIFS(Data!$B$2:$B$2284,"&gt;="&amp;A7,Data!$B$2:$B$2284,"&lt;="&amp;B7,Data!$H$2:$H$2284,"Comcast Process/Tools")</f>
        <v>58</v>
      </c>
      <c r="G7" s="15" t="n">
        <f aca="false">COUNTIFS(Data!$B$2:$B$2284,"&gt;="&amp;A7,Data!$B$2:$B$2284,"&lt;="&amp;B7,Data!$H$2:$H$2284,"No Audio Found on I3")</f>
        <v>20</v>
      </c>
      <c r="H7" s="15" t="n">
        <f aca="false">COUNTIFS(Data!$B$2:$B$2284,"&gt;="&amp;A7,Data!$B$2:$B$2284,"&lt;="&amp;B7,Data!$H$2:$H$2284,"VXI Process/Tools")</f>
        <v>11</v>
      </c>
      <c r="I7" s="16" t="n">
        <f aca="false">IF(C7=0,0,D7/C7)</f>
        <v>0.64327485380117</v>
      </c>
      <c r="J7" s="16" t="n">
        <f aca="false">IF(C7=0,0,F7/C7)</f>
        <v>0.169590643274854</v>
      </c>
      <c r="K7" s="31" t="n">
        <f aca="false">C7-C6</f>
        <v>95</v>
      </c>
      <c r="L7" s="32" t="n">
        <f aca="false">(I7-I6)*100</f>
        <v>4.81331533963113</v>
      </c>
    </row>
    <row r="8" customFormat="false" ht="15" hidden="false" customHeight="false" outlineLevel="0" collapsed="false">
      <c r="A8" s="33" t="n">
        <v>46174</v>
      </c>
      <c r="B8" s="34" t="n">
        <v>46203</v>
      </c>
      <c r="C8" s="14" t="n">
        <f aca="false">COUNTIFS(Data!$B$2:$B$2284,"&gt;="&amp;A8,Data!$B$2:$B$2284,"&lt;="&amp;B8)</f>
        <v>289</v>
      </c>
      <c r="D8" s="14" t="n">
        <f aca="false">COUNTIFS(Data!$B$2:$B$2284,"&gt;="&amp;A8,Data!$B$2:$B$2284,"&lt;="&amp;B8,Data!$H$2:$H$2284,"Agent Opportunity")</f>
        <v>178</v>
      </c>
      <c r="E8" s="14" t="n">
        <f aca="false">COUNTIFS(Data!$B$2:$B$2284,"&gt;="&amp;A8,Data!$B$2:$B$2284,"&lt;="&amp;B8,Data!$H$2:$H$2284,"Customer")</f>
        <v>23</v>
      </c>
      <c r="F8" s="14" t="n">
        <f aca="false">COUNTIFS(Data!$B$2:$B$2284,"&gt;="&amp;A8,Data!$B$2:$B$2284,"&lt;="&amp;B8,Data!$H$2:$H$2284,"Comcast Process/Tools")</f>
        <v>51</v>
      </c>
      <c r="G8" s="14" t="n">
        <f aca="false">COUNTIFS(Data!$B$2:$B$2284,"&gt;="&amp;A8,Data!$B$2:$B$2284,"&lt;="&amp;B8,Data!$H$2:$H$2284,"No Audio Found on I3")</f>
        <v>32</v>
      </c>
      <c r="H8" s="14" t="n">
        <f aca="false">COUNTIFS(Data!$B$2:$B$2284,"&gt;="&amp;A8,Data!$B$2:$B$2284,"&lt;="&amp;B8,Data!$H$2:$H$2284,"VXI Process/Tools")</f>
        <v>5</v>
      </c>
      <c r="I8" s="18" t="n">
        <f aca="false">IF(C8=0,0,D8/C8)</f>
        <v>0.615916955017301</v>
      </c>
      <c r="J8" s="18" t="n">
        <f aca="false">IF(C8=0,0,F8/C8)</f>
        <v>0.176470588235294</v>
      </c>
      <c r="K8" s="28" t="n">
        <f aca="false">C8-C7</f>
        <v>-53</v>
      </c>
      <c r="L8" s="29" t="n">
        <f aca="false">(I8-I7)*100</f>
        <v>-2.73578987838685</v>
      </c>
    </row>
    <row r="9" customFormat="false" ht="15" hidden="false" customHeight="false" outlineLevel="0" collapsed="false">
      <c r="A9" s="35" t="n">
        <v>46204</v>
      </c>
      <c r="B9" s="36" t="n">
        <v>46234</v>
      </c>
      <c r="C9" s="15" t="n">
        <f aca="false">COUNTIFS(Data!$B$2:$B$2284,"&gt;="&amp;A9,Data!$B$2:$B$2284,"&lt;="&amp;B9)</f>
        <v>381</v>
      </c>
      <c r="D9" s="15" t="n">
        <f aca="false">COUNTIFS(Data!$B$2:$B$2284,"&gt;="&amp;A9,Data!$B$2:$B$2284,"&lt;="&amp;B9,Data!$H$2:$H$2284,"Agent Opportunity")</f>
        <v>259</v>
      </c>
      <c r="E9" s="15" t="n">
        <f aca="false">COUNTIFS(Data!$B$2:$B$2284,"&gt;="&amp;A9,Data!$B$2:$B$2284,"&lt;="&amp;B9,Data!$H$2:$H$2284,"Customer")</f>
        <v>27</v>
      </c>
      <c r="F9" s="15" t="n">
        <f aca="false">COUNTIFS(Data!$B$2:$B$2284,"&gt;="&amp;A9,Data!$B$2:$B$2284,"&lt;="&amp;B9,Data!$H$2:$H$2284,"Comcast Process/Tools")</f>
        <v>50</v>
      </c>
      <c r="G9" s="15" t="n">
        <f aca="false">COUNTIFS(Data!$B$2:$B$2284,"&gt;="&amp;A9,Data!$B$2:$B$2284,"&lt;="&amp;B9,Data!$H$2:$H$2284,"No Audio Found on I3")</f>
        <v>38</v>
      </c>
      <c r="H9" s="15" t="n">
        <f aca="false">COUNTIFS(Data!$B$2:$B$2284,"&gt;="&amp;A9,Data!$B$2:$B$2284,"&lt;="&amp;B9,Data!$H$2:$H$2284,"VXI Process/Tools")</f>
        <v>7</v>
      </c>
      <c r="I9" s="16" t="n">
        <f aca="false">IF(C9=0,0,D9/C9)</f>
        <v>0.679790026246719</v>
      </c>
      <c r="J9" s="16" t="n">
        <f aca="false">IF(C9=0,0,F9/C9)</f>
        <v>0.131233595800525</v>
      </c>
      <c r="K9" s="31" t="n">
        <f aca="false">C9-C8</f>
        <v>92</v>
      </c>
      <c r="L9" s="32" t="n">
        <f aca="false">(I9-I8)*100</f>
        <v>6.38730712294181</v>
      </c>
    </row>
    <row r="10" customFormat="false" ht="15" hidden="false" customHeight="false" outlineLevel="0" collapsed="false">
      <c r="A10" s="33" t="n">
        <v>46235</v>
      </c>
      <c r="B10" s="34" t="n">
        <v>46265</v>
      </c>
      <c r="C10" s="14" t="n">
        <f aca="false">COUNTIFS(Data!$B$2:$B$2284,"&gt;="&amp;A10,Data!$B$2:$B$2284,"&lt;="&amp;B10)</f>
        <v>543</v>
      </c>
      <c r="D10" s="14" t="n">
        <f aca="false">COUNTIFS(Data!$B$2:$B$2284,"&gt;="&amp;A10,Data!$B$2:$B$2284,"&lt;="&amp;B10,Data!$H$2:$H$2284,"Agent Opportunity")</f>
        <v>357</v>
      </c>
      <c r="E10" s="14" t="n">
        <f aca="false">COUNTIFS(Data!$B$2:$B$2284,"&gt;="&amp;A10,Data!$B$2:$B$2284,"&lt;="&amp;B10,Data!$H$2:$H$2284,"Customer")</f>
        <v>46</v>
      </c>
      <c r="F10" s="14" t="n">
        <f aca="false">COUNTIFS(Data!$B$2:$B$2284,"&gt;="&amp;A10,Data!$B$2:$B$2284,"&lt;="&amp;B10,Data!$H$2:$H$2284,"Comcast Process/Tools")</f>
        <v>99</v>
      </c>
      <c r="G10" s="14" t="n">
        <f aca="false">COUNTIFS(Data!$B$2:$B$2284,"&gt;="&amp;A10,Data!$B$2:$B$2284,"&lt;="&amp;B10,Data!$H$2:$H$2284,"No Audio Found on I3")</f>
        <v>36</v>
      </c>
      <c r="H10" s="14" t="n">
        <f aca="false">COUNTIFS(Data!$B$2:$B$2284,"&gt;="&amp;A10,Data!$B$2:$B$2284,"&lt;="&amp;B10,Data!$H$2:$H$2284,"VXI Process/Tools")</f>
        <v>5</v>
      </c>
      <c r="I10" s="18" t="n">
        <f aca="false">IF(C10=0,0,D10/C10)</f>
        <v>0.657458563535912</v>
      </c>
      <c r="J10" s="18" t="n">
        <f aca="false">IF(C10=0,0,F10/C10)</f>
        <v>0.18232044198895</v>
      </c>
      <c r="K10" s="28" t="n">
        <f aca="false">C10-C9</f>
        <v>162</v>
      </c>
      <c r="L10" s="29" t="n">
        <f aca="false">(I10-I9)*100</f>
        <v>-2.23314627108076</v>
      </c>
    </row>
    <row r="11" customFormat="false" ht="15" hidden="false" customHeight="false" outlineLevel="0" collapsed="false">
      <c r="A11" s="35" t="n">
        <v>46266</v>
      </c>
      <c r="B11" s="36" t="n">
        <v>46295</v>
      </c>
      <c r="C11" s="15" t="n">
        <f aca="false">COUNTIFS(Data!$B$2:$B$2284,"&gt;="&amp;A11,Data!$B$2:$B$2284,"&lt;="&amp;B11)</f>
        <v>230</v>
      </c>
      <c r="D11" s="15" t="n">
        <f aca="false">COUNTIFS(Data!$B$2:$B$2284,"&gt;="&amp;A11,Data!$B$2:$B$2284,"&lt;="&amp;B11,Data!$H$2:$H$2284,"Agent Opportunity")</f>
        <v>156</v>
      </c>
      <c r="E11" s="15" t="n">
        <f aca="false">COUNTIFS(Data!$B$2:$B$2284,"&gt;="&amp;A11,Data!$B$2:$B$2284,"&lt;="&amp;B11,Data!$H$2:$H$2284,"Customer")</f>
        <v>27</v>
      </c>
      <c r="F11" s="15" t="n">
        <f aca="false">COUNTIFS(Data!$B$2:$B$2284,"&gt;="&amp;A11,Data!$B$2:$B$2284,"&lt;="&amp;B11,Data!$H$2:$H$2284,"Comcast Process/Tools")</f>
        <v>27</v>
      </c>
      <c r="G11" s="15" t="n">
        <f aca="false">COUNTIFS(Data!$B$2:$B$2284,"&gt;="&amp;A11,Data!$B$2:$B$2284,"&lt;="&amp;B11,Data!$H$2:$H$2284,"No Audio Found on I3")</f>
        <v>19</v>
      </c>
      <c r="H11" s="15" t="n">
        <f aca="false">COUNTIFS(Data!$B$2:$B$2284,"&gt;="&amp;A11,Data!$B$2:$B$2284,"&lt;="&amp;B11,Data!$H$2:$H$2284,"VXI Process/Tools")</f>
        <v>1</v>
      </c>
      <c r="I11" s="16" t="n">
        <f aca="false">IF(C11=0,0,D11/C11)</f>
        <v>0.678260869565217</v>
      </c>
      <c r="J11" s="16" t="n">
        <f aca="false">IF(C11=0,0,F11/C11)</f>
        <v>0.117391304347826</v>
      </c>
      <c r="K11" s="31" t="n">
        <f aca="false">C11-C10</f>
        <v>-313</v>
      </c>
      <c r="L11" s="32" t="n">
        <f aca="false">(I11-I10)*100</f>
        <v>2.08023060293058</v>
      </c>
    </row>
    <row r="12" customFormat="false" ht="15" hidden="false" customHeight="false" outlineLevel="0" collapsed="false">
      <c r="A12" s="33" t="n">
        <v>46296</v>
      </c>
      <c r="B12" s="34" t="n">
        <v>46326</v>
      </c>
      <c r="C12" s="14" t="n">
        <f aca="false">COUNTIFS(Data!$B$2:$B$2284,"&gt;="&amp;A12,Data!$B$2:$B$2284,"&lt;="&amp;B12)</f>
        <v>251</v>
      </c>
      <c r="D12" s="14" t="n">
        <f aca="false">COUNTIFS(Data!$B$2:$B$2284,"&gt;="&amp;A12,Data!$B$2:$B$2284,"&lt;="&amp;B12,Data!$H$2:$H$2284,"Agent Opportunity")</f>
        <v>141</v>
      </c>
      <c r="E12" s="14" t="n">
        <f aca="false">COUNTIFS(Data!$B$2:$B$2284,"&gt;="&amp;A12,Data!$B$2:$B$2284,"&lt;="&amp;B12,Data!$H$2:$H$2284,"Customer")</f>
        <v>23</v>
      </c>
      <c r="F12" s="14" t="n">
        <f aca="false">COUNTIFS(Data!$B$2:$B$2284,"&gt;="&amp;A12,Data!$B$2:$B$2284,"&lt;="&amp;B12,Data!$H$2:$H$2284,"Comcast Process/Tools")</f>
        <v>69</v>
      </c>
      <c r="G12" s="14" t="n">
        <f aca="false">COUNTIFS(Data!$B$2:$B$2284,"&gt;="&amp;A12,Data!$B$2:$B$2284,"&lt;="&amp;B12,Data!$H$2:$H$2284,"No Audio Found on I3")</f>
        <v>16</v>
      </c>
      <c r="H12" s="14" t="n">
        <f aca="false">COUNTIFS(Data!$B$2:$B$2284,"&gt;="&amp;A12,Data!$B$2:$B$2284,"&lt;="&amp;B12,Data!$H$2:$H$2284,"VXI Process/Tools")</f>
        <v>2</v>
      </c>
      <c r="I12" s="18" t="n">
        <f aca="false">IF(C12=0,0,D12/C12)</f>
        <v>0.561752988047809</v>
      </c>
      <c r="J12" s="18" t="n">
        <f aca="false">IF(C12=0,0,F12/C12)</f>
        <v>0.274900398406375</v>
      </c>
      <c r="K12" s="28" t="n">
        <f aca="false">C12-C11</f>
        <v>21</v>
      </c>
      <c r="L12" s="29" t="n">
        <f aca="false">(I12-I11)*100</f>
        <v>-11.6507881517409</v>
      </c>
    </row>
    <row r="13" customFormat="false" ht="15" hidden="false" customHeight="false" outlineLevel="0" collapsed="false">
      <c r="A13" s="37" t="s">
        <v>117</v>
      </c>
      <c r="B13" s="15"/>
      <c r="C13" s="37" t="n">
        <f aca="false">SUM(C6:C12)</f>
        <v>2283</v>
      </c>
      <c r="D13" s="37" t="n">
        <f aca="false">SUM(D6:D12)</f>
        <v>1458</v>
      </c>
      <c r="E13" s="37" t="n">
        <f aca="false">SUM(E6:E12)</f>
        <v>204</v>
      </c>
      <c r="F13" s="37" t="n">
        <f aca="false">SUM(F6:F12)</f>
        <v>401</v>
      </c>
      <c r="G13" s="37" t="n">
        <f aca="false">SUM(G6:G12)</f>
        <v>187</v>
      </c>
      <c r="H13" s="37" t="n">
        <f aca="false">SUM(H6:H12)</f>
        <v>33</v>
      </c>
      <c r="I13" s="16" t="n">
        <f aca="false">D13/C13</f>
        <v>0.638633377135348</v>
      </c>
      <c r="J13" s="16" t="n">
        <f aca="false">F13/C13</f>
        <v>0.175646079719667</v>
      </c>
      <c r="K13" s="15"/>
      <c r="L13" s="15"/>
    </row>
    <row r="14" customFormat="false" ht="15" hidden="false" customHeight="false" outlineLevel="0" collapsed="false">
      <c r="A14" s="38" t="s">
        <v>120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2545"/>
    <pageSetUpPr fitToPage="false"/>
  </sheetPr>
  <dimension ref="A1:N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30"/>
    <col collapsed="false" customWidth="true" hidden="false" outlineLevel="0" max="3" min="3" style="0" width="8"/>
    <col collapsed="false" customWidth="true" hidden="false" outlineLevel="0" max="4" min="4" style="0" width="11"/>
    <col collapsed="false" customWidth="true" hidden="false" outlineLevel="0" max="10" min="5" style="0" width="10"/>
    <col collapsed="false" customWidth="true" hidden="false" outlineLevel="0" max="11" min="11" style="0" width="11"/>
    <col collapsed="false" customWidth="true" hidden="false" outlineLevel="0" max="12" min="12" style="0" width="13"/>
    <col collapsed="false" customWidth="true" hidden="false" outlineLevel="0" max="13" min="13" style="0" width="12"/>
  </cols>
  <sheetData>
    <row r="1" customFormat="false" ht="30" hidden="false" customHeight="true" outlineLevel="0" collapsed="false">
      <c r="A1" s="1" t="s">
        <v>121</v>
      </c>
      <c r="B1" s="2"/>
      <c r="C1" s="2"/>
      <c r="D1" s="2"/>
      <c r="E1" s="2"/>
      <c r="F1" s="2"/>
      <c r="G1" s="2"/>
      <c r="H1" s="2"/>
      <c r="I1" s="2"/>
      <c r="J1" s="2"/>
      <c r="K1" s="2"/>
      <c r="L1" s="2"/>
      <c r="M1" s="2"/>
      <c r="N1" s="2"/>
    </row>
    <row r="2" customFormat="false" ht="15" hidden="false" customHeight="false" outlineLevel="0" collapsed="false">
      <c r="A2" s="3" t="s">
        <v>122</v>
      </c>
      <c r="B2" s="2"/>
      <c r="C2" s="2"/>
      <c r="D2" s="2"/>
      <c r="E2" s="2"/>
      <c r="F2" s="2"/>
      <c r="G2" s="2"/>
      <c r="H2" s="2"/>
      <c r="I2" s="2"/>
      <c r="J2" s="2"/>
      <c r="K2" s="2"/>
      <c r="L2" s="2"/>
      <c r="M2" s="2"/>
      <c r="N2" s="2"/>
    </row>
    <row r="3" customFormat="false" ht="3.75" hidden="false" customHeight="true" outlineLevel="0" collapsed="false">
      <c r="A3" s="4"/>
      <c r="B3" s="4"/>
      <c r="C3" s="4"/>
      <c r="D3" s="4"/>
      <c r="E3" s="4"/>
      <c r="F3" s="4"/>
      <c r="G3" s="4"/>
      <c r="H3" s="4"/>
      <c r="I3" s="4"/>
      <c r="J3" s="4"/>
      <c r="K3" s="4"/>
      <c r="L3" s="4"/>
      <c r="M3" s="4"/>
      <c r="N3" s="4"/>
    </row>
    <row r="5" customFormat="false" ht="35.05" hidden="false" customHeight="false" outlineLevel="0" collapsed="false">
      <c r="A5" s="13" t="s">
        <v>123</v>
      </c>
      <c r="B5" s="13" t="s">
        <v>124</v>
      </c>
      <c r="C5" s="13" t="s">
        <v>117</v>
      </c>
      <c r="D5" s="13" t="s">
        <v>3</v>
      </c>
      <c r="E5" s="13" t="s">
        <v>45</v>
      </c>
      <c r="F5" s="13" t="s">
        <v>4</v>
      </c>
      <c r="G5" s="13" t="s">
        <v>5</v>
      </c>
      <c r="H5" s="13" t="s">
        <v>125</v>
      </c>
      <c r="I5" s="13" t="s">
        <v>126</v>
      </c>
      <c r="J5" s="13" t="s">
        <v>127</v>
      </c>
      <c r="K5" s="13" t="s">
        <v>128</v>
      </c>
      <c r="L5" s="13" t="s">
        <v>129</v>
      </c>
      <c r="M5" s="13" t="s">
        <v>130</v>
      </c>
    </row>
    <row r="6" customFormat="false" ht="15" hidden="false" customHeight="false" outlineLevel="0" collapsed="false">
      <c r="A6" s="14" t="s">
        <v>131</v>
      </c>
      <c r="B6" s="14" t="s">
        <v>132</v>
      </c>
      <c r="C6" s="14" t="n">
        <f aca="false">COUNTIFS(Data!$D$2:$D$2284,B6)</f>
        <v>382</v>
      </c>
      <c r="D6" s="21" t="n">
        <f aca="false">COUNTIFS(Data!$D$2:$D$2284,B6,Data!$H$2:$H$2284,"Agent Opportunity")/C6</f>
        <v>0.761780104712042</v>
      </c>
      <c r="E6" s="21" t="n">
        <f aca="false">COUNTIFS(Data!$D$2:$D$2284,B6,Data!$H$2:$H$2284,"Customer")/C6</f>
        <v>0.0863874345549738</v>
      </c>
      <c r="F6" s="21" t="n">
        <f aca="false">COUNTIFS(Data!$D$2:$D$2284,B6,Data!$H$2:$H$2284,"Comcast Process/Tools")/C6</f>
        <v>0.107329842931937</v>
      </c>
      <c r="G6" s="21" t="n">
        <f aca="false">COUNTIFS(Data!$D$2:$D$2284,B6,Data!$H$2:$H$2284,"No Audio Found on I3")/C6</f>
        <v>0.031413612565445</v>
      </c>
      <c r="H6" s="21" t="n">
        <f aca="false">IFERROR(COUNTIFS(Data!$D$2:$D$2284,B6,Data!$H$2:$H$2284,"&lt;&gt;No Audio Found on I3",Data!$I$2:$I$2284,"&lt;&gt;")/COUNTIFS(Data!$D$2:$D$2284,B6,Data!$H$2:$H$2284,"&lt;&gt;No Audio Found on I3"),0)</f>
        <v>1</v>
      </c>
      <c r="I6" s="14" t="n">
        <f aca="false">COUNTIFS(Data!$D$2:$D$2284,B6,Data!$L$2:$L$2284,"Y")</f>
        <v>54</v>
      </c>
      <c r="J6" s="14" t="n">
        <f aca="false">COUNTIFS(Data!$D$2:$D$2284,B6,Data!$M$2:$M$2284,"N")</f>
        <v>18</v>
      </c>
      <c r="K6" s="14" t="n">
        <v>2.4</v>
      </c>
      <c r="L6" s="29" t="n">
        <f aca="false">(D6-$D$18)*100</f>
        <v>12.3146727576694</v>
      </c>
      <c r="M6" s="14" t="str">
        <f aca="false">IF(ABS(L6)&gt;15,"Calibrate",IF(ABS(L6)&gt;8,"Watch","Aligned"))</f>
        <v>Watch</v>
      </c>
    </row>
    <row r="7" customFormat="false" ht="15" hidden="false" customHeight="false" outlineLevel="0" collapsed="false">
      <c r="A7" s="15" t="s">
        <v>133</v>
      </c>
      <c r="B7" s="15" t="s">
        <v>134</v>
      </c>
      <c r="C7" s="15" t="n">
        <f aca="false">COUNTIFS(Data!$D$2:$D$2284,B7)</f>
        <v>352</v>
      </c>
      <c r="D7" s="24" t="n">
        <f aca="false">COUNTIFS(Data!$D$2:$D$2284,B7,Data!$H$2:$H$2284,"Agent Opportunity")/C7</f>
        <v>0.659090909090909</v>
      </c>
      <c r="E7" s="24" t="n">
        <f aca="false">COUNTIFS(Data!$D$2:$D$2284,B7,Data!$H$2:$H$2284,"Customer")/C7</f>
        <v>0.113636363636364</v>
      </c>
      <c r="F7" s="24" t="n">
        <f aca="false">COUNTIFS(Data!$D$2:$D$2284,B7,Data!$H$2:$H$2284,"Comcast Process/Tools")/C7</f>
        <v>0.139204545454545</v>
      </c>
      <c r="G7" s="24" t="n">
        <f aca="false">COUNTIFS(Data!$D$2:$D$2284,B7,Data!$H$2:$H$2284,"No Audio Found on I3")/C7</f>
        <v>0.0767045454545455</v>
      </c>
      <c r="H7" s="24" t="n">
        <f aca="false">IFERROR(COUNTIFS(Data!$D$2:$D$2284,B7,Data!$H$2:$H$2284,"&lt;&gt;No Audio Found on I3",Data!$I$2:$I$2284,"&lt;&gt;")/COUNTIFS(Data!$D$2:$D$2284,B7,Data!$H$2:$H$2284,"&lt;&gt;No Audio Found on I3"),0)</f>
        <v>1</v>
      </c>
      <c r="I7" s="15" t="n">
        <f aca="false">COUNTIFS(Data!$D$2:$D$2284,B7,Data!$L$2:$L$2284,"Y")</f>
        <v>28</v>
      </c>
      <c r="J7" s="15" t="n">
        <f aca="false">COUNTIFS(Data!$D$2:$D$2284,B7,Data!$M$2:$M$2284,"N")</f>
        <v>0</v>
      </c>
      <c r="K7" s="15" t="n">
        <v>9.9</v>
      </c>
      <c r="L7" s="32" t="n">
        <f aca="false">(D7-$D$18)*100</f>
        <v>2.04575319555609</v>
      </c>
      <c r="M7" s="15" t="str">
        <f aca="false">IF(ABS(L7)&gt;15,"Calibrate",IF(ABS(L7)&gt;8,"Watch","Aligned"))</f>
        <v>Aligned</v>
      </c>
    </row>
    <row r="8" customFormat="false" ht="15" hidden="false" customHeight="false" outlineLevel="0" collapsed="false">
      <c r="A8" s="14" t="s">
        <v>135</v>
      </c>
      <c r="B8" s="14" t="s">
        <v>136</v>
      </c>
      <c r="C8" s="14" t="n">
        <f aca="false">COUNTIFS(Data!$D$2:$D$2284,B8)</f>
        <v>316</v>
      </c>
      <c r="D8" s="21" t="n">
        <f aca="false">COUNTIFS(Data!$D$2:$D$2284,B8,Data!$H$2:$H$2284,"Agent Opportunity")/C8</f>
        <v>0.509493670886076</v>
      </c>
      <c r="E8" s="21" t="n">
        <f aca="false">COUNTIFS(Data!$D$2:$D$2284,B8,Data!$H$2:$H$2284,"Customer")/C8</f>
        <v>0.0854430379746835</v>
      </c>
      <c r="F8" s="21" t="n">
        <f aca="false">COUNTIFS(Data!$D$2:$D$2284,B8,Data!$H$2:$H$2284,"Comcast Process/Tools")/C8</f>
        <v>0.240506329113924</v>
      </c>
      <c r="G8" s="21" t="n">
        <f aca="false">COUNTIFS(Data!$D$2:$D$2284,B8,Data!$H$2:$H$2284,"No Audio Found on I3")/C8</f>
        <v>0.145569620253165</v>
      </c>
      <c r="H8" s="21" t="n">
        <f aca="false">IFERROR(COUNTIFS(Data!$D$2:$D$2284,B8,Data!$H$2:$H$2284,"&lt;&gt;No Audio Found on I3",Data!$I$2:$I$2284,"&lt;&gt;")/COUNTIFS(Data!$D$2:$D$2284,B8,Data!$H$2:$H$2284,"&lt;&gt;No Audio Found on I3"),0)</f>
        <v>1</v>
      </c>
      <c r="I8" s="14" t="n">
        <f aca="false">COUNTIFS(Data!$D$2:$D$2284,B8,Data!$L$2:$L$2284,"Y")</f>
        <v>41</v>
      </c>
      <c r="J8" s="14" t="n">
        <f aca="false">COUNTIFS(Data!$D$2:$D$2284,B8,Data!$M$2:$M$2284,"N")</f>
        <v>1</v>
      </c>
      <c r="K8" s="14" t="n">
        <v>4.9</v>
      </c>
      <c r="L8" s="29" t="n">
        <f aca="false">(D8-$D$18)*100</f>
        <v>-12.9139706249272</v>
      </c>
      <c r="M8" s="14" t="str">
        <f aca="false">IF(ABS(L8)&gt;15,"Calibrate",IF(ABS(L8)&gt;8,"Watch","Aligned"))</f>
        <v>Watch</v>
      </c>
    </row>
    <row r="9" customFormat="false" ht="15" hidden="false" customHeight="false" outlineLevel="0" collapsed="false">
      <c r="A9" s="15" t="s">
        <v>137</v>
      </c>
      <c r="B9" s="15" t="s">
        <v>138</v>
      </c>
      <c r="C9" s="15" t="n">
        <f aca="false">COUNTIFS(Data!$D$2:$D$2284,B9)</f>
        <v>294</v>
      </c>
      <c r="D9" s="24" t="n">
        <f aca="false">COUNTIFS(Data!$D$2:$D$2284,B9,Data!$H$2:$H$2284,"Agent Opportunity")/C9</f>
        <v>0.649659863945578</v>
      </c>
      <c r="E9" s="24" t="n">
        <f aca="false">COUNTIFS(Data!$D$2:$D$2284,B9,Data!$H$2:$H$2284,"Customer")/C9</f>
        <v>0.0476190476190476</v>
      </c>
      <c r="F9" s="24" t="n">
        <f aca="false">COUNTIFS(Data!$D$2:$D$2284,B9,Data!$H$2:$H$2284,"Comcast Process/Tools")/C9</f>
        <v>0.227891156462585</v>
      </c>
      <c r="G9" s="24" t="n">
        <f aca="false">COUNTIFS(Data!$D$2:$D$2284,B9,Data!$H$2:$H$2284,"No Audio Found on I3")/C9</f>
        <v>0.0306122448979592</v>
      </c>
      <c r="H9" s="24" t="n">
        <f aca="false">IFERROR(COUNTIFS(Data!$D$2:$D$2284,B9,Data!$H$2:$H$2284,"&lt;&gt;No Audio Found on I3",Data!$I$2:$I$2284,"&lt;&gt;")/COUNTIFS(Data!$D$2:$D$2284,B9,Data!$H$2:$H$2284,"&lt;&gt;No Audio Found on I3"),0)</f>
        <v>1</v>
      </c>
      <c r="I9" s="15" t="n">
        <f aca="false">COUNTIFS(Data!$D$2:$D$2284,B9,Data!$L$2:$L$2284,"Y")</f>
        <v>4</v>
      </c>
      <c r="J9" s="15" t="n">
        <f aca="false">COUNTIFS(Data!$D$2:$D$2284,B9,Data!$M$2:$M$2284,"N")</f>
        <v>6</v>
      </c>
      <c r="K9" s="15" t="n">
        <v>0.7</v>
      </c>
      <c r="L9" s="32" t="n">
        <f aca="false">(D9-$D$18)*100</f>
        <v>1.10264868102301</v>
      </c>
      <c r="M9" s="15" t="str">
        <f aca="false">IF(ABS(L9)&gt;15,"Calibrate",IF(ABS(L9)&gt;8,"Watch","Aligned"))</f>
        <v>Aligned</v>
      </c>
    </row>
    <row r="10" customFormat="false" ht="15" hidden="false" customHeight="false" outlineLevel="0" collapsed="false">
      <c r="A10" s="14" t="s">
        <v>139</v>
      </c>
      <c r="B10" s="14" t="s">
        <v>140</v>
      </c>
      <c r="C10" s="14" t="n">
        <f aca="false">COUNTIFS(Data!$D$2:$D$2284,B10)</f>
        <v>261</v>
      </c>
      <c r="D10" s="21" t="n">
        <f aca="false">COUNTIFS(Data!$D$2:$D$2284,B10,Data!$H$2:$H$2284,"Agent Opportunity")/C10</f>
        <v>0.670498084291188</v>
      </c>
      <c r="E10" s="21" t="n">
        <f aca="false">COUNTIFS(Data!$D$2:$D$2284,B10,Data!$H$2:$H$2284,"Customer")/C10</f>
        <v>0.0881226053639847</v>
      </c>
      <c r="F10" s="21" t="n">
        <f aca="false">COUNTIFS(Data!$D$2:$D$2284,B10,Data!$H$2:$H$2284,"Comcast Process/Tools")/C10</f>
        <v>0.172413793103448</v>
      </c>
      <c r="G10" s="21" t="n">
        <f aca="false">COUNTIFS(Data!$D$2:$D$2284,B10,Data!$H$2:$H$2284,"No Audio Found on I3")/C10</f>
        <v>0.0689655172413793</v>
      </c>
      <c r="H10" s="21" t="n">
        <f aca="false">IFERROR(COUNTIFS(Data!$D$2:$D$2284,B10,Data!$H$2:$H$2284,"&lt;&gt;No Audio Found on I3",Data!$I$2:$I$2284,"&lt;&gt;")/COUNTIFS(Data!$D$2:$D$2284,B10,Data!$H$2:$H$2284,"&lt;&gt;No Audio Found on I3"),0)</f>
        <v>1</v>
      </c>
      <c r="I10" s="14" t="n">
        <f aca="false">COUNTIFS(Data!$D$2:$D$2284,B10,Data!$L$2:$L$2284,"Y")</f>
        <v>47</v>
      </c>
      <c r="J10" s="14" t="n">
        <f aca="false">COUNTIFS(Data!$D$2:$D$2284,B10,Data!$M$2:$M$2284,"N")</f>
        <v>0</v>
      </c>
      <c r="K10" s="14" t="n">
        <v>1.9</v>
      </c>
      <c r="L10" s="29" t="n">
        <f aca="false">(D10-$D$18)*100</f>
        <v>3.18647071558396</v>
      </c>
      <c r="M10" s="14" t="str">
        <f aca="false">IF(ABS(L10)&gt;15,"Calibrate",IF(ABS(L10)&gt;8,"Watch","Aligned"))</f>
        <v>Aligned</v>
      </c>
    </row>
    <row r="11" customFormat="false" ht="15" hidden="false" customHeight="false" outlineLevel="0" collapsed="false">
      <c r="A11" s="15" t="s">
        <v>141</v>
      </c>
      <c r="B11" s="15" t="s">
        <v>142</v>
      </c>
      <c r="C11" s="15" t="n">
        <f aca="false">COUNTIFS(Data!$D$2:$D$2284,B11)</f>
        <v>259</v>
      </c>
      <c r="D11" s="24" t="n">
        <f aca="false">COUNTIFS(Data!$D$2:$D$2284,B11,Data!$H$2:$H$2284,"Agent Opportunity")/C11</f>
        <v>0.586872586872587</v>
      </c>
      <c r="E11" s="24" t="n">
        <f aca="false">COUNTIFS(Data!$D$2:$D$2284,B11,Data!$H$2:$H$2284,"Customer")/C11</f>
        <v>0.104247104247104</v>
      </c>
      <c r="F11" s="24" t="n">
        <f aca="false">COUNTIFS(Data!$D$2:$D$2284,B11,Data!$H$2:$H$2284,"Comcast Process/Tools")/C11</f>
        <v>0.189189189189189</v>
      </c>
      <c r="G11" s="24" t="n">
        <f aca="false">COUNTIFS(Data!$D$2:$D$2284,B11,Data!$H$2:$H$2284,"No Audio Found on I3")/C11</f>
        <v>0.104247104247104</v>
      </c>
      <c r="H11" s="24" t="n">
        <f aca="false">IFERROR(COUNTIFS(Data!$D$2:$D$2284,B11,Data!$H$2:$H$2284,"&lt;&gt;No Audio Found on I3",Data!$I$2:$I$2284,"&lt;&gt;")/COUNTIFS(Data!$D$2:$D$2284,B11,Data!$H$2:$H$2284,"&lt;&gt;No Audio Found on I3"),0)</f>
        <v>1</v>
      </c>
      <c r="I11" s="15" t="n">
        <f aca="false">COUNTIFS(Data!$D$2:$D$2284,B11,Data!$L$2:$L$2284,"Y")</f>
        <v>40</v>
      </c>
      <c r="J11" s="15" t="n">
        <f aca="false">COUNTIFS(Data!$D$2:$D$2284,B11,Data!$M$2:$M$2284,"N")</f>
        <v>3</v>
      </c>
      <c r="K11" s="15" t="n">
        <v>1.8</v>
      </c>
      <c r="L11" s="32" t="n">
        <f aca="false">(D11-$D$18)*100</f>
        <v>-5.17607902627613</v>
      </c>
      <c r="M11" s="15" t="str">
        <f aca="false">IF(ABS(L11)&gt;15,"Calibrate",IF(ABS(L11)&gt;8,"Watch","Aligned"))</f>
        <v>Aligned</v>
      </c>
    </row>
    <row r="12" customFormat="false" ht="15" hidden="false" customHeight="false" outlineLevel="0" collapsed="false">
      <c r="A12" s="14" t="s">
        <v>143</v>
      </c>
      <c r="B12" s="14" t="s">
        <v>144</v>
      </c>
      <c r="C12" s="14" t="n">
        <f aca="false">COUNTIFS(Data!$D$2:$D$2284,B12)</f>
        <v>212</v>
      </c>
      <c r="D12" s="21" t="n">
        <f aca="false">COUNTIFS(Data!$D$2:$D$2284,B12,Data!$H$2:$H$2284,"Agent Opportunity")/C12</f>
        <v>0.778301886792453</v>
      </c>
      <c r="E12" s="21" t="n">
        <f aca="false">COUNTIFS(Data!$D$2:$D$2284,B12,Data!$H$2:$H$2284,"Customer")/C12</f>
        <v>0.0849056603773585</v>
      </c>
      <c r="F12" s="21" t="n">
        <f aca="false">COUNTIFS(Data!$D$2:$D$2284,B12,Data!$H$2:$H$2284,"Comcast Process/Tools")/C12</f>
        <v>0.0424528301886792</v>
      </c>
      <c r="G12" s="21" t="n">
        <f aca="false">COUNTIFS(Data!$D$2:$D$2284,B12,Data!$H$2:$H$2284,"No Audio Found on I3")/C12</f>
        <v>0.0943396226415094</v>
      </c>
      <c r="H12" s="21" t="n">
        <f aca="false">IFERROR(COUNTIFS(Data!$D$2:$D$2284,B12,Data!$H$2:$H$2284,"&lt;&gt;No Audio Found on I3",Data!$I$2:$I$2284,"&lt;&gt;")/COUNTIFS(Data!$D$2:$D$2284,B12,Data!$H$2:$H$2284,"&lt;&gt;No Audio Found on I3"),0)</f>
        <v>1</v>
      </c>
      <c r="I12" s="14" t="n">
        <f aca="false">COUNTIFS(Data!$D$2:$D$2284,B12,Data!$L$2:$L$2284,"Y")</f>
        <v>10</v>
      </c>
      <c r="J12" s="14" t="n">
        <f aca="false">COUNTIFS(Data!$D$2:$D$2284,B12,Data!$M$2:$M$2284,"N")</f>
        <v>2</v>
      </c>
      <c r="K12" s="14" t="n">
        <v>9.5</v>
      </c>
      <c r="L12" s="29" t="n">
        <f aca="false">(D12-$D$18)*100</f>
        <v>13.9668509657105</v>
      </c>
      <c r="M12" s="14" t="str">
        <f aca="false">IF(ABS(L12)&gt;15,"Calibrate",IF(ABS(L12)&gt;8,"Watch","Aligned"))</f>
        <v>Watch</v>
      </c>
    </row>
    <row r="13" customFormat="false" ht="15" hidden="false" customHeight="false" outlineLevel="0" collapsed="false">
      <c r="A13" s="15" t="s">
        <v>145</v>
      </c>
      <c r="B13" s="15" t="s">
        <v>146</v>
      </c>
      <c r="C13" s="15" t="n">
        <f aca="false">COUNTIFS(Data!$D$2:$D$2284,B13)</f>
        <v>79</v>
      </c>
      <c r="D13" s="24" t="n">
        <f aca="false">COUNTIFS(Data!$D$2:$D$2284,B13,Data!$H$2:$H$2284,"Agent Opportunity")/C13</f>
        <v>0.468354430379747</v>
      </c>
      <c r="E13" s="24" t="n">
        <f aca="false">COUNTIFS(Data!$D$2:$D$2284,B13,Data!$H$2:$H$2284,"Customer")/C13</f>
        <v>0.10126582278481</v>
      </c>
      <c r="F13" s="24" t="n">
        <f aca="false">COUNTIFS(Data!$D$2:$D$2284,B13,Data!$H$2:$H$2284,"Comcast Process/Tools")/C13</f>
        <v>0.253164556962025</v>
      </c>
      <c r="G13" s="24" t="n">
        <f aca="false">COUNTIFS(Data!$D$2:$D$2284,B13,Data!$H$2:$H$2284,"No Audio Found on I3")/C13</f>
        <v>0.164556962025316</v>
      </c>
      <c r="H13" s="24" t="n">
        <f aca="false">IFERROR(COUNTIFS(Data!$D$2:$D$2284,B13,Data!$H$2:$H$2284,"&lt;&gt;No Audio Found on I3",Data!$I$2:$I$2284,"&lt;&gt;")/COUNTIFS(Data!$D$2:$D$2284,B13,Data!$H$2:$H$2284,"&lt;&gt;No Audio Found on I3"),0)</f>
        <v>1</v>
      </c>
      <c r="I13" s="15" t="n">
        <f aca="false">COUNTIFS(Data!$D$2:$D$2284,B13,Data!$L$2:$L$2284,"Y")</f>
        <v>7</v>
      </c>
      <c r="J13" s="15" t="n">
        <f aca="false">COUNTIFS(Data!$D$2:$D$2284,B13,Data!$M$2:$M$2284,"N")</f>
        <v>3</v>
      </c>
      <c r="K13" s="15" t="n">
        <v>10.6</v>
      </c>
      <c r="L13" s="32" t="n">
        <f aca="false">(D13-$D$18)*100</f>
        <v>-17.0278946755601</v>
      </c>
      <c r="M13" s="15" t="str">
        <f aca="false">IF(ABS(L13)&gt;15,"Calibrate",IF(ABS(L13)&gt;8,"Watch","Aligned"))</f>
        <v>Calibrate</v>
      </c>
    </row>
    <row r="14" customFormat="false" ht="15" hidden="false" customHeight="false" outlineLevel="0" collapsed="false">
      <c r="A14" s="14" t="s">
        <v>147</v>
      </c>
      <c r="B14" s="14" t="s">
        <v>148</v>
      </c>
      <c r="C14" s="14" t="n">
        <f aca="false">COUNTIFS(Data!$D$2:$D$2284,B14)</f>
        <v>48</v>
      </c>
      <c r="D14" s="21" t="n">
        <f aca="false">COUNTIFS(Data!$D$2:$D$2284,B14,Data!$H$2:$H$2284,"Agent Opportunity")/C14</f>
        <v>0.208333333333333</v>
      </c>
      <c r="E14" s="21" t="n">
        <f aca="false">COUNTIFS(Data!$D$2:$D$2284,B14,Data!$H$2:$H$2284,"Customer")/C14</f>
        <v>0.104166666666667</v>
      </c>
      <c r="F14" s="21" t="n">
        <f aca="false">COUNTIFS(Data!$D$2:$D$2284,B14,Data!$H$2:$H$2284,"Comcast Process/Tools")/C14</f>
        <v>0.604166666666667</v>
      </c>
      <c r="G14" s="21" t="n">
        <f aca="false">COUNTIFS(Data!$D$2:$D$2284,B14,Data!$H$2:$H$2284,"No Audio Found on I3")/C14</f>
        <v>0.0833333333333333</v>
      </c>
      <c r="H14" s="21" t="n">
        <f aca="false">IFERROR(COUNTIFS(Data!$D$2:$D$2284,B14,Data!$H$2:$H$2284,"&lt;&gt;No Audio Found on I3",Data!$I$2:$I$2284,"&lt;&gt;")/COUNTIFS(Data!$D$2:$D$2284,B14,Data!$H$2:$H$2284,"&lt;&gt;No Audio Found on I3"),0)</f>
        <v>1</v>
      </c>
      <c r="I14" s="14" t="n">
        <f aca="false">COUNTIFS(Data!$D$2:$D$2284,B14,Data!$L$2:$L$2284,"Y")</f>
        <v>10</v>
      </c>
      <c r="J14" s="14" t="n">
        <f aca="false">COUNTIFS(Data!$D$2:$D$2284,B14,Data!$M$2:$M$2284,"N")</f>
        <v>1</v>
      </c>
      <c r="K14" s="14" t="n">
        <v>2.2</v>
      </c>
      <c r="L14" s="29" t="n">
        <f aca="false">(D14-$D$18)*100</f>
        <v>-43.0300043802015</v>
      </c>
      <c r="M14" s="14" t="str">
        <f aca="false">IF(ABS(L14)&gt;15,"Calibrate",IF(ABS(L14)&gt;8,"Watch","Aligned"))</f>
        <v>Calibrate</v>
      </c>
    </row>
    <row r="15" customFormat="false" ht="15" hidden="false" customHeight="false" outlineLevel="0" collapsed="false">
      <c r="A15" s="15" t="s">
        <v>149</v>
      </c>
      <c r="B15" s="15" t="s">
        <v>150</v>
      </c>
      <c r="C15" s="15" t="n">
        <f aca="false">COUNTIFS(Data!$D$2:$D$2284,B15)</f>
        <v>30</v>
      </c>
      <c r="D15" s="24" t="n">
        <f aca="false">COUNTIFS(Data!$D$2:$D$2284,B15,Data!$H$2:$H$2284,"Agent Opportunity")/C15</f>
        <v>0.666666666666667</v>
      </c>
      <c r="E15" s="24" t="n">
        <f aca="false">COUNTIFS(Data!$D$2:$D$2284,B15,Data!$H$2:$H$2284,"Customer")/C15</f>
        <v>0.1</v>
      </c>
      <c r="F15" s="24" t="n">
        <f aca="false">COUNTIFS(Data!$D$2:$D$2284,B15,Data!$H$2:$H$2284,"Comcast Process/Tools")/C15</f>
        <v>0.0666666666666667</v>
      </c>
      <c r="G15" s="24" t="n">
        <f aca="false">COUNTIFS(Data!$D$2:$D$2284,B15,Data!$H$2:$H$2284,"No Audio Found on I3")/C15</f>
        <v>0.166666666666667</v>
      </c>
      <c r="H15" s="24" t="n">
        <f aca="false">IFERROR(COUNTIFS(Data!$D$2:$D$2284,B15,Data!$H$2:$H$2284,"&lt;&gt;No Audio Found on I3",Data!$I$2:$I$2284,"&lt;&gt;")/COUNTIFS(Data!$D$2:$D$2284,B15,Data!$H$2:$H$2284,"&lt;&gt;No Audio Found on I3"),0)</f>
        <v>1</v>
      </c>
      <c r="I15" s="15" t="n">
        <f aca="false">COUNTIFS(Data!$D$2:$D$2284,B15,Data!$L$2:$L$2284,"Y")</f>
        <v>5</v>
      </c>
      <c r="J15" s="15" t="n">
        <f aca="false">COUNTIFS(Data!$D$2:$D$2284,B15,Data!$M$2:$M$2284,"N")</f>
        <v>0</v>
      </c>
      <c r="K15" s="15" t="n">
        <v>5.1</v>
      </c>
      <c r="L15" s="32" t="n">
        <f aca="false">(D15-$D$18)*100</f>
        <v>2.80332895313185</v>
      </c>
      <c r="M15" s="15" t="str">
        <f aca="false">IF(ABS(L15)&gt;15,"Calibrate",IF(ABS(L15)&gt;8,"Watch","Aligned"))</f>
        <v>Aligned</v>
      </c>
    </row>
    <row r="16" customFormat="false" ht="15" hidden="false" customHeight="false" outlineLevel="0" collapsed="false">
      <c r="A16" s="39" t="s">
        <v>151</v>
      </c>
      <c r="B16" s="39" t="s">
        <v>152</v>
      </c>
      <c r="C16" s="39" t="n">
        <f aca="false">COUNTIFS(Data!$D$2:$D$2284,B16)</f>
        <v>29</v>
      </c>
      <c r="D16" s="40" t="n">
        <f aca="false">COUNTIFS(Data!$D$2:$D$2284,B16,Data!$H$2:$H$2284,"Agent Opportunity")/C16</f>
        <v>0.379310344827586</v>
      </c>
      <c r="E16" s="40" t="n">
        <f aca="false">COUNTIFS(Data!$D$2:$D$2284,B16,Data!$H$2:$H$2284,"Customer")/C16</f>
        <v>0.137931034482759</v>
      </c>
      <c r="F16" s="40" t="n">
        <f aca="false">COUNTIFS(Data!$D$2:$D$2284,B16,Data!$H$2:$H$2284,"Comcast Process/Tools")/C16</f>
        <v>0.344827586206897</v>
      </c>
      <c r="G16" s="40" t="n">
        <f aca="false">COUNTIFS(Data!$D$2:$D$2284,B16,Data!$H$2:$H$2284,"No Audio Found on I3")/C16</f>
        <v>0.137931034482759</v>
      </c>
      <c r="H16" s="40" t="n">
        <f aca="false">IFERROR(COUNTIFS(Data!$D$2:$D$2284,B16,Data!$H$2:$H$2284,"&lt;&gt;No Audio Found on I3",Data!$I$2:$I$2284,"&lt;&gt;")/COUNTIFS(Data!$D$2:$D$2284,B16,Data!$H$2:$H$2284,"&lt;&gt;No Audio Found on I3"),0)</f>
        <v>1</v>
      </c>
      <c r="I16" s="39" t="n">
        <f aca="false">COUNTIFS(Data!$D$2:$D$2284,B16,Data!$L$2:$L$2284,"Y")</f>
        <v>4</v>
      </c>
      <c r="J16" s="39" t="n">
        <f aca="false">COUNTIFS(Data!$D$2:$D$2284,B16,Data!$M$2:$M$2284,"N")</f>
        <v>2</v>
      </c>
      <c r="K16" s="39" t="n">
        <v>11.8</v>
      </c>
      <c r="L16" s="41" t="n">
        <f aca="false">(D16-$D$18)*100</f>
        <v>-25.9323032307762</v>
      </c>
      <c r="M16" s="39" t="str">
        <f aca="false">IF(ABS(L16)&gt;15,"Calibrate",IF(ABS(L16)&gt;8,"Watch","Aligned"))</f>
        <v>Calibrate</v>
      </c>
    </row>
    <row r="17" customFormat="false" ht="15" hidden="false" customHeight="false" outlineLevel="0" collapsed="false">
      <c r="A17" s="15" t="s">
        <v>153</v>
      </c>
      <c r="B17" s="15" t="s">
        <v>154</v>
      </c>
      <c r="C17" s="15" t="n">
        <f aca="false">COUNTIFS(Data!$D$2:$D$2284,B17)</f>
        <v>21</v>
      </c>
      <c r="D17" s="24" t="n">
        <f aca="false">COUNTIFS(Data!$D$2:$D$2284,B17,Data!$H$2:$H$2284,"Agent Opportunity")/C17</f>
        <v>0.619047619047619</v>
      </c>
      <c r="E17" s="24" t="n">
        <f aca="false">COUNTIFS(Data!$D$2:$D$2284,B17,Data!$H$2:$H$2284,"Customer")/C17</f>
        <v>0.0952380952380952</v>
      </c>
      <c r="F17" s="24" t="n">
        <f aca="false">COUNTIFS(Data!$D$2:$D$2284,B17,Data!$H$2:$H$2284,"Comcast Process/Tools")/C17</f>
        <v>0.19047619047619</v>
      </c>
      <c r="G17" s="24" t="n">
        <f aca="false">COUNTIFS(Data!$D$2:$D$2284,B17,Data!$H$2:$H$2284,"No Audio Found on I3")/C17</f>
        <v>0.0952380952380952</v>
      </c>
      <c r="H17" s="24" t="n">
        <f aca="false">IFERROR(COUNTIFS(Data!$D$2:$D$2284,B17,Data!$H$2:$H$2284,"&lt;&gt;No Audio Found on I3",Data!$I$2:$I$2284,"&lt;&gt;")/COUNTIFS(Data!$D$2:$D$2284,B17,Data!$H$2:$H$2284,"&lt;&gt;No Audio Found on I3"),0)</f>
        <v>1</v>
      </c>
      <c r="I17" s="15" t="n">
        <f aca="false">COUNTIFS(Data!$D$2:$D$2284,B17,Data!$L$2:$L$2284,"Y")</f>
        <v>10</v>
      </c>
      <c r="J17" s="15" t="n">
        <f aca="false">COUNTIFS(Data!$D$2:$D$2284,B17,Data!$M$2:$M$2284,"N")</f>
        <v>0</v>
      </c>
      <c r="K17" s="15" t="n">
        <v>85.2</v>
      </c>
      <c r="L17" s="32" t="n">
        <f aca="false">(D17-$D$18)*100</f>
        <v>-1.95857580877291</v>
      </c>
      <c r="M17" s="15" t="str">
        <f aca="false">IF(ABS(L17)&gt;15,"Calibrate",IF(ABS(L17)&gt;8,"Watch","Aligned"))</f>
        <v>Aligned</v>
      </c>
    </row>
    <row r="18" customFormat="false" ht="15" hidden="false" customHeight="false" outlineLevel="0" collapsed="false">
      <c r="A18" s="42" t="s">
        <v>155</v>
      </c>
      <c r="B18" s="42"/>
      <c r="C18" s="42" t="n">
        <f aca="false">SUM(C6:C17)</f>
        <v>2283</v>
      </c>
      <c r="D18" s="43" t="n">
        <f aca="false">COUNTIFS(Data!$H$2:$H$2284,"Agent Opportunity")/C18</f>
        <v>0.638633377135348</v>
      </c>
      <c r="E18" s="43" t="n">
        <f aca="false">COUNTIFS(Data!$H$2:$H$2284,"Customer")/C18</f>
        <v>0.0893561103810775</v>
      </c>
      <c r="F18" s="43" t="n">
        <f aca="false">COUNTIFS(Data!$H$2:$H$2284,"Comcast Process/Tools")/C18</f>
        <v>0.175646079719667</v>
      </c>
      <c r="G18" s="43" t="n">
        <f aca="false">COUNTIFS(Data!$H$2:$H$2284,"No Audio Found on I3")/C18</f>
        <v>0.0819097678493211</v>
      </c>
      <c r="H18" s="43" t="n">
        <f aca="false">COUNTIFS(Data!$H$2:$H$2284,"&lt;&gt;No Audio Found on I3",Data!$I$2:$I$2284,"&lt;&gt;")/COUNTIFS(Data!$H$2:$H$2284,"&lt;&gt;No Audio Found on I3")</f>
        <v>1</v>
      </c>
      <c r="I18" s="42" t="n">
        <f aca="false">SUM(I6:I17)</f>
        <v>260</v>
      </c>
      <c r="J18" s="42" t="n">
        <f aca="false">SUM(J6:J17)</f>
        <v>36</v>
      </c>
      <c r="K18" s="42" t="n">
        <v>3.8</v>
      </c>
      <c r="L18" s="42"/>
      <c r="M18" s="42"/>
    </row>
    <row r="19" customFormat="false" ht="15" hidden="false" customHeight="false" outlineLevel="0" collapsed="false">
      <c r="A19" s="38" t="s">
        <v>156</v>
      </c>
    </row>
  </sheetData>
  <conditionalFormatting sqref="M6:M17">
    <cfRule type="cellIs" priority="2" operator="equal" aboveAverage="0" equalAverage="0" bottom="0" percent="0" rank="0" text="" dxfId="0">
      <formula>"Calibrate"</formula>
    </cfRule>
    <cfRule type="cellIs" priority="3" operator="equal" aboveAverage="0" equalAverage="0" bottom="0" percent="0" rank="0" text="" dxfId="1">
      <formula>"Watch"</formula>
    </cfRule>
  </conditionalFormatting>
  <conditionalFormatting sqref="D6:D17">
    <cfRule type="dataBar" priority="4">
      <dataBar showValue="1" minLength="10" maxLength="90">
        <cfvo type="num" val="0"/>
        <cfvo type="num" val="1"/>
        <color rgb="FF0B2545"/>
      </dataBar>
      <extLst>
        <ext xmlns:x14="http://schemas.microsoft.com/office/spreadsheetml/2009/9/main" uri="{B025F937-C7B1-47D3-B67F-A62EFF666E3E}">
          <x14:id>{10404EA2-7298-4F10-8120-836E86926E64}</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10404EA2-7298-4F10-8120-836E86926E64}">
            <x14:dataBar minLength="10" maxLength="90" axisPosition="none" gradient="true">
              <x14:cfvo type="num">
                <xm:f>0</xm:f>
              </x14:cfvo>
              <x14:cfvo type="num">
                <xm:f>1</xm:f>
              </x14:cfvo>
              <x14:negativeFillColor rgb="FF0B2545"/>
              <x14:axisColor rgb="FF000000"/>
            </x14:dataBar>
          </x14:cfRule>
          <xm:sqref>D6:D17</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2545"/>
    <pageSetUpPr fitToPage="false"/>
  </sheetPr>
  <dimension ref="A1:N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1"/>
    <col collapsed="false" customWidth="true" hidden="false" outlineLevel="0" max="3" min="3" style="0" width="14"/>
    <col collapsed="false" customWidth="true" hidden="false" outlineLevel="0" max="4" min="4" style="0" width="9"/>
    <col collapsed="false" customWidth="true" hidden="false" outlineLevel="0" max="5" min="5" style="0" width="13"/>
    <col collapsed="false" customWidth="true" hidden="false" outlineLevel="0" max="6" min="6" style="0" width="10"/>
  </cols>
  <sheetData>
    <row r="1" customFormat="false" ht="30" hidden="false" customHeight="true" outlineLevel="0" collapsed="false">
      <c r="A1" s="1" t="s">
        <v>157</v>
      </c>
      <c r="B1" s="2"/>
      <c r="C1" s="2"/>
      <c r="D1" s="2"/>
      <c r="E1" s="2"/>
      <c r="F1" s="2"/>
      <c r="G1" s="2"/>
      <c r="H1" s="2"/>
      <c r="I1" s="2"/>
      <c r="J1" s="2"/>
      <c r="K1" s="2"/>
      <c r="L1" s="2"/>
      <c r="M1" s="2"/>
      <c r="N1" s="2"/>
    </row>
    <row r="2" customFormat="false" ht="15" hidden="false" customHeight="false" outlineLevel="0" collapsed="false">
      <c r="A2" s="3" t="s">
        <v>158</v>
      </c>
      <c r="B2" s="2"/>
      <c r="C2" s="2"/>
      <c r="D2" s="2"/>
      <c r="E2" s="2"/>
      <c r="F2" s="2"/>
      <c r="G2" s="2"/>
      <c r="H2" s="2"/>
      <c r="I2" s="2"/>
      <c r="J2" s="2"/>
      <c r="K2" s="2"/>
      <c r="L2" s="2"/>
      <c r="M2" s="2"/>
      <c r="N2" s="2"/>
    </row>
    <row r="3" customFormat="false" ht="3.75" hidden="false" customHeight="true" outlineLevel="0" collapsed="false">
      <c r="A3" s="4"/>
      <c r="B3" s="4"/>
      <c r="C3" s="4"/>
      <c r="D3" s="4"/>
      <c r="E3" s="4"/>
      <c r="F3" s="4"/>
      <c r="G3" s="4"/>
      <c r="H3" s="4"/>
      <c r="I3" s="4"/>
      <c r="J3" s="4"/>
      <c r="K3" s="4"/>
      <c r="L3" s="4"/>
      <c r="M3" s="4"/>
      <c r="N3" s="4"/>
    </row>
    <row r="5" customFormat="false" ht="15" hidden="false" customHeight="false" outlineLevel="0" collapsed="false">
      <c r="A5" s="9" t="s">
        <v>159</v>
      </c>
      <c r="B5" s="10"/>
      <c r="C5" s="10"/>
      <c r="D5" s="10"/>
      <c r="E5" s="10"/>
      <c r="F5" s="10"/>
      <c r="G5" s="10"/>
      <c r="H5" s="10"/>
      <c r="I5" s="10"/>
      <c r="J5" s="10"/>
    </row>
    <row r="6" customFormat="false" ht="15" hidden="false" customHeight="false" outlineLevel="0" collapsed="false">
      <c r="A6" s="13" t="s">
        <v>160</v>
      </c>
      <c r="B6" s="13" t="s">
        <v>161</v>
      </c>
      <c r="C6" s="13" t="s">
        <v>162</v>
      </c>
      <c r="D6" s="13" t="s">
        <v>163</v>
      </c>
      <c r="E6" s="13" t="s">
        <v>164</v>
      </c>
      <c r="F6" s="13" t="s">
        <v>165</v>
      </c>
      <c r="H6" s="12" t="s">
        <v>166</v>
      </c>
    </row>
    <row r="7" customFormat="false" ht="15" hidden="false" customHeight="false" outlineLevel="0" collapsed="false">
      <c r="A7" s="14" t="s">
        <v>167</v>
      </c>
      <c r="B7" s="14" t="n">
        <f aca="false">COUNTIFS(Data!$H$2:$H$2284,A7)</f>
        <v>1458</v>
      </c>
      <c r="C7" s="18" t="n">
        <f aca="false">B7/2283</f>
        <v>0.638633377135348</v>
      </c>
      <c r="D7" s="14" t="n">
        <f aca="false">COUNTIFS(Data!$H$2:$H$2284,A7,Data!$D$2:$D$2284,"Omar.Mansour@vxi.com")</f>
        <v>11</v>
      </c>
      <c r="E7" s="18" t="n">
        <f aca="false">D7/COUNTIFS(Data!$D$2:$D$2284,"Omar.Mansour@vxi.com")</f>
        <v>0.379310344827586</v>
      </c>
      <c r="F7" s="29" t="n">
        <f aca="false">(E7-C7)*100</f>
        <v>-25.9323032307762</v>
      </c>
    </row>
    <row r="8" customFormat="false" ht="15" hidden="false" customHeight="false" outlineLevel="0" collapsed="false">
      <c r="A8" s="15" t="s">
        <v>57</v>
      </c>
      <c r="B8" s="15" t="n">
        <f aca="false">COUNTIFS(Data!$H$2:$H$2284,A8)</f>
        <v>204</v>
      </c>
      <c r="C8" s="16" t="n">
        <f aca="false">B8/2283</f>
        <v>0.0893561103810775</v>
      </c>
      <c r="D8" s="15" t="n">
        <f aca="false">COUNTIFS(Data!$H$2:$H$2284,A8,Data!$D$2:$D$2284,"Omar.Mansour@vxi.com")</f>
        <v>4</v>
      </c>
      <c r="E8" s="16" t="n">
        <f aca="false">D8/COUNTIFS(Data!$D$2:$D$2284,"Omar.Mansour@vxi.com")</f>
        <v>0.137931034482759</v>
      </c>
      <c r="F8" s="32" t="n">
        <f aca="false">(E8-C8)*100</f>
        <v>4.85749241016811</v>
      </c>
    </row>
    <row r="9" customFormat="false" ht="15" hidden="false" customHeight="false" outlineLevel="0" collapsed="false">
      <c r="A9" s="14" t="s">
        <v>168</v>
      </c>
      <c r="B9" s="14" t="n">
        <f aca="false">COUNTIFS(Data!$H$2:$H$2284,A9)</f>
        <v>401</v>
      </c>
      <c r="C9" s="18" t="n">
        <f aca="false">B9/2283</f>
        <v>0.175646079719667</v>
      </c>
      <c r="D9" s="14" t="n">
        <f aca="false">COUNTIFS(Data!$H$2:$H$2284,A9,Data!$D$2:$D$2284,"Omar.Mansour@vxi.com")</f>
        <v>10</v>
      </c>
      <c r="E9" s="18" t="n">
        <f aca="false">D9/COUNTIFS(Data!$D$2:$D$2284,"Omar.Mansour@vxi.com")</f>
        <v>0.344827586206897</v>
      </c>
      <c r="F9" s="29" t="n">
        <f aca="false">(E9-C9)*100</f>
        <v>16.9181506487229</v>
      </c>
    </row>
    <row r="10" customFormat="false" ht="15" hidden="false" customHeight="false" outlineLevel="0" collapsed="false">
      <c r="A10" s="15" t="s">
        <v>169</v>
      </c>
      <c r="B10" s="15" t="n">
        <f aca="false">COUNTIFS(Data!$H$2:$H$2284,A10)</f>
        <v>187</v>
      </c>
      <c r="C10" s="16" t="n">
        <f aca="false">B10/2283</f>
        <v>0.0819097678493211</v>
      </c>
      <c r="D10" s="15" t="n">
        <f aca="false">COUNTIFS(Data!$H$2:$H$2284,A10,Data!$D$2:$D$2284,"Omar.Mansour@vxi.com")</f>
        <v>4</v>
      </c>
      <c r="E10" s="16" t="n">
        <f aca="false">D10/COUNTIFS(Data!$D$2:$D$2284,"Omar.Mansour@vxi.com")</f>
        <v>0.137931034482759</v>
      </c>
      <c r="F10" s="32" t="n">
        <f aca="false">(E10-C10)*100</f>
        <v>5.60212666334376</v>
      </c>
    </row>
    <row r="11" customFormat="false" ht="15" hidden="false" customHeight="false" outlineLevel="0" collapsed="false">
      <c r="A11" s="14" t="s">
        <v>170</v>
      </c>
      <c r="B11" s="14" t="n">
        <f aca="false">COUNTIFS(Data!$H$2:$H$2284,A11)</f>
        <v>33</v>
      </c>
      <c r="C11" s="18" t="n">
        <f aca="false">B11/2283</f>
        <v>0.0144546649145861</v>
      </c>
      <c r="D11" s="14" t="n">
        <f aca="false">COUNTIFS(Data!$H$2:$H$2284,A11,Data!$D$2:$D$2284,"Omar.Mansour@vxi.com")</f>
        <v>0</v>
      </c>
      <c r="E11" s="18" t="n">
        <f aca="false">D11/COUNTIFS(Data!$D$2:$D$2284,"Omar.Mansour@vxi.com")</f>
        <v>0</v>
      </c>
      <c r="F11" s="29" t="n">
        <f aca="false">(E11-C11)*100</f>
        <v>-1.44546649145861</v>
      </c>
    </row>
    <row r="14" customFormat="false" ht="15" hidden="false" customHeight="false" outlineLevel="0" collapsed="false">
      <c r="A14" s="9" t="s">
        <v>171</v>
      </c>
      <c r="B14" s="10"/>
      <c r="C14" s="10"/>
      <c r="D14" s="10"/>
      <c r="E14" s="10"/>
      <c r="F14" s="10"/>
      <c r="G14" s="10"/>
      <c r="H14" s="10"/>
      <c r="I14" s="10"/>
      <c r="J14" s="10"/>
    </row>
    <row r="15" customFormat="false" ht="23.85" hidden="false" customHeight="false" outlineLevel="0" collapsed="false">
      <c r="A15" s="13" t="s">
        <v>172</v>
      </c>
      <c r="B15" s="13" t="s">
        <v>161</v>
      </c>
      <c r="C15" s="13" t="s">
        <v>173</v>
      </c>
      <c r="D15" s="13" t="s">
        <v>163</v>
      </c>
      <c r="E15" s="13" t="s">
        <v>174</v>
      </c>
    </row>
    <row r="16" customFormat="false" ht="15" hidden="false" customHeight="false" outlineLevel="0" collapsed="false">
      <c r="A16" s="14" t="s">
        <v>175</v>
      </c>
      <c r="B16" s="14" t="n">
        <f aca="false">COUNTIFS(Data!$H$2:$H$2284,"Agent Opportunity",Data!$I$2:$I$2284,A16)</f>
        <v>596</v>
      </c>
      <c r="C16" s="18" t="n">
        <f aca="false">B16/COUNTIFS(Data!$H$2:$H$2284,"Agent Opportunity")</f>
        <v>0.40877914951989</v>
      </c>
      <c r="D16" s="14" t="n">
        <f aca="false">COUNTIFS(Data!$H$2:$H$2284,"Agent Opportunity",Data!$I$2:$I$2284,A16,Data!$D$2:$D$2284,"Omar.Mansour@vxi.com")</f>
        <v>0</v>
      </c>
      <c r="E16" s="21" t="n">
        <f aca="false">C16</f>
        <v>0.40877914951989</v>
      </c>
    </row>
    <row r="17" customFormat="false" ht="15" hidden="false" customHeight="false" outlineLevel="0" collapsed="false">
      <c r="A17" s="15" t="s">
        <v>176</v>
      </c>
      <c r="B17" s="15" t="n">
        <f aca="false">COUNTIFS(Data!$H$2:$H$2284,"Agent Opportunity",Data!$I$2:$I$2284,A17)</f>
        <v>353</v>
      </c>
      <c r="C17" s="16" t="n">
        <f aca="false">B17/COUNTIFS(Data!$H$2:$H$2284,"Agent Opportunity")</f>
        <v>0.242112482853224</v>
      </c>
      <c r="D17" s="15" t="n">
        <f aca="false">COUNTIFS(Data!$H$2:$H$2284,"Agent Opportunity",Data!$I$2:$I$2284,A17,Data!$D$2:$D$2284,"Omar.Mansour@vxi.com")</f>
        <v>6</v>
      </c>
      <c r="E17" s="24" t="n">
        <f aca="false">E16+C17</f>
        <v>0.650891632373114</v>
      </c>
    </row>
    <row r="18" customFormat="false" ht="15" hidden="false" customHeight="false" outlineLevel="0" collapsed="false">
      <c r="A18" s="14" t="s">
        <v>177</v>
      </c>
      <c r="B18" s="14" t="n">
        <f aca="false">COUNTIFS(Data!$H$2:$H$2284,"Agent Opportunity",Data!$I$2:$I$2284,A18)</f>
        <v>106</v>
      </c>
      <c r="C18" s="18" t="n">
        <f aca="false">B18/COUNTIFS(Data!$H$2:$H$2284,"Agent Opportunity")</f>
        <v>0.0727023319615912</v>
      </c>
      <c r="D18" s="14" t="n">
        <f aca="false">COUNTIFS(Data!$H$2:$H$2284,"Agent Opportunity",Data!$I$2:$I$2284,A18,Data!$D$2:$D$2284,"Omar.Mansour@vxi.com")</f>
        <v>1</v>
      </c>
      <c r="E18" s="21" t="n">
        <f aca="false">E17+C18</f>
        <v>0.723593964334705</v>
      </c>
    </row>
    <row r="19" customFormat="false" ht="15" hidden="false" customHeight="false" outlineLevel="0" collapsed="false">
      <c r="A19" s="15" t="s">
        <v>178</v>
      </c>
      <c r="B19" s="15" t="n">
        <f aca="false">COUNTIFS(Data!$H$2:$H$2284,"Agent Opportunity",Data!$I$2:$I$2284,A19)</f>
        <v>99</v>
      </c>
      <c r="C19" s="16" t="n">
        <f aca="false">B19/COUNTIFS(Data!$H$2:$H$2284,"Agent Opportunity")</f>
        <v>0.0679012345679012</v>
      </c>
      <c r="D19" s="15" t="n">
        <f aca="false">COUNTIFS(Data!$H$2:$H$2284,"Agent Opportunity",Data!$I$2:$I$2284,A19,Data!$D$2:$D$2284,"Omar.Mansour@vxi.com")</f>
        <v>2</v>
      </c>
      <c r="E19" s="24" t="n">
        <f aca="false">E18+C19</f>
        <v>0.791495198902606</v>
      </c>
    </row>
    <row r="20" customFormat="false" ht="15" hidden="false" customHeight="false" outlineLevel="0" collapsed="false">
      <c r="A20" s="14" t="s">
        <v>179</v>
      </c>
      <c r="B20" s="14" t="n">
        <f aca="false">COUNTIFS(Data!$H$2:$H$2284,"Agent Opportunity",Data!$I$2:$I$2284,A20)</f>
        <v>92</v>
      </c>
      <c r="C20" s="18" t="n">
        <f aca="false">B20/COUNTIFS(Data!$H$2:$H$2284,"Agent Opportunity")</f>
        <v>0.0631001371742112</v>
      </c>
      <c r="D20" s="14" t="n">
        <f aca="false">COUNTIFS(Data!$H$2:$H$2284,"Agent Opportunity",Data!$I$2:$I$2284,A20,Data!$D$2:$D$2284,"Omar.Mansour@vxi.com")</f>
        <v>1</v>
      </c>
      <c r="E20" s="21" t="n">
        <f aca="false">E19+C20</f>
        <v>0.854595336076818</v>
      </c>
    </row>
    <row r="21" customFormat="false" ht="15" hidden="false" customHeight="false" outlineLevel="0" collapsed="false">
      <c r="A21" s="15" t="s">
        <v>180</v>
      </c>
      <c r="B21" s="15" t="n">
        <f aca="false">COUNTIFS(Data!$H$2:$H$2284,"Agent Opportunity",Data!$I$2:$I$2284,A21)</f>
        <v>72</v>
      </c>
      <c r="C21" s="16" t="n">
        <f aca="false">B21/COUNTIFS(Data!$H$2:$H$2284,"Agent Opportunity")</f>
        <v>0.0493827160493827</v>
      </c>
      <c r="D21" s="15" t="n">
        <f aca="false">COUNTIFS(Data!$H$2:$H$2284,"Agent Opportunity",Data!$I$2:$I$2284,A21,Data!$D$2:$D$2284,"Omar.Mansour@vxi.com")</f>
        <v>1</v>
      </c>
      <c r="E21" s="24" t="n">
        <f aca="false">E20+C21</f>
        <v>0.9039780521262</v>
      </c>
    </row>
    <row r="22" customFormat="false" ht="15" hidden="false" customHeight="false" outlineLevel="0" collapsed="false">
      <c r="A22" s="14" t="s">
        <v>181</v>
      </c>
      <c r="B22" s="14" t="n">
        <f aca="false">COUNTIFS(Data!$H$2:$H$2284,"Agent Opportunity",Data!$I$2:$I$2284,A22)</f>
        <v>31</v>
      </c>
      <c r="C22" s="18" t="n">
        <f aca="false">B22/COUNTIFS(Data!$H$2:$H$2284,"Agent Opportunity")</f>
        <v>0.0212620027434842</v>
      </c>
      <c r="D22" s="14" t="n">
        <f aca="false">COUNTIFS(Data!$H$2:$H$2284,"Agent Opportunity",Data!$I$2:$I$2284,A22,Data!$D$2:$D$2284,"Omar.Mansour@vxi.com")</f>
        <v>0</v>
      </c>
      <c r="E22" s="21" t="n">
        <f aca="false">E21+C22</f>
        <v>0.925240054869685</v>
      </c>
    </row>
    <row r="23" customFormat="false" ht="15" hidden="false" customHeight="false" outlineLevel="0" collapsed="false">
      <c r="A23" s="15" t="s">
        <v>182</v>
      </c>
      <c r="B23" s="15" t="n">
        <f aca="false">COUNTIFS(Data!$H$2:$H$2284,"Agent Opportunity",Data!$I$2:$I$2284,A23)</f>
        <v>28</v>
      </c>
      <c r="C23" s="16" t="n">
        <f aca="false">B23/COUNTIFS(Data!$H$2:$H$2284,"Agent Opportunity")</f>
        <v>0.0192043895747599</v>
      </c>
      <c r="D23" s="15" t="n">
        <f aca="false">COUNTIFS(Data!$H$2:$H$2284,"Agent Opportunity",Data!$I$2:$I$2284,A23,Data!$D$2:$D$2284,"Omar.Mansour@vxi.com")</f>
        <v>0</v>
      </c>
      <c r="E23" s="24" t="n">
        <f aca="false">E22+C23</f>
        <v>0.944444444444444</v>
      </c>
    </row>
    <row r="24" customFormat="false" ht="15" hidden="false" customHeight="false" outlineLevel="0" collapsed="false">
      <c r="A24" s="14" t="s">
        <v>183</v>
      </c>
      <c r="B24" s="14" t="n">
        <f aca="false">COUNTIFS(Data!$H$2:$H$2284,"Agent Opportunity",Data!$I$2:$I$2284,A24)</f>
        <v>28</v>
      </c>
      <c r="C24" s="18" t="n">
        <f aca="false">B24/COUNTIFS(Data!$H$2:$H$2284,"Agent Opportunity")</f>
        <v>0.0192043895747599</v>
      </c>
      <c r="D24" s="14" t="n">
        <f aca="false">COUNTIFS(Data!$H$2:$H$2284,"Agent Opportunity",Data!$I$2:$I$2284,A24,Data!$D$2:$D$2284,"Omar.Mansour@vxi.com")</f>
        <v>0</v>
      </c>
      <c r="E24" s="21" t="n">
        <f aca="false">E23+C24</f>
        <v>0.963648834019204</v>
      </c>
    </row>
    <row r="25" customFormat="false" ht="15" hidden="false" customHeight="false" outlineLevel="0" collapsed="false">
      <c r="A25" s="15" t="s">
        <v>184</v>
      </c>
      <c r="B25" s="15" t="n">
        <f aca="false">COUNTIFS(Data!$H$2:$H$2284,"Agent Opportunity",Data!$I$2:$I$2284,A25)</f>
        <v>25</v>
      </c>
      <c r="C25" s="16" t="n">
        <f aca="false">B25/COUNTIFS(Data!$H$2:$H$2284,"Agent Opportunity")</f>
        <v>0.0171467764060357</v>
      </c>
      <c r="D25" s="15" t="n">
        <f aca="false">COUNTIFS(Data!$H$2:$H$2284,"Agent Opportunity",Data!$I$2:$I$2284,A25,Data!$D$2:$D$2284,"Omar.Mansour@vxi.com")</f>
        <v>0</v>
      </c>
      <c r="E25" s="24" t="n">
        <f aca="false">E24+C25</f>
        <v>0.98079561042524</v>
      </c>
    </row>
    <row r="26" customFormat="false" ht="15" hidden="false" customHeight="false" outlineLevel="0" collapsed="false">
      <c r="A26" s="14" t="s">
        <v>185</v>
      </c>
      <c r="B26" s="14" t="n">
        <f aca="false">COUNTIFS(Data!$H$2:$H$2284,"Agent Opportunity",Data!$I$2:$I$2284,A26)</f>
        <v>13</v>
      </c>
      <c r="C26" s="18" t="n">
        <f aca="false">B26/COUNTIFS(Data!$H$2:$H$2284,"Agent Opportunity")</f>
        <v>0.00891632373113855</v>
      </c>
      <c r="D26" s="14" t="n">
        <f aca="false">COUNTIFS(Data!$H$2:$H$2284,"Agent Opportunity",Data!$I$2:$I$2284,A26,Data!$D$2:$D$2284,"Omar.Mansour@vxi.com")</f>
        <v>0</v>
      </c>
      <c r="E26" s="21" t="n">
        <f aca="false">E25+C26</f>
        <v>0.989711934156379</v>
      </c>
    </row>
    <row r="27" customFormat="false" ht="15" hidden="false" customHeight="false" outlineLevel="0" collapsed="false">
      <c r="A27" s="15" t="s">
        <v>186</v>
      </c>
      <c r="B27" s="15" t="n">
        <f aca="false">COUNTIFS(Data!$H$2:$H$2284,"Agent Opportunity",Data!$I$2:$I$2284,A27)</f>
        <v>8</v>
      </c>
      <c r="C27" s="16" t="n">
        <f aca="false">B27/COUNTIFS(Data!$H$2:$H$2284,"Agent Opportunity")</f>
        <v>0.00548696844993141</v>
      </c>
      <c r="D27" s="15" t="n">
        <f aca="false">COUNTIFS(Data!$H$2:$H$2284,"Agent Opportunity",Data!$I$2:$I$2284,A27,Data!$D$2:$D$2284,"Omar.Mansour@vxi.com")</f>
        <v>0</v>
      </c>
      <c r="E27" s="24" t="n">
        <f aca="false">E26+C27</f>
        <v>0.99519890260631</v>
      </c>
    </row>
    <row r="28" customFormat="false" ht="15" hidden="false" customHeight="false" outlineLevel="0" collapsed="false">
      <c r="A28" s="14" t="s">
        <v>187</v>
      </c>
      <c r="B28" s="14" t="n">
        <f aca="false">COUNTIFS(Data!$H$2:$H$2284,"Agent Opportunity",Data!$I$2:$I$2284,A28)</f>
        <v>5</v>
      </c>
      <c r="C28" s="18" t="n">
        <f aca="false">B28/COUNTIFS(Data!$H$2:$H$2284,"Agent Opportunity")</f>
        <v>0.00342935528120713</v>
      </c>
      <c r="D28" s="14" t="n">
        <f aca="false">COUNTIFS(Data!$H$2:$H$2284,"Agent Opportunity",Data!$I$2:$I$2284,A28,Data!$D$2:$D$2284,"Omar.Mansour@vxi.com")</f>
        <v>0</v>
      </c>
      <c r="E28" s="21" t="n">
        <f aca="false">E27+C28</f>
        <v>0.998628257887517</v>
      </c>
    </row>
    <row r="29" customFormat="false" ht="15" hidden="false" customHeight="false" outlineLevel="0" collapsed="false">
      <c r="A29" s="15" t="s">
        <v>188</v>
      </c>
      <c r="B29" s="15" t="n">
        <f aca="false">COUNTIFS(Data!$H$2:$H$2284,"Agent Opportunity",Data!$I$2:$I$2284,A29)</f>
        <v>2</v>
      </c>
      <c r="C29" s="16" t="n">
        <f aca="false">B29/COUNTIFS(Data!$H$2:$H$2284,"Agent Opportunity")</f>
        <v>0.00137174211248285</v>
      </c>
      <c r="D29" s="15" t="n">
        <f aca="false">COUNTIFS(Data!$H$2:$H$2284,"Agent Opportunity",Data!$I$2:$I$2284,A29,Data!$D$2:$D$2284,"Omar.Mansour@vxi.com")</f>
        <v>0</v>
      </c>
      <c r="E29" s="24" t="n">
        <f aca="false">E28+C29</f>
        <v>1</v>
      </c>
    </row>
    <row r="32" customFormat="false" ht="15" hidden="false" customHeight="false" outlineLevel="0" collapsed="false">
      <c r="A32" s="9" t="s">
        <v>189</v>
      </c>
      <c r="B32" s="10"/>
      <c r="C32" s="10"/>
      <c r="D32" s="10"/>
      <c r="E32" s="10"/>
      <c r="F32" s="10"/>
      <c r="G32" s="10"/>
      <c r="H32" s="10"/>
      <c r="I32" s="10"/>
      <c r="J32" s="10"/>
    </row>
    <row r="33" customFormat="false" ht="23.85" hidden="false" customHeight="false" outlineLevel="0" collapsed="false">
      <c r="A33" s="13" t="s">
        <v>172</v>
      </c>
      <c r="B33" s="13" t="s">
        <v>161</v>
      </c>
      <c r="C33" s="13" t="s">
        <v>190</v>
      </c>
      <c r="D33" s="13" t="s">
        <v>163</v>
      </c>
      <c r="E33" s="13" t="s">
        <v>174</v>
      </c>
    </row>
    <row r="34" customFormat="false" ht="15" hidden="false" customHeight="false" outlineLevel="0" collapsed="false">
      <c r="A34" s="14" t="s">
        <v>191</v>
      </c>
      <c r="B34" s="14" t="n">
        <f aca="false">COUNTIFS(Data!$H$2:$H$2284,"Comcast Process/Tools",Data!$I$2:$I$2284,A34)</f>
        <v>158</v>
      </c>
      <c r="C34" s="18" t="n">
        <f aca="false">B34/COUNTIFS(Data!$H$2:$H$2284,"Comcast Process/Tools")</f>
        <v>0.394014962593516</v>
      </c>
      <c r="D34" s="14" t="n">
        <f aca="false">COUNTIFS(Data!$H$2:$H$2284,"Comcast Process/Tools",Data!$I$2:$I$2284,A34,Data!$D$2:$D$2284,"Omar.Mansour@vxi.com")</f>
        <v>3</v>
      </c>
      <c r="E34" s="21" t="n">
        <f aca="false">C34</f>
        <v>0.394014962593516</v>
      </c>
    </row>
    <row r="35" customFormat="false" ht="15" hidden="false" customHeight="false" outlineLevel="0" collapsed="false">
      <c r="A35" s="15" t="s">
        <v>192</v>
      </c>
      <c r="B35" s="15" t="n">
        <f aca="false">COUNTIFS(Data!$H$2:$H$2284,"Comcast Process/Tools",Data!$I$2:$I$2284,A35)</f>
        <v>112</v>
      </c>
      <c r="C35" s="16" t="n">
        <f aca="false">B35/COUNTIFS(Data!$H$2:$H$2284,"Comcast Process/Tools")</f>
        <v>0.27930174563591</v>
      </c>
      <c r="D35" s="15" t="n">
        <f aca="false">COUNTIFS(Data!$H$2:$H$2284,"Comcast Process/Tools",Data!$I$2:$I$2284,A35,Data!$D$2:$D$2284,"Omar.Mansour@vxi.com")</f>
        <v>1</v>
      </c>
      <c r="E35" s="24" t="n">
        <f aca="false">E34+C35</f>
        <v>0.673316708229427</v>
      </c>
    </row>
    <row r="36" customFormat="false" ht="15" hidden="false" customHeight="false" outlineLevel="0" collapsed="false">
      <c r="A36" s="14" t="s">
        <v>193</v>
      </c>
      <c r="B36" s="14" t="n">
        <f aca="false">COUNTIFS(Data!$H$2:$H$2284,"Comcast Process/Tools",Data!$I$2:$I$2284,A36)</f>
        <v>48</v>
      </c>
      <c r="C36" s="18" t="n">
        <f aca="false">B36/COUNTIFS(Data!$H$2:$H$2284,"Comcast Process/Tools")</f>
        <v>0.119700748129676</v>
      </c>
      <c r="D36" s="14" t="n">
        <f aca="false">COUNTIFS(Data!$H$2:$H$2284,"Comcast Process/Tools",Data!$I$2:$I$2284,A36,Data!$D$2:$D$2284,"Omar.Mansour@vxi.com")</f>
        <v>3</v>
      </c>
      <c r="E36" s="21" t="n">
        <f aca="false">E35+C36</f>
        <v>0.793017456359102</v>
      </c>
    </row>
    <row r="37" customFormat="false" ht="15" hidden="false" customHeight="false" outlineLevel="0" collapsed="false">
      <c r="A37" s="15" t="s">
        <v>194</v>
      </c>
      <c r="B37" s="15" t="n">
        <f aca="false">COUNTIFS(Data!$H$2:$H$2284,"Comcast Process/Tools",Data!$I$2:$I$2284,A37)</f>
        <v>26</v>
      </c>
      <c r="C37" s="16" t="n">
        <f aca="false">B37/COUNTIFS(Data!$H$2:$H$2284,"Comcast Process/Tools")</f>
        <v>0.0648379052369077</v>
      </c>
      <c r="D37" s="15" t="n">
        <f aca="false">COUNTIFS(Data!$H$2:$H$2284,"Comcast Process/Tools",Data!$I$2:$I$2284,A37,Data!$D$2:$D$2284,"Omar.Mansour@vxi.com")</f>
        <v>0</v>
      </c>
      <c r="E37" s="24" t="n">
        <f aca="false">E36+C37</f>
        <v>0.85785536159601</v>
      </c>
    </row>
    <row r="38" customFormat="false" ht="15" hidden="false" customHeight="false" outlineLevel="0" collapsed="false">
      <c r="A38" s="14" t="s">
        <v>195</v>
      </c>
      <c r="B38" s="14" t="n">
        <f aca="false">COUNTIFS(Data!$H$2:$H$2284,"Comcast Process/Tools",Data!$I$2:$I$2284,A38)</f>
        <v>23</v>
      </c>
      <c r="C38" s="18" t="n">
        <f aca="false">B38/COUNTIFS(Data!$H$2:$H$2284,"Comcast Process/Tools")</f>
        <v>0.057356608478803</v>
      </c>
      <c r="D38" s="14" t="n">
        <f aca="false">COUNTIFS(Data!$H$2:$H$2284,"Comcast Process/Tools",Data!$I$2:$I$2284,A38,Data!$D$2:$D$2284,"Omar.Mansour@vxi.com")</f>
        <v>0</v>
      </c>
      <c r="E38" s="21" t="n">
        <f aca="false">E37+C38</f>
        <v>0.915211970074813</v>
      </c>
    </row>
    <row r="39" customFormat="false" ht="15" hidden="false" customHeight="false" outlineLevel="0" collapsed="false">
      <c r="A39" s="15" t="s">
        <v>196</v>
      </c>
      <c r="B39" s="15" t="n">
        <f aca="false">COUNTIFS(Data!$H$2:$H$2284,"Comcast Process/Tools",Data!$I$2:$I$2284,A39)</f>
        <v>21</v>
      </c>
      <c r="C39" s="16" t="n">
        <f aca="false">B39/COUNTIFS(Data!$H$2:$H$2284,"Comcast Process/Tools")</f>
        <v>0.0523690773067332</v>
      </c>
      <c r="D39" s="15" t="n">
        <f aca="false">COUNTIFS(Data!$H$2:$H$2284,"Comcast Process/Tools",Data!$I$2:$I$2284,A39,Data!$D$2:$D$2284,"Omar.Mansour@vxi.com")</f>
        <v>3</v>
      </c>
      <c r="E39" s="24" t="n">
        <f aca="false">E38+C39</f>
        <v>0.967581047381546</v>
      </c>
    </row>
    <row r="40" customFormat="false" ht="15" hidden="false" customHeight="false" outlineLevel="0" collapsed="false">
      <c r="A40" s="14" t="s">
        <v>197</v>
      </c>
      <c r="B40" s="14" t="n">
        <f aca="false">COUNTIFS(Data!$H$2:$H$2284,"Comcast Process/Tools",Data!$I$2:$I$2284,A40)</f>
        <v>13</v>
      </c>
      <c r="C40" s="18" t="n">
        <f aca="false">B40/COUNTIFS(Data!$H$2:$H$2284,"Comcast Process/Tools")</f>
        <v>0.0324189526184539</v>
      </c>
      <c r="D40" s="14" t="n">
        <f aca="false">COUNTIFS(Data!$H$2:$H$2284,"Comcast Process/Tools",Data!$I$2:$I$2284,A40,Data!$D$2:$D$2284,"Omar.Mansour@vxi.com")</f>
        <v>0</v>
      </c>
      <c r="E40" s="21" t="n">
        <f aca="false">E39+C40</f>
        <v>1</v>
      </c>
    </row>
    <row r="43" customFormat="false" ht="15" hidden="false" customHeight="false" outlineLevel="0" collapsed="false">
      <c r="A43" s="9" t="s">
        <v>198</v>
      </c>
      <c r="B43" s="10"/>
      <c r="C43" s="10"/>
      <c r="D43" s="10"/>
      <c r="E43" s="10"/>
      <c r="F43" s="10"/>
      <c r="G43" s="10"/>
      <c r="H43" s="10"/>
      <c r="I43" s="10"/>
      <c r="J43" s="10"/>
    </row>
    <row r="44" customFormat="false" ht="15" hidden="false" customHeight="false" outlineLevel="0" collapsed="false">
      <c r="A44" s="13" t="s">
        <v>172</v>
      </c>
      <c r="B44" s="13" t="s">
        <v>161</v>
      </c>
      <c r="C44" s="13" t="s">
        <v>199</v>
      </c>
      <c r="D44" s="13" t="s">
        <v>163</v>
      </c>
      <c r="E44" s="13" t="s">
        <v>174</v>
      </c>
    </row>
    <row r="45" customFormat="false" ht="15" hidden="false" customHeight="false" outlineLevel="0" collapsed="false">
      <c r="A45" s="14" t="s">
        <v>200</v>
      </c>
      <c r="B45" s="14" t="n">
        <f aca="false">COUNTIFS(Data!$H$2:$H$2284,"Customer",Data!$I$2:$I$2284,A45)</f>
        <v>103</v>
      </c>
      <c r="C45" s="18" t="n">
        <f aca="false">B45/COUNTIFS(Data!$H$2:$H$2284,"Customer")</f>
        <v>0.504901960784314</v>
      </c>
      <c r="D45" s="14" t="n">
        <f aca="false">COUNTIFS(Data!$H$2:$H$2284,"Customer",Data!$I$2:$I$2284,A45,Data!$D$2:$D$2284,"Omar.Mansour@vxi.com")</f>
        <v>2</v>
      </c>
      <c r="E45" s="21" t="n">
        <f aca="false">C45</f>
        <v>0.504901960784314</v>
      </c>
    </row>
    <row r="46" customFormat="false" ht="15" hidden="false" customHeight="false" outlineLevel="0" collapsed="false">
      <c r="A46" s="15" t="s">
        <v>201</v>
      </c>
      <c r="B46" s="15" t="n">
        <f aca="false">COUNTIFS(Data!$H$2:$H$2284,"Customer",Data!$I$2:$I$2284,A46)</f>
        <v>74</v>
      </c>
      <c r="C46" s="16" t="n">
        <f aca="false">B46/COUNTIFS(Data!$H$2:$H$2284,"Customer")</f>
        <v>0.362745098039216</v>
      </c>
      <c r="D46" s="15" t="n">
        <f aca="false">COUNTIFS(Data!$H$2:$H$2284,"Customer",Data!$I$2:$I$2284,A46,Data!$D$2:$D$2284,"Omar.Mansour@vxi.com")</f>
        <v>2</v>
      </c>
      <c r="E46" s="24" t="n">
        <f aca="false">E45+C46</f>
        <v>0.867647058823529</v>
      </c>
    </row>
    <row r="47" customFormat="false" ht="15" hidden="false" customHeight="false" outlineLevel="0" collapsed="false">
      <c r="A47" s="14" t="s">
        <v>202</v>
      </c>
      <c r="B47" s="14" t="n">
        <f aca="false">COUNTIFS(Data!$H$2:$H$2284,"Customer",Data!$I$2:$I$2284,A47)</f>
        <v>15</v>
      </c>
      <c r="C47" s="18" t="n">
        <f aca="false">B47/COUNTIFS(Data!$H$2:$H$2284,"Customer")</f>
        <v>0.0735294117647059</v>
      </c>
      <c r="D47" s="14" t="n">
        <f aca="false">COUNTIFS(Data!$H$2:$H$2284,"Customer",Data!$I$2:$I$2284,A47,Data!$D$2:$D$2284,"Omar.Mansour@vxi.com")</f>
        <v>0</v>
      </c>
      <c r="E47" s="21" t="n">
        <f aca="false">E46+C47</f>
        <v>0.941176470588235</v>
      </c>
    </row>
    <row r="48" customFormat="false" ht="15" hidden="false" customHeight="false" outlineLevel="0" collapsed="false">
      <c r="A48" s="15" t="s">
        <v>203</v>
      </c>
      <c r="B48" s="15" t="n">
        <f aca="false">COUNTIFS(Data!$H$2:$H$2284,"Customer",Data!$I$2:$I$2284,A48)</f>
        <v>12</v>
      </c>
      <c r="C48" s="16" t="n">
        <f aca="false">B48/COUNTIFS(Data!$H$2:$H$2284,"Customer")</f>
        <v>0.0588235294117647</v>
      </c>
      <c r="D48" s="15" t="n">
        <f aca="false">COUNTIFS(Data!$H$2:$H$2284,"Customer",Data!$I$2:$I$2284,A48,Data!$D$2:$D$2284,"Omar.Mansour@vxi.com")</f>
        <v>0</v>
      </c>
      <c r="E48" s="24" t="n">
        <f aca="false">E47+C48</f>
        <v>1</v>
      </c>
    </row>
    <row r="51" customFormat="false" ht="15" hidden="false" customHeight="false" outlineLevel="0" collapsed="false">
      <c r="A51" s="9" t="s">
        <v>204</v>
      </c>
      <c r="B51" s="10"/>
      <c r="C51" s="10"/>
      <c r="D51" s="10"/>
      <c r="E51" s="10"/>
      <c r="F51" s="10"/>
      <c r="G51" s="10"/>
      <c r="H51" s="10"/>
      <c r="I51" s="10"/>
      <c r="J51" s="10"/>
    </row>
    <row r="52" customFormat="false" ht="23.85" hidden="false" customHeight="false" outlineLevel="0" collapsed="false">
      <c r="A52" s="13" t="s">
        <v>172</v>
      </c>
      <c r="B52" s="13" t="s">
        <v>161</v>
      </c>
      <c r="C52" s="13" t="s">
        <v>205</v>
      </c>
      <c r="D52" s="13" t="s">
        <v>163</v>
      </c>
      <c r="E52" s="13" t="s">
        <v>174</v>
      </c>
    </row>
    <row r="53" customFormat="false" ht="15" hidden="false" customHeight="false" outlineLevel="0" collapsed="false">
      <c r="A53" s="14" t="s">
        <v>206</v>
      </c>
      <c r="B53" s="14" t="n">
        <f aca="false">COUNTIFS(Data!$H$2:$H$2284,"VXI Process/Tools",Data!$I$2:$I$2284,A53)</f>
        <v>11</v>
      </c>
      <c r="C53" s="18" t="n">
        <f aca="false">B53/COUNTIFS(Data!$H$2:$H$2284,"VXI Process/Tools")</f>
        <v>0.333333333333333</v>
      </c>
      <c r="D53" s="14" t="n">
        <f aca="false">COUNTIFS(Data!$H$2:$H$2284,"VXI Process/Tools",Data!$I$2:$I$2284,A53,Data!$D$2:$D$2284,"Omar.Mansour@vxi.com")</f>
        <v>0</v>
      </c>
      <c r="E53" s="21" t="n">
        <f aca="false">C53</f>
        <v>0.333333333333333</v>
      </c>
    </row>
    <row r="54" customFormat="false" ht="15" hidden="false" customHeight="false" outlineLevel="0" collapsed="false">
      <c r="A54" s="15" t="s">
        <v>207</v>
      </c>
      <c r="B54" s="15" t="n">
        <f aca="false">COUNTIFS(Data!$H$2:$H$2284,"VXI Process/Tools",Data!$I$2:$I$2284,A54)</f>
        <v>11</v>
      </c>
      <c r="C54" s="16" t="n">
        <f aca="false">B54/COUNTIFS(Data!$H$2:$H$2284,"VXI Process/Tools")</f>
        <v>0.333333333333333</v>
      </c>
      <c r="D54" s="15" t="n">
        <f aca="false">COUNTIFS(Data!$H$2:$H$2284,"VXI Process/Tools",Data!$I$2:$I$2284,A54,Data!$D$2:$D$2284,"Omar.Mansour@vxi.com")</f>
        <v>0</v>
      </c>
      <c r="E54" s="24" t="n">
        <f aca="false">E53+C54</f>
        <v>0.666666666666667</v>
      </c>
    </row>
    <row r="55" customFormat="false" ht="15" hidden="false" customHeight="false" outlineLevel="0" collapsed="false">
      <c r="A55" s="14" t="s">
        <v>208</v>
      </c>
      <c r="B55" s="14" t="n">
        <f aca="false">COUNTIFS(Data!$H$2:$H$2284,"VXI Process/Tools",Data!$I$2:$I$2284,A55)</f>
        <v>6</v>
      </c>
      <c r="C55" s="18" t="n">
        <f aca="false">B55/COUNTIFS(Data!$H$2:$H$2284,"VXI Process/Tools")</f>
        <v>0.181818181818182</v>
      </c>
      <c r="D55" s="14" t="n">
        <f aca="false">COUNTIFS(Data!$H$2:$H$2284,"VXI Process/Tools",Data!$I$2:$I$2284,A55,Data!$D$2:$D$2284,"Omar.Mansour@vxi.com")</f>
        <v>0</v>
      </c>
      <c r="E55" s="21" t="n">
        <f aca="false">E54+C55</f>
        <v>0.848484848484848</v>
      </c>
    </row>
    <row r="56" customFormat="false" ht="15" hidden="false" customHeight="false" outlineLevel="0" collapsed="false">
      <c r="A56" s="15" t="s">
        <v>209</v>
      </c>
      <c r="B56" s="15" t="n">
        <f aca="false">COUNTIFS(Data!$H$2:$H$2284,"VXI Process/Tools",Data!$I$2:$I$2284,A56)</f>
        <v>5</v>
      </c>
      <c r="C56" s="16" t="n">
        <f aca="false">B56/COUNTIFS(Data!$H$2:$H$2284,"VXI Process/Tools")</f>
        <v>0.151515151515152</v>
      </c>
      <c r="D56" s="15" t="n">
        <f aca="false">COUNTIFS(Data!$H$2:$H$2284,"VXI Process/Tools",Data!$I$2:$I$2284,A56,Data!$D$2:$D$2284,"Omar.Mansour@vxi.com")</f>
        <v>0</v>
      </c>
      <c r="E56" s="24" t="n">
        <f aca="false">E55+C56</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2545"/>
    <pageSetUpPr fitToPage="false"/>
  </sheetPr>
  <dimension ref="A1:N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4" min="2" style="0" width="11"/>
    <col collapsed="false" customWidth="true" hidden="false" outlineLevel="0" max="5" min="5" style="0" width="34"/>
    <col collapsed="false" customWidth="true" hidden="false" outlineLevel="0" max="6" min="6" style="0" width="9"/>
    <col collapsed="false" customWidth="true" hidden="false" outlineLevel="0" max="8" min="7" style="0" width="14"/>
  </cols>
  <sheetData>
    <row r="1" customFormat="false" ht="30" hidden="false" customHeight="true" outlineLevel="0" collapsed="false">
      <c r="A1" s="1" t="s">
        <v>210</v>
      </c>
      <c r="B1" s="2"/>
      <c r="C1" s="2"/>
      <c r="D1" s="2"/>
      <c r="E1" s="2"/>
      <c r="F1" s="2"/>
      <c r="G1" s="2"/>
      <c r="H1" s="2"/>
      <c r="I1" s="2"/>
      <c r="J1" s="2"/>
      <c r="K1" s="2"/>
      <c r="L1" s="2"/>
      <c r="M1" s="2"/>
      <c r="N1" s="2"/>
    </row>
    <row r="2" customFormat="false" ht="15" hidden="false" customHeight="false" outlineLevel="0" collapsed="false">
      <c r="A2" s="3" t="s">
        <v>211</v>
      </c>
      <c r="B2" s="2"/>
      <c r="C2" s="2"/>
      <c r="D2" s="2"/>
      <c r="E2" s="2"/>
      <c r="F2" s="2"/>
      <c r="G2" s="2"/>
      <c r="H2" s="2"/>
      <c r="I2" s="2"/>
      <c r="J2" s="2"/>
      <c r="K2" s="2"/>
      <c r="L2" s="2"/>
      <c r="M2" s="2"/>
      <c r="N2" s="2"/>
    </row>
    <row r="3" customFormat="false" ht="3.75" hidden="false" customHeight="true" outlineLevel="0" collapsed="false">
      <c r="A3" s="4"/>
      <c r="B3" s="4"/>
      <c r="C3" s="4"/>
      <c r="D3" s="4"/>
      <c r="E3" s="4"/>
      <c r="F3" s="4"/>
      <c r="G3" s="4"/>
      <c r="H3" s="4"/>
      <c r="I3" s="4"/>
      <c r="J3" s="4"/>
      <c r="K3" s="4"/>
      <c r="L3" s="4"/>
      <c r="M3" s="4"/>
      <c r="N3" s="4"/>
    </row>
    <row r="5" customFormat="false" ht="23.85" hidden="false" customHeight="false" outlineLevel="0" collapsed="false">
      <c r="A5" s="13" t="s">
        <v>212</v>
      </c>
      <c r="B5" s="13" t="s">
        <v>213</v>
      </c>
      <c r="C5" s="13" t="s">
        <v>2</v>
      </c>
      <c r="D5" s="13" t="s">
        <v>3</v>
      </c>
      <c r="E5" s="13" t="s">
        <v>214</v>
      </c>
      <c r="F5" s="13" t="s">
        <v>215</v>
      </c>
      <c r="G5" s="13" t="s">
        <v>216</v>
      </c>
      <c r="H5" s="13" t="s">
        <v>217</v>
      </c>
    </row>
    <row r="6" customFormat="false" ht="15" hidden="false" customHeight="false" outlineLevel="0" collapsed="false">
      <c r="A6" s="14" t="s">
        <v>218</v>
      </c>
      <c r="B6" s="14" t="n">
        <f aca="false">COUNTIFS(Data!$E$2:$E$2284,A6,Data!$H$2:$H$2284,"Agent Opportunity")</f>
        <v>47</v>
      </c>
      <c r="C6" s="14" t="n">
        <f aca="false">COUNTIFS(Data!$E$2:$E$2284,A6)</f>
        <v>63</v>
      </c>
      <c r="D6" s="21" t="n">
        <f aca="false">B6/C6</f>
        <v>0.746031746031746</v>
      </c>
      <c r="E6" s="14" t="s">
        <v>175</v>
      </c>
      <c r="F6" s="14" t="n">
        <f aca="false">COUNTIFS(Data!$E$2:$E$2284,A6,Data!$H$2:$H$2284,"Agent Opportunity",Data!$I$2:$I$2284,E6)</f>
        <v>30</v>
      </c>
      <c r="G6" s="34" t="n">
        <v>46301</v>
      </c>
      <c r="H6" s="27" t="n">
        <f aca="false">COUNTIFS(Data!$E$2:$E$2284,A6,Data!$H$2:$H$2284,"Agent Opportunity",Data!$B$2:$B$2284,"&gt;="&amp;DATE(2026,9,7))</f>
        <v>2</v>
      </c>
    </row>
    <row r="7" customFormat="false" ht="15" hidden="false" customHeight="false" outlineLevel="0" collapsed="false">
      <c r="A7" s="15" t="s">
        <v>219</v>
      </c>
      <c r="B7" s="15" t="n">
        <f aca="false">COUNTIFS(Data!$E$2:$E$2284,A7,Data!$H$2:$H$2284,"Agent Opportunity")</f>
        <v>42</v>
      </c>
      <c r="C7" s="15" t="n">
        <f aca="false">COUNTIFS(Data!$E$2:$E$2284,A7)</f>
        <v>65</v>
      </c>
      <c r="D7" s="24" t="n">
        <f aca="false">B7/C7</f>
        <v>0.646153846153846</v>
      </c>
      <c r="E7" s="15" t="s">
        <v>175</v>
      </c>
      <c r="F7" s="15" t="n">
        <f aca="false">COUNTIFS(Data!$E$2:$E$2284,A7,Data!$H$2:$H$2284,"Agent Opportunity",Data!$I$2:$I$2284,E7)</f>
        <v>21</v>
      </c>
      <c r="G7" s="36" t="n">
        <v>46301</v>
      </c>
      <c r="H7" s="30" t="n">
        <f aca="false">COUNTIFS(Data!$E$2:$E$2284,A7,Data!$H$2:$H$2284,"Agent Opportunity",Data!$B$2:$B$2284,"&gt;="&amp;DATE(2026,9,7))</f>
        <v>4</v>
      </c>
    </row>
    <row r="8" customFormat="false" ht="15" hidden="false" customHeight="false" outlineLevel="0" collapsed="false">
      <c r="A8" s="14" t="s">
        <v>220</v>
      </c>
      <c r="B8" s="14" t="n">
        <f aca="false">COUNTIFS(Data!$E$2:$E$2284,A8,Data!$H$2:$H$2284,"Agent Opportunity")</f>
        <v>30</v>
      </c>
      <c r="C8" s="14" t="n">
        <f aca="false">COUNTIFS(Data!$E$2:$E$2284,A8)</f>
        <v>35</v>
      </c>
      <c r="D8" s="21" t="n">
        <f aca="false">B8/C8</f>
        <v>0.857142857142857</v>
      </c>
      <c r="E8" s="14" t="s">
        <v>175</v>
      </c>
      <c r="F8" s="14" t="n">
        <f aca="false">COUNTIFS(Data!$E$2:$E$2284,A8,Data!$H$2:$H$2284,"Agent Opportunity",Data!$I$2:$I$2284,E8)</f>
        <v>23</v>
      </c>
      <c r="G8" s="34" t="n">
        <v>46275</v>
      </c>
      <c r="H8" s="27" t="n">
        <f aca="false">COUNTIFS(Data!$E$2:$E$2284,A8,Data!$H$2:$H$2284,"Agent Opportunity",Data!$B$2:$B$2284,"&gt;="&amp;DATE(2026,9,7))</f>
        <v>1</v>
      </c>
    </row>
    <row r="9" customFormat="false" ht="15" hidden="false" customHeight="false" outlineLevel="0" collapsed="false">
      <c r="A9" s="15" t="s">
        <v>221</v>
      </c>
      <c r="B9" s="15" t="n">
        <f aca="false">COUNTIFS(Data!$E$2:$E$2284,A9,Data!$H$2:$H$2284,"Agent Opportunity")</f>
        <v>30</v>
      </c>
      <c r="C9" s="15" t="n">
        <f aca="false">COUNTIFS(Data!$E$2:$E$2284,A9)</f>
        <v>36</v>
      </c>
      <c r="D9" s="24" t="n">
        <f aca="false">B9/C9</f>
        <v>0.833333333333333</v>
      </c>
      <c r="E9" s="15" t="s">
        <v>176</v>
      </c>
      <c r="F9" s="15" t="n">
        <f aca="false">COUNTIFS(Data!$E$2:$E$2284,A9,Data!$H$2:$H$2284,"Agent Opportunity",Data!$I$2:$I$2284,E9)</f>
        <v>11</v>
      </c>
      <c r="G9" s="36" t="n">
        <v>46302</v>
      </c>
      <c r="H9" s="30" t="n">
        <f aca="false">COUNTIFS(Data!$E$2:$E$2284,A9,Data!$H$2:$H$2284,"Agent Opportunity",Data!$B$2:$B$2284,"&gt;="&amp;DATE(2026,9,7))</f>
        <v>18</v>
      </c>
    </row>
    <row r="10" customFormat="false" ht="15" hidden="false" customHeight="false" outlineLevel="0" collapsed="false">
      <c r="A10" s="14" t="s">
        <v>222</v>
      </c>
      <c r="B10" s="14" t="n">
        <f aca="false">COUNTIFS(Data!$E$2:$E$2284,A10,Data!$H$2:$H$2284,"Agent Opportunity")</f>
        <v>29</v>
      </c>
      <c r="C10" s="14" t="n">
        <f aca="false">COUNTIFS(Data!$E$2:$E$2284,A10)</f>
        <v>37</v>
      </c>
      <c r="D10" s="21" t="n">
        <f aca="false">B10/C10</f>
        <v>0.783783783783784</v>
      </c>
      <c r="E10" s="14" t="s">
        <v>175</v>
      </c>
      <c r="F10" s="14" t="n">
        <f aca="false">COUNTIFS(Data!$E$2:$E$2284,A10,Data!$H$2:$H$2284,"Agent Opportunity",Data!$I$2:$I$2284,E10)</f>
        <v>13</v>
      </c>
      <c r="G10" s="34" t="n">
        <v>46302</v>
      </c>
      <c r="H10" s="27" t="n">
        <f aca="false">COUNTIFS(Data!$E$2:$E$2284,A10,Data!$H$2:$H$2284,"Agent Opportunity",Data!$B$2:$B$2284,"&gt;="&amp;DATE(2026,9,7))</f>
        <v>4</v>
      </c>
    </row>
    <row r="11" customFormat="false" ht="15" hidden="false" customHeight="false" outlineLevel="0" collapsed="false">
      <c r="A11" s="15" t="s">
        <v>223</v>
      </c>
      <c r="B11" s="15" t="n">
        <f aca="false">COUNTIFS(Data!$E$2:$E$2284,A11,Data!$H$2:$H$2284,"Agent Opportunity")</f>
        <v>26</v>
      </c>
      <c r="C11" s="15" t="n">
        <f aca="false">COUNTIFS(Data!$E$2:$E$2284,A11)</f>
        <v>43</v>
      </c>
      <c r="D11" s="24" t="n">
        <f aca="false">B11/C11</f>
        <v>0.604651162790698</v>
      </c>
      <c r="E11" s="15" t="s">
        <v>175</v>
      </c>
      <c r="F11" s="15" t="n">
        <f aca="false">COUNTIFS(Data!$E$2:$E$2284,A11,Data!$H$2:$H$2284,"Agent Opportunity",Data!$I$2:$I$2284,E11)</f>
        <v>20</v>
      </c>
      <c r="G11" s="36" t="n">
        <v>46250</v>
      </c>
      <c r="H11" s="30" t="n">
        <f aca="false">COUNTIFS(Data!$E$2:$E$2284,A11,Data!$H$2:$H$2284,"Agent Opportunity",Data!$B$2:$B$2284,"&gt;="&amp;DATE(2026,9,7))</f>
        <v>0</v>
      </c>
    </row>
    <row r="12" customFormat="false" ht="15" hidden="false" customHeight="false" outlineLevel="0" collapsed="false">
      <c r="A12" s="14" t="s">
        <v>224</v>
      </c>
      <c r="B12" s="14" t="n">
        <f aca="false">COUNTIFS(Data!$E$2:$E$2284,A12,Data!$H$2:$H$2284,"Agent Opportunity")</f>
        <v>26</v>
      </c>
      <c r="C12" s="14" t="n">
        <f aca="false">COUNTIFS(Data!$E$2:$E$2284,A12)</f>
        <v>31</v>
      </c>
      <c r="D12" s="21" t="n">
        <f aca="false">B12/C12</f>
        <v>0.838709677419355</v>
      </c>
      <c r="E12" s="14" t="s">
        <v>175</v>
      </c>
      <c r="F12" s="14" t="n">
        <f aca="false">COUNTIFS(Data!$E$2:$E$2284,A12,Data!$H$2:$H$2284,"Agent Opportunity",Data!$I$2:$I$2284,E12)</f>
        <v>13</v>
      </c>
      <c r="G12" s="34" t="n">
        <v>46299</v>
      </c>
      <c r="H12" s="27" t="n">
        <f aca="false">COUNTIFS(Data!$E$2:$E$2284,A12,Data!$H$2:$H$2284,"Agent Opportunity",Data!$B$2:$B$2284,"&gt;="&amp;DATE(2026,9,7))</f>
        <v>3</v>
      </c>
    </row>
    <row r="13" customFormat="false" ht="15" hidden="false" customHeight="false" outlineLevel="0" collapsed="false">
      <c r="A13" s="15" t="s">
        <v>225</v>
      </c>
      <c r="B13" s="15" t="n">
        <f aca="false">COUNTIFS(Data!$E$2:$E$2284,A13,Data!$H$2:$H$2284,"Agent Opportunity")</f>
        <v>23</v>
      </c>
      <c r="C13" s="15" t="n">
        <f aca="false">COUNTIFS(Data!$E$2:$E$2284,A13)</f>
        <v>27</v>
      </c>
      <c r="D13" s="24" t="n">
        <f aca="false">B13/C13</f>
        <v>0.851851851851852</v>
      </c>
      <c r="E13" s="15" t="s">
        <v>175</v>
      </c>
      <c r="F13" s="15" t="n">
        <f aca="false">COUNTIFS(Data!$E$2:$E$2284,A13,Data!$H$2:$H$2284,"Agent Opportunity",Data!$I$2:$I$2284,E13)</f>
        <v>9</v>
      </c>
      <c r="G13" s="36" t="n">
        <v>46267</v>
      </c>
      <c r="H13" s="30" t="n">
        <f aca="false">COUNTIFS(Data!$E$2:$E$2284,A13,Data!$H$2:$H$2284,"Agent Opportunity",Data!$B$2:$B$2284,"&gt;="&amp;DATE(2026,9,7))</f>
        <v>0</v>
      </c>
    </row>
    <row r="14" customFormat="false" ht="15" hidden="false" customHeight="false" outlineLevel="0" collapsed="false">
      <c r="A14" s="14" t="s">
        <v>226</v>
      </c>
      <c r="B14" s="14" t="n">
        <f aca="false">COUNTIFS(Data!$E$2:$E$2284,A14,Data!$H$2:$H$2284,"Agent Opportunity")</f>
        <v>22</v>
      </c>
      <c r="C14" s="14" t="n">
        <f aca="false">COUNTIFS(Data!$E$2:$E$2284,A14)</f>
        <v>41</v>
      </c>
      <c r="D14" s="21" t="n">
        <f aca="false">B14/C14</f>
        <v>0.536585365853659</v>
      </c>
      <c r="E14" s="14" t="s">
        <v>175</v>
      </c>
      <c r="F14" s="14" t="n">
        <f aca="false">COUNTIFS(Data!$E$2:$E$2284,A14,Data!$H$2:$H$2284,"Agent Opportunity",Data!$I$2:$I$2284,E14)</f>
        <v>12</v>
      </c>
      <c r="G14" s="34" t="n">
        <v>46275</v>
      </c>
      <c r="H14" s="27" t="n">
        <f aca="false">COUNTIFS(Data!$E$2:$E$2284,A14,Data!$H$2:$H$2284,"Agent Opportunity",Data!$B$2:$B$2284,"&gt;="&amp;DATE(2026,9,7))</f>
        <v>1</v>
      </c>
    </row>
    <row r="15" customFormat="false" ht="15" hidden="false" customHeight="false" outlineLevel="0" collapsed="false">
      <c r="A15" s="15" t="s">
        <v>227</v>
      </c>
      <c r="B15" s="15" t="n">
        <f aca="false">COUNTIFS(Data!$E$2:$E$2284,A15,Data!$H$2:$H$2284,"Agent Opportunity")</f>
        <v>21</v>
      </c>
      <c r="C15" s="15" t="n">
        <f aca="false">COUNTIFS(Data!$E$2:$E$2284,A15)</f>
        <v>46</v>
      </c>
      <c r="D15" s="24" t="n">
        <f aca="false">B15/C15</f>
        <v>0.456521739130435</v>
      </c>
      <c r="E15" s="15" t="s">
        <v>175</v>
      </c>
      <c r="F15" s="15" t="n">
        <f aca="false">COUNTIFS(Data!$E$2:$E$2284,A15,Data!$H$2:$H$2284,"Agent Opportunity",Data!$I$2:$I$2284,E15)</f>
        <v>11</v>
      </c>
      <c r="G15" s="36" t="n">
        <v>46275</v>
      </c>
      <c r="H15" s="30" t="n">
        <f aca="false">COUNTIFS(Data!$E$2:$E$2284,A15,Data!$H$2:$H$2284,"Agent Opportunity",Data!$B$2:$B$2284,"&gt;="&amp;DATE(2026,9,7))</f>
        <v>1</v>
      </c>
    </row>
    <row r="16" customFormat="false" ht="15" hidden="false" customHeight="false" outlineLevel="0" collapsed="false">
      <c r="A16" s="14" t="s">
        <v>228</v>
      </c>
      <c r="B16" s="14" t="n">
        <f aca="false">COUNTIFS(Data!$E$2:$E$2284,A16,Data!$H$2:$H$2284,"Agent Opportunity")</f>
        <v>21</v>
      </c>
      <c r="C16" s="14" t="n">
        <f aca="false">COUNTIFS(Data!$E$2:$E$2284,A16)</f>
        <v>27</v>
      </c>
      <c r="D16" s="21" t="n">
        <f aca="false">B16/C16</f>
        <v>0.777777777777778</v>
      </c>
      <c r="E16" s="14" t="s">
        <v>175</v>
      </c>
      <c r="F16" s="14" t="n">
        <f aca="false">COUNTIFS(Data!$E$2:$E$2284,A16,Data!$H$2:$H$2284,"Agent Opportunity",Data!$I$2:$I$2284,E16)</f>
        <v>19</v>
      </c>
      <c r="G16" s="34" t="n">
        <v>46236</v>
      </c>
      <c r="H16" s="27" t="n">
        <f aca="false">COUNTIFS(Data!$E$2:$E$2284,A16,Data!$H$2:$H$2284,"Agent Opportunity",Data!$B$2:$B$2284,"&gt;="&amp;DATE(2026,9,7))</f>
        <v>0</v>
      </c>
    </row>
    <row r="17" customFormat="false" ht="15" hidden="false" customHeight="false" outlineLevel="0" collapsed="false">
      <c r="A17" s="15" t="s">
        <v>229</v>
      </c>
      <c r="B17" s="15" t="n">
        <f aca="false">COUNTIFS(Data!$E$2:$E$2284,A17,Data!$H$2:$H$2284,"Agent Opportunity")</f>
        <v>20</v>
      </c>
      <c r="C17" s="15" t="n">
        <f aca="false">COUNTIFS(Data!$E$2:$E$2284,A17)</f>
        <v>28</v>
      </c>
      <c r="D17" s="24" t="n">
        <f aca="false">B17/C17</f>
        <v>0.714285714285714</v>
      </c>
      <c r="E17" s="15" t="s">
        <v>175</v>
      </c>
      <c r="F17" s="15" t="n">
        <f aca="false">COUNTIFS(Data!$E$2:$E$2284,A17,Data!$H$2:$H$2284,"Agent Opportunity",Data!$I$2:$I$2284,E17)</f>
        <v>6</v>
      </c>
      <c r="G17" s="36" t="n">
        <v>46258</v>
      </c>
      <c r="H17" s="30" t="n">
        <f aca="false">COUNTIFS(Data!$E$2:$E$2284,A17,Data!$H$2:$H$2284,"Agent Opportunity",Data!$B$2:$B$2284,"&gt;="&amp;DATE(2026,9,7))</f>
        <v>0</v>
      </c>
    </row>
    <row r="18" customFormat="false" ht="15" hidden="false" customHeight="false" outlineLevel="0" collapsed="false">
      <c r="A18" s="14" t="s">
        <v>230</v>
      </c>
      <c r="B18" s="14" t="n">
        <f aca="false">COUNTIFS(Data!$E$2:$E$2284,A18,Data!$H$2:$H$2284,"Agent Opportunity")</f>
        <v>20</v>
      </c>
      <c r="C18" s="14" t="n">
        <f aca="false">COUNTIFS(Data!$E$2:$E$2284,A18)</f>
        <v>22</v>
      </c>
      <c r="D18" s="21" t="n">
        <f aca="false">B18/C18</f>
        <v>0.909090909090909</v>
      </c>
      <c r="E18" s="14" t="s">
        <v>175</v>
      </c>
      <c r="F18" s="14" t="n">
        <f aca="false">COUNTIFS(Data!$E$2:$E$2284,A18,Data!$H$2:$H$2284,"Agent Opportunity",Data!$I$2:$I$2284,E18)</f>
        <v>16</v>
      </c>
      <c r="G18" s="34" t="n">
        <v>46269</v>
      </c>
      <c r="H18" s="27" t="n">
        <f aca="false">COUNTIFS(Data!$E$2:$E$2284,A18,Data!$H$2:$H$2284,"Agent Opportunity",Data!$B$2:$B$2284,"&gt;="&amp;DATE(2026,9,7))</f>
        <v>0</v>
      </c>
    </row>
    <row r="19" customFormat="false" ht="15" hidden="false" customHeight="false" outlineLevel="0" collapsed="false">
      <c r="A19" s="15" t="s">
        <v>231</v>
      </c>
      <c r="B19" s="15" t="n">
        <f aca="false">COUNTIFS(Data!$E$2:$E$2284,A19,Data!$H$2:$H$2284,"Agent Opportunity")</f>
        <v>20</v>
      </c>
      <c r="C19" s="15" t="n">
        <f aca="false">COUNTIFS(Data!$E$2:$E$2284,A19)</f>
        <v>28</v>
      </c>
      <c r="D19" s="24" t="n">
        <f aca="false">B19/C19</f>
        <v>0.714285714285714</v>
      </c>
      <c r="E19" s="15" t="s">
        <v>175</v>
      </c>
      <c r="F19" s="15" t="n">
        <f aca="false">COUNTIFS(Data!$E$2:$E$2284,A19,Data!$H$2:$H$2284,"Agent Opportunity",Data!$I$2:$I$2284,E19)</f>
        <v>11</v>
      </c>
      <c r="G19" s="36" t="n">
        <v>46269</v>
      </c>
      <c r="H19" s="30" t="n">
        <f aca="false">COUNTIFS(Data!$E$2:$E$2284,A19,Data!$H$2:$H$2284,"Agent Opportunity",Data!$B$2:$B$2284,"&gt;="&amp;DATE(2026,9,7))</f>
        <v>0</v>
      </c>
    </row>
    <row r="20" customFormat="false" ht="15" hidden="false" customHeight="false" outlineLevel="0" collapsed="false">
      <c r="A20" s="14" t="s">
        <v>232</v>
      </c>
      <c r="B20" s="14" t="n">
        <f aca="false">COUNTIFS(Data!$E$2:$E$2284,A20,Data!$H$2:$H$2284,"Agent Opportunity")</f>
        <v>20</v>
      </c>
      <c r="C20" s="14" t="n">
        <f aca="false">COUNTIFS(Data!$E$2:$E$2284,A20)</f>
        <v>27</v>
      </c>
      <c r="D20" s="21" t="n">
        <f aca="false">B20/C20</f>
        <v>0.740740740740741</v>
      </c>
      <c r="E20" s="14" t="s">
        <v>175</v>
      </c>
      <c r="F20" s="14" t="n">
        <f aca="false">COUNTIFS(Data!$E$2:$E$2284,A20,Data!$H$2:$H$2284,"Agent Opportunity",Data!$I$2:$I$2284,E20)</f>
        <v>9</v>
      </c>
      <c r="G20" s="34" t="n">
        <v>46275</v>
      </c>
      <c r="H20" s="27" t="n">
        <f aca="false">COUNTIFS(Data!$E$2:$E$2284,A20,Data!$H$2:$H$2284,"Agent Opportunity",Data!$B$2:$B$2284,"&gt;="&amp;DATE(2026,9,7))</f>
        <v>4</v>
      </c>
    </row>
    <row r="21" customFormat="false" ht="15" hidden="false" customHeight="false" outlineLevel="0" collapsed="false">
      <c r="A21" s="15" t="s">
        <v>233</v>
      </c>
      <c r="B21" s="15" t="n">
        <f aca="false">COUNTIFS(Data!$E$2:$E$2284,A21,Data!$H$2:$H$2284,"Agent Opportunity")</f>
        <v>20</v>
      </c>
      <c r="C21" s="15" t="n">
        <f aca="false">COUNTIFS(Data!$E$2:$E$2284,A21)</f>
        <v>27</v>
      </c>
      <c r="D21" s="24" t="n">
        <f aca="false">B21/C21</f>
        <v>0.740740740740741</v>
      </c>
      <c r="E21" s="15" t="s">
        <v>176</v>
      </c>
      <c r="F21" s="15" t="n">
        <f aca="false">COUNTIFS(Data!$E$2:$E$2284,A21,Data!$H$2:$H$2284,"Agent Opportunity",Data!$I$2:$I$2284,E21)</f>
        <v>11</v>
      </c>
      <c r="G21" s="36" t="n">
        <v>46302</v>
      </c>
      <c r="H21" s="30" t="n">
        <f aca="false">COUNTIFS(Data!$E$2:$E$2284,A21,Data!$H$2:$H$2284,"Agent Opportunity",Data!$B$2:$B$2284,"&gt;="&amp;DATE(2026,9,7))</f>
        <v>12</v>
      </c>
    </row>
    <row r="22" customFormat="false" ht="15" hidden="false" customHeight="false" outlineLevel="0" collapsed="false">
      <c r="A22" s="14" t="s">
        <v>234</v>
      </c>
      <c r="B22" s="14" t="n">
        <f aca="false">COUNTIFS(Data!$E$2:$E$2284,A22,Data!$H$2:$H$2284,"Agent Opportunity")</f>
        <v>19</v>
      </c>
      <c r="C22" s="14" t="n">
        <f aca="false">COUNTIFS(Data!$E$2:$E$2284,A22)</f>
        <v>23</v>
      </c>
      <c r="D22" s="21" t="n">
        <f aca="false">B22/C22</f>
        <v>0.826086956521739</v>
      </c>
      <c r="E22" s="14" t="s">
        <v>175</v>
      </c>
      <c r="F22" s="14" t="n">
        <f aca="false">COUNTIFS(Data!$E$2:$E$2284,A22,Data!$H$2:$H$2284,"Agent Opportunity",Data!$I$2:$I$2284,E22)</f>
        <v>17</v>
      </c>
      <c r="G22" s="34" t="n">
        <v>46215</v>
      </c>
      <c r="H22" s="27" t="n">
        <f aca="false">COUNTIFS(Data!$E$2:$E$2284,A22,Data!$H$2:$H$2284,"Agent Opportunity",Data!$B$2:$B$2284,"&gt;="&amp;DATE(2026,9,7))</f>
        <v>0</v>
      </c>
    </row>
    <row r="23" customFormat="false" ht="15" hidden="false" customHeight="false" outlineLevel="0" collapsed="false">
      <c r="A23" s="15" t="s">
        <v>235</v>
      </c>
      <c r="B23" s="15" t="n">
        <f aca="false">COUNTIFS(Data!$E$2:$E$2284,A23,Data!$H$2:$H$2284,"Agent Opportunity")</f>
        <v>19</v>
      </c>
      <c r="C23" s="15" t="n">
        <f aca="false">COUNTIFS(Data!$E$2:$E$2284,A23)</f>
        <v>31</v>
      </c>
      <c r="D23" s="24" t="n">
        <f aca="false">B23/C23</f>
        <v>0.612903225806452</v>
      </c>
      <c r="E23" s="15" t="s">
        <v>175</v>
      </c>
      <c r="F23" s="15" t="n">
        <f aca="false">COUNTIFS(Data!$E$2:$E$2284,A23,Data!$H$2:$H$2284,"Agent Opportunity",Data!$I$2:$I$2284,E23)</f>
        <v>8</v>
      </c>
      <c r="G23" s="36" t="n">
        <v>46236</v>
      </c>
      <c r="H23" s="30" t="n">
        <f aca="false">COUNTIFS(Data!$E$2:$E$2284,A23,Data!$H$2:$H$2284,"Agent Opportunity",Data!$B$2:$B$2284,"&gt;="&amp;DATE(2026,9,7))</f>
        <v>0</v>
      </c>
    </row>
    <row r="24" customFormat="false" ht="15" hidden="false" customHeight="false" outlineLevel="0" collapsed="false">
      <c r="A24" s="14" t="s">
        <v>236</v>
      </c>
      <c r="B24" s="14" t="n">
        <f aca="false">COUNTIFS(Data!$E$2:$E$2284,A24,Data!$H$2:$H$2284,"Agent Opportunity")</f>
        <v>19</v>
      </c>
      <c r="C24" s="14" t="n">
        <f aca="false">COUNTIFS(Data!$E$2:$E$2284,A24)</f>
        <v>37</v>
      </c>
      <c r="D24" s="21" t="n">
        <f aca="false">B24/C24</f>
        <v>0.513513513513514</v>
      </c>
      <c r="E24" s="14" t="s">
        <v>175</v>
      </c>
      <c r="F24" s="14" t="n">
        <f aca="false">COUNTIFS(Data!$E$2:$E$2284,A24,Data!$H$2:$H$2284,"Agent Opportunity",Data!$I$2:$I$2284,E24)</f>
        <v>10</v>
      </c>
      <c r="G24" s="34" t="n">
        <v>46301</v>
      </c>
      <c r="H24" s="27" t="n">
        <f aca="false">COUNTIFS(Data!$E$2:$E$2284,A24,Data!$H$2:$H$2284,"Agent Opportunity",Data!$B$2:$B$2284,"&gt;="&amp;DATE(2026,9,7))</f>
        <v>1</v>
      </c>
    </row>
    <row r="25" customFormat="false" ht="15" hidden="false" customHeight="false" outlineLevel="0" collapsed="false">
      <c r="A25" s="15" t="s">
        <v>237</v>
      </c>
      <c r="B25" s="15" t="n">
        <f aca="false">COUNTIFS(Data!$E$2:$E$2284,A25,Data!$H$2:$H$2284,"Agent Opportunity")</f>
        <v>19</v>
      </c>
      <c r="C25" s="15" t="n">
        <f aca="false">COUNTIFS(Data!$E$2:$E$2284,A25)</f>
        <v>24</v>
      </c>
      <c r="D25" s="24" t="n">
        <f aca="false">B25/C25</f>
        <v>0.791666666666667</v>
      </c>
      <c r="E25" s="15" t="s">
        <v>176</v>
      </c>
      <c r="F25" s="15" t="n">
        <f aca="false">COUNTIFS(Data!$E$2:$E$2284,A25,Data!$H$2:$H$2284,"Agent Opportunity",Data!$I$2:$I$2284,E25)</f>
        <v>9</v>
      </c>
      <c r="G25" s="36" t="n">
        <v>46302</v>
      </c>
      <c r="H25" s="30" t="n">
        <f aca="false">COUNTIFS(Data!$E$2:$E$2284,A25,Data!$H$2:$H$2284,"Agent Opportunity",Data!$B$2:$B$2284,"&gt;="&amp;DATE(2026,9,7))</f>
        <v>10</v>
      </c>
    </row>
    <row r="26" customFormat="false" ht="15" hidden="false" customHeight="false" outlineLevel="0" collapsed="false">
      <c r="A26" s="14" t="s">
        <v>238</v>
      </c>
      <c r="B26" s="14" t="n">
        <f aca="false">COUNTIFS(Data!$E$2:$E$2284,A26,Data!$H$2:$H$2284,"Agent Opportunity")</f>
        <v>18</v>
      </c>
      <c r="C26" s="14" t="n">
        <f aca="false">COUNTIFS(Data!$E$2:$E$2284,A26)</f>
        <v>31</v>
      </c>
      <c r="D26" s="21" t="n">
        <f aca="false">B26/C26</f>
        <v>0.580645161290323</v>
      </c>
      <c r="E26" s="14" t="s">
        <v>175</v>
      </c>
      <c r="F26" s="14" t="n">
        <f aca="false">COUNTIFS(Data!$E$2:$E$2284,A26,Data!$H$2:$H$2284,"Agent Opportunity",Data!$I$2:$I$2284,E26)</f>
        <v>11</v>
      </c>
      <c r="G26" s="34" t="n">
        <v>46261</v>
      </c>
      <c r="H26" s="27" t="n">
        <f aca="false">COUNTIFS(Data!$E$2:$E$2284,A26,Data!$H$2:$H$2284,"Agent Opportunity",Data!$B$2:$B$2284,"&gt;="&amp;DATE(2026,9,7))</f>
        <v>0</v>
      </c>
    </row>
    <row r="27" customFormat="false" ht="15" hidden="false" customHeight="false" outlineLevel="0" collapsed="false">
      <c r="A27" s="15" t="s">
        <v>239</v>
      </c>
      <c r="B27" s="15" t="n">
        <f aca="false">COUNTIFS(Data!$E$2:$E$2284,A27,Data!$H$2:$H$2284,"Agent Opportunity")</f>
        <v>18</v>
      </c>
      <c r="C27" s="15" t="n">
        <f aca="false">COUNTIFS(Data!$E$2:$E$2284,A27)</f>
        <v>26</v>
      </c>
      <c r="D27" s="24" t="n">
        <f aca="false">B27/C27</f>
        <v>0.692307692307692</v>
      </c>
      <c r="E27" s="15" t="s">
        <v>175</v>
      </c>
      <c r="F27" s="15" t="n">
        <f aca="false">COUNTIFS(Data!$E$2:$E$2284,A27,Data!$H$2:$H$2284,"Agent Opportunity",Data!$I$2:$I$2284,E27)</f>
        <v>13</v>
      </c>
      <c r="G27" s="36" t="n">
        <v>46239</v>
      </c>
      <c r="H27" s="30" t="n">
        <f aca="false">COUNTIFS(Data!$E$2:$E$2284,A27,Data!$H$2:$H$2284,"Agent Opportunity",Data!$B$2:$B$2284,"&gt;="&amp;DATE(2026,9,7))</f>
        <v>0</v>
      </c>
    </row>
    <row r="28" customFormat="false" ht="15" hidden="false" customHeight="false" outlineLevel="0" collapsed="false">
      <c r="A28" s="14" t="s">
        <v>240</v>
      </c>
      <c r="B28" s="14" t="n">
        <f aca="false">COUNTIFS(Data!$E$2:$E$2284,A28,Data!$H$2:$H$2284,"Agent Opportunity")</f>
        <v>18</v>
      </c>
      <c r="C28" s="14" t="n">
        <f aca="false">COUNTIFS(Data!$E$2:$E$2284,A28)</f>
        <v>23</v>
      </c>
      <c r="D28" s="21" t="n">
        <f aca="false">B28/C28</f>
        <v>0.782608695652174</v>
      </c>
      <c r="E28" s="14" t="s">
        <v>176</v>
      </c>
      <c r="F28" s="14" t="n">
        <f aca="false">COUNTIFS(Data!$E$2:$E$2284,A28,Data!$H$2:$H$2284,"Agent Opportunity",Data!$I$2:$I$2284,E28)</f>
        <v>8</v>
      </c>
      <c r="G28" s="34" t="n">
        <v>46302</v>
      </c>
      <c r="H28" s="27" t="n">
        <f aca="false">COUNTIFS(Data!$E$2:$E$2284,A28,Data!$H$2:$H$2284,"Agent Opportunity",Data!$B$2:$B$2284,"&gt;="&amp;DATE(2026,9,7))</f>
        <v>4</v>
      </c>
    </row>
    <row r="29" customFormat="false" ht="15" hidden="false" customHeight="false" outlineLevel="0" collapsed="false">
      <c r="A29" s="15" t="s">
        <v>241</v>
      </c>
      <c r="B29" s="15" t="n">
        <f aca="false">COUNTIFS(Data!$E$2:$E$2284,A29,Data!$H$2:$H$2284,"Agent Opportunity")</f>
        <v>17</v>
      </c>
      <c r="C29" s="15" t="n">
        <f aca="false">COUNTIFS(Data!$E$2:$E$2284,A29)</f>
        <v>21</v>
      </c>
      <c r="D29" s="24" t="n">
        <f aca="false">B29/C29</f>
        <v>0.80952380952381</v>
      </c>
      <c r="E29" s="15" t="s">
        <v>176</v>
      </c>
      <c r="F29" s="15" t="n">
        <f aca="false">COUNTIFS(Data!$E$2:$E$2284,A29,Data!$H$2:$H$2284,"Agent Opportunity",Data!$I$2:$I$2284,E29)</f>
        <v>8</v>
      </c>
      <c r="G29" s="36" t="n">
        <v>46302</v>
      </c>
      <c r="H29" s="30" t="n">
        <f aca="false">COUNTIFS(Data!$E$2:$E$2284,A29,Data!$H$2:$H$2284,"Agent Opportunity",Data!$B$2:$B$2284,"&gt;="&amp;DATE(2026,9,7))</f>
        <v>2</v>
      </c>
    </row>
    <row r="30" customFormat="false" ht="15" hidden="false" customHeight="false" outlineLevel="0" collapsed="false">
      <c r="A30" s="14" t="s">
        <v>242</v>
      </c>
      <c r="B30" s="14" t="n">
        <f aca="false">COUNTIFS(Data!$E$2:$E$2284,A30,Data!$H$2:$H$2284,"Agent Opportunity")</f>
        <v>16</v>
      </c>
      <c r="C30" s="14" t="n">
        <f aca="false">COUNTIFS(Data!$E$2:$E$2284,A30)</f>
        <v>23</v>
      </c>
      <c r="D30" s="21" t="n">
        <f aca="false">B30/C30</f>
        <v>0.695652173913044</v>
      </c>
      <c r="E30" s="14" t="s">
        <v>175</v>
      </c>
      <c r="F30" s="14" t="n">
        <f aca="false">COUNTIFS(Data!$E$2:$E$2284,A30,Data!$H$2:$H$2284,"Agent Opportunity",Data!$I$2:$I$2284,E30)</f>
        <v>10</v>
      </c>
      <c r="G30" s="34" t="n">
        <v>46302</v>
      </c>
      <c r="H30" s="27" t="n">
        <f aca="false">COUNTIFS(Data!$E$2:$E$2284,A30,Data!$H$2:$H$2284,"Agent Opportunity",Data!$B$2:$B$2284,"&gt;="&amp;DATE(2026,9,7))</f>
        <v>1</v>
      </c>
    </row>
    <row r="32" customFormat="false" ht="15" hidden="false" customHeight="false" outlineLevel="0" collapsed="false">
      <c r="A32" s="38" t="s">
        <v>243</v>
      </c>
    </row>
  </sheetData>
  <conditionalFormatting sqref="B6:B30">
    <cfRule type="dataBar" priority="2">
      <dataBar showValue="1" minLength="10" maxLength="90">
        <cfvo type="num" val="0"/>
        <cfvo type="max" val="0"/>
        <color rgb="FFF28C28"/>
      </dataBar>
      <extLst>
        <ext xmlns:x14="http://schemas.microsoft.com/office/spreadsheetml/2009/9/main" uri="{B025F937-C7B1-47D3-B67F-A62EFF666E3E}">
          <x14:id>{44F0F033-954A-42B4-A968-D262CAE961D8}</x14:id>
        </ext>
      </extLst>
    </cfRule>
  </conditionalFormatting>
  <conditionalFormatting sqref="H6:H30">
    <cfRule type="cellIs" priority="3" operator="greaterThanOrEqual" aboveAverage="0" equalAverage="0" bottom="0" percent="0" rank="0" text="" dxfId="0">
      <formula>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44F0F033-954A-42B4-A968-D262CAE961D8}">
            <x14:dataBar minLength="10" maxLength="90" axisPosition="none" gradient="true">
              <x14:cfvo type="num">
                <xm:f>0</xm:f>
              </x14:cfvo>
              <x14:cfvo type="max"/>
              <x14:negativeFillColor rgb="FFF28C28"/>
              <x14:axisColor rgb="FF000000"/>
            </x14:dataBar>
          </x14:cfRule>
          <xm:sqref>B6:B30</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2545"/>
    <pageSetUpPr fitToPage="false"/>
  </sheetPr>
  <dimension ref="A1:R22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1"/>
    <col collapsed="false" customWidth="true" hidden="false" outlineLevel="0" max="3" min="3" style="0" width="30"/>
    <col collapsed="false" customWidth="true" hidden="false" outlineLevel="0" max="4" min="4" style="0" width="28"/>
    <col collapsed="false" customWidth="true" hidden="false" outlineLevel="0" max="5" min="5" style="0" width="15"/>
    <col collapsed="false" customWidth="true" hidden="false" outlineLevel="0" max="6" min="6" style="0" width="22"/>
    <col collapsed="false" customWidth="true" hidden="false" outlineLevel="0" max="7" min="7" style="0" width="11"/>
    <col collapsed="false" customWidth="true" hidden="false" outlineLevel="0" max="8" min="8" style="0" width="24"/>
    <col collapsed="false" customWidth="true" hidden="false" outlineLevel="0" max="9" min="9" style="0" width="32"/>
    <col collapsed="false" customWidth="true" hidden="false" outlineLevel="0" max="10" min="10" style="0" width="60"/>
    <col collapsed="false" customWidth="true" hidden="false" outlineLevel="0" max="13" min="11" style="0" width="9"/>
    <col collapsed="false" customWidth="true" hidden="false" outlineLevel="0" max="14" min="14" style="0" width="28"/>
    <col collapsed="false" customWidth="true" hidden="false" outlineLevel="0" max="16" min="15" style="0" width="16"/>
    <col collapsed="false" customWidth="true" hidden="false" outlineLevel="0" max="18" min="18" style="0" width="90"/>
  </cols>
  <sheetData>
    <row r="1" customFormat="false" ht="35.05" hidden="false" customHeight="false" outlineLevel="0" collapsed="false">
      <c r="A1" s="13" t="s">
        <v>244</v>
      </c>
      <c r="B1" s="13" t="s">
        <v>53</v>
      </c>
      <c r="C1" s="13" t="s">
        <v>123</v>
      </c>
      <c r="D1" s="13" t="s">
        <v>124</v>
      </c>
      <c r="E1" s="13" t="s">
        <v>212</v>
      </c>
      <c r="F1" s="13" t="s">
        <v>62</v>
      </c>
      <c r="G1" s="13" t="s">
        <v>245</v>
      </c>
      <c r="H1" s="13" t="s">
        <v>246</v>
      </c>
      <c r="I1" s="13" t="s">
        <v>247</v>
      </c>
      <c r="J1" s="13" t="s">
        <v>248</v>
      </c>
      <c r="K1" s="13" t="s">
        <v>249</v>
      </c>
      <c r="L1" s="13" t="s">
        <v>250</v>
      </c>
      <c r="M1" s="13" t="s">
        <v>251</v>
      </c>
      <c r="N1" s="13" t="s">
        <v>252</v>
      </c>
      <c r="O1" s="13" t="s">
        <v>253</v>
      </c>
      <c r="P1" s="13" t="s">
        <v>254</v>
      </c>
      <c r="R1" s="44" t="s">
        <v>255</v>
      </c>
    </row>
    <row r="2" customFormat="false" ht="15" hidden="false" customHeight="false" outlineLevel="0" collapsed="false">
      <c r="A2" s="45" t="n">
        <v>207</v>
      </c>
      <c r="B2" s="46" t="n">
        <v>46113</v>
      </c>
      <c r="C2" s="45" t="s">
        <v>145</v>
      </c>
      <c r="D2" s="45" t="s">
        <v>146</v>
      </c>
      <c r="E2" s="45" t="s">
        <v>256</v>
      </c>
      <c r="F2" s="45" t="s">
        <v>257</v>
      </c>
      <c r="G2" s="46"/>
      <c r="H2" s="45" t="s">
        <v>167</v>
      </c>
      <c r="I2" s="45" t="s">
        <v>175</v>
      </c>
      <c r="J2" s="45" t="s">
        <v>258</v>
      </c>
      <c r="K2" s="45" t="n">
        <v>4.1</v>
      </c>
      <c r="L2" s="45" t="s">
        <v>259</v>
      </c>
      <c r="M2" s="45" t="s">
        <v>259</v>
      </c>
      <c r="N2" s="45" t="s">
        <v>167</v>
      </c>
      <c r="O2" s="47" t="n">
        <v>46113.5612037037</v>
      </c>
      <c r="P2" s="47" t="n">
        <v>46113.5640393519</v>
      </c>
      <c r="R2" s="48" t="s">
        <v>260</v>
      </c>
    </row>
    <row r="3" customFormat="false" ht="15" hidden="false" customHeight="false" outlineLevel="0" collapsed="false">
      <c r="A3" s="45" t="n">
        <v>208</v>
      </c>
      <c r="B3" s="46" t="n">
        <v>46113</v>
      </c>
      <c r="C3" s="45" t="s">
        <v>145</v>
      </c>
      <c r="D3" s="45" t="s">
        <v>146</v>
      </c>
      <c r="E3" s="45" t="s">
        <v>256</v>
      </c>
      <c r="F3" s="45" t="s">
        <v>261</v>
      </c>
      <c r="G3" s="46"/>
      <c r="H3" s="45" t="s">
        <v>168</v>
      </c>
      <c r="I3" s="45" t="s">
        <v>191</v>
      </c>
      <c r="J3" s="45" t="s">
        <v>262</v>
      </c>
      <c r="K3" s="45" t="n">
        <v>22.9</v>
      </c>
      <c r="L3" s="45" t="s">
        <v>263</v>
      </c>
      <c r="M3" s="45" t="s">
        <v>259</v>
      </c>
      <c r="N3" s="45" t="s">
        <v>264</v>
      </c>
      <c r="O3" s="47" t="n">
        <v>46113.5641203704</v>
      </c>
      <c r="P3" s="47" t="n">
        <v>46113.5799884259</v>
      </c>
      <c r="R3" s="48" t="s">
        <v>265</v>
      </c>
    </row>
    <row r="4" customFormat="false" ht="15" hidden="false" customHeight="false" outlineLevel="0" collapsed="false">
      <c r="A4" s="45" t="n">
        <v>209</v>
      </c>
      <c r="B4" s="46" t="n">
        <v>46113</v>
      </c>
      <c r="C4" s="45" t="s">
        <v>145</v>
      </c>
      <c r="D4" s="45" t="s">
        <v>146</v>
      </c>
      <c r="E4" s="45" t="s">
        <v>256</v>
      </c>
      <c r="F4" s="45" t="s">
        <v>266</v>
      </c>
      <c r="G4" s="46"/>
      <c r="H4" s="45" t="s">
        <v>169</v>
      </c>
      <c r="I4" s="45"/>
      <c r="J4" s="45"/>
      <c r="K4" s="45" t="n">
        <v>11.2</v>
      </c>
      <c r="L4" s="45" t="s">
        <v>263</v>
      </c>
      <c r="M4" s="45" t="s">
        <v>259</v>
      </c>
      <c r="N4" s="45" t="s">
        <v>169</v>
      </c>
      <c r="O4" s="47" t="n">
        <v>46113.5800462963</v>
      </c>
      <c r="P4" s="47" t="n">
        <v>46113.5878125</v>
      </c>
      <c r="R4" s="48" t="s">
        <v>267</v>
      </c>
    </row>
    <row r="5" customFormat="false" ht="15" hidden="false" customHeight="false" outlineLevel="0" collapsed="false">
      <c r="A5" s="45" t="n">
        <v>210</v>
      </c>
      <c r="B5" s="46" t="n">
        <v>46113</v>
      </c>
      <c r="C5" s="45" t="s">
        <v>145</v>
      </c>
      <c r="D5" s="45" t="s">
        <v>146</v>
      </c>
      <c r="E5" s="45" t="s">
        <v>256</v>
      </c>
      <c r="F5" s="45" t="s">
        <v>257</v>
      </c>
      <c r="G5" s="46"/>
      <c r="H5" s="45" t="s">
        <v>167</v>
      </c>
      <c r="I5" s="45" t="s">
        <v>175</v>
      </c>
      <c r="J5" s="45" t="s">
        <v>268</v>
      </c>
      <c r="K5" s="45" t="n">
        <v>18.8</v>
      </c>
      <c r="L5" s="45" t="s">
        <v>259</v>
      </c>
      <c r="M5" s="45" t="s">
        <v>259</v>
      </c>
      <c r="N5" s="45" t="s">
        <v>167</v>
      </c>
      <c r="O5" s="47" t="n">
        <v>46113.5882986111</v>
      </c>
      <c r="P5" s="47" t="n">
        <v>46113.6013657407</v>
      </c>
      <c r="R5" s="48" t="s">
        <v>269</v>
      </c>
    </row>
    <row r="6" customFormat="false" ht="15" hidden="false" customHeight="false" outlineLevel="0" collapsed="false">
      <c r="A6" s="45" t="n">
        <v>211</v>
      </c>
      <c r="B6" s="46" t="n">
        <v>46113</v>
      </c>
      <c r="C6" s="45" t="s">
        <v>145</v>
      </c>
      <c r="D6" s="45" t="s">
        <v>146</v>
      </c>
      <c r="E6" s="45" t="s">
        <v>256</v>
      </c>
      <c r="F6" s="45" t="s">
        <v>257</v>
      </c>
      <c r="G6" s="46"/>
      <c r="H6" s="45" t="s">
        <v>167</v>
      </c>
      <c r="I6" s="45" t="s">
        <v>175</v>
      </c>
      <c r="J6" s="45" t="s">
        <v>270</v>
      </c>
      <c r="K6" s="45" t="n">
        <v>1</v>
      </c>
      <c r="L6" s="45" t="s">
        <v>259</v>
      </c>
      <c r="M6" s="45" t="s">
        <v>259</v>
      </c>
      <c r="N6" s="45" t="s">
        <v>167</v>
      </c>
      <c r="O6" s="47" t="n">
        <v>46113.6022222222</v>
      </c>
      <c r="P6" s="47" t="n">
        <v>46113.6029282407</v>
      </c>
      <c r="R6" s="48" t="s">
        <v>271</v>
      </c>
    </row>
    <row r="7" customFormat="false" ht="15" hidden="false" customHeight="false" outlineLevel="0" collapsed="false">
      <c r="A7" s="45" t="n">
        <v>212</v>
      </c>
      <c r="B7" s="46" t="n">
        <v>46113</v>
      </c>
      <c r="C7" s="45" t="s">
        <v>145</v>
      </c>
      <c r="D7" s="45" t="s">
        <v>146</v>
      </c>
      <c r="E7" s="45" t="s">
        <v>256</v>
      </c>
      <c r="F7" s="45" t="s">
        <v>272</v>
      </c>
      <c r="G7" s="46"/>
      <c r="H7" s="45" t="s">
        <v>57</v>
      </c>
      <c r="I7" s="45" t="s">
        <v>200</v>
      </c>
      <c r="J7" s="45" t="s">
        <v>273</v>
      </c>
      <c r="K7" s="45" t="n">
        <v>5.9</v>
      </c>
      <c r="L7" s="45" t="s">
        <v>263</v>
      </c>
      <c r="M7" s="45" t="s">
        <v>259</v>
      </c>
      <c r="N7" s="45" t="s">
        <v>57</v>
      </c>
      <c r="O7" s="47" t="n">
        <v>46113.6030439815</v>
      </c>
      <c r="P7" s="47" t="n">
        <v>46113.6071296296</v>
      </c>
      <c r="R7" s="48" t="s">
        <v>274</v>
      </c>
    </row>
    <row r="8" customFormat="false" ht="15" hidden="false" customHeight="false" outlineLevel="0" collapsed="false">
      <c r="A8" s="45" t="n">
        <v>213</v>
      </c>
      <c r="B8" s="46" t="n">
        <v>46113</v>
      </c>
      <c r="C8" s="45" t="s">
        <v>131</v>
      </c>
      <c r="D8" s="45" t="s">
        <v>132</v>
      </c>
      <c r="E8" s="45" t="s">
        <v>218</v>
      </c>
      <c r="F8" s="45" t="s">
        <v>275</v>
      </c>
      <c r="G8" s="46"/>
      <c r="H8" s="45" t="s">
        <v>167</v>
      </c>
      <c r="I8" s="45" t="s">
        <v>175</v>
      </c>
      <c r="J8" s="45" t="s">
        <v>276</v>
      </c>
      <c r="K8" s="45" t="n">
        <v>5.6</v>
      </c>
      <c r="L8" s="45" t="s">
        <v>263</v>
      </c>
      <c r="M8" s="45" t="s">
        <v>259</v>
      </c>
      <c r="N8" s="45" t="s">
        <v>167</v>
      </c>
      <c r="O8" s="47" t="n">
        <v>46113.9046643519</v>
      </c>
      <c r="P8" s="47" t="n">
        <v>46113.9085300926</v>
      </c>
    </row>
    <row r="9" customFormat="false" ht="15" hidden="false" customHeight="false" outlineLevel="0" collapsed="false">
      <c r="A9" s="45" t="n">
        <v>215</v>
      </c>
      <c r="B9" s="46" t="n">
        <v>46113</v>
      </c>
      <c r="C9" s="45" t="s">
        <v>131</v>
      </c>
      <c r="D9" s="45" t="s">
        <v>132</v>
      </c>
      <c r="E9" s="45" t="s">
        <v>218</v>
      </c>
      <c r="F9" s="45" t="s">
        <v>277</v>
      </c>
      <c r="G9" s="46"/>
      <c r="H9" s="45" t="s">
        <v>167</v>
      </c>
      <c r="I9" s="45" t="s">
        <v>175</v>
      </c>
      <c r="J9" s="45" t="s">
        <v>278</v>
      </c>
      <c r="K9" s="45" t="n">
        <v>3.2</v>
      </c>
      <c r="L9" s="45" t="s">
        <v>263</v>
      </c>
      <c r="M9" s="45" t="s">
        <v>259</v>
      </c>
      <c r="N9" s="45" t="s">
        <v>167</v>
      </c>
      <c r="O9" s="47" t="n">
        <v>46113.9069560185</v>
      </c>
      <c r="P9" s="47" t="n">
        <v>46113.9091550926</v>
      </c>
    </row>
    <row r="10" customFormat="false" ht="15" hidden="false" customHeight="false" outlineLevel="0" collapsed="false">
      <c r="A10" s="45" t="n">
        <v>214</v>
      </c>
      <c r="B10" s="46" t="n">
        <v>46113</v>
      </c>
      <c r="C10" s="45" t="s">
        <v>131</v>
      </c>
      <c r="D10" s="45" t="s">
        <v>132</v>
      </c>
      <c r="E10" s="45" t="s">
        <v>218</v>
      </c>
      <c r="F10" s="45" t="s">
        <v>279</v>
      </c>
      <c r="G10" s="46"/>
      <c r="H10" s="45" t="s">
        <v>167</v>
      </c>
      <c r="I10" s="45" t="s">
        <v>176</v>
      </c>
      <c r="J10" s="45" t="s">
        <v>280</v>
      </c>
      <c r="K10" s="45" t="n">
        <v>2.7</v>
      </c>
      <c r="L10" s="45" t="s">
        <v>263</v>
      </c>
      <c r="M10" s="45" t="s">
        <v>259</v>
      </c>
      <c r="N10" s="45" t="s">
        <v>167</v>
      </c>
      <c r="O10" s="47" t="n">
        <v>46113.9069675926</v>
      </c>
      <c r="P10" s="47" t="n">
        <v>46113.9088657407</v>
      </c>
    </row>
    <row r="11" customFormat="false" ht="15" hidden="false" customHeight="false" outlineLevel="0" collapsed="false">
      <c r="A11" s="45" t="n">
        <v>216</v>
      </c>
      <c r="B11" s="46" t="n">
        <v>46114</v>
      </c>
      <c r="C11" s="45" t="s">
        <v>145</v>
      </c>
      <c r="D11" s="45" t="s">
        <v>146</v>
      </c>
      <c r="E11" s="45" t="s">
        <v>223</v>
      </c>
      <c r="F11" s="45" t="s">
        <v>281</v>
      </c>
      <c r="G11" s="46"/>
      <c r="H11" s="45" t="s">
        <v>169</v>
      </c>
      <c r="I11" s="45"/>
      <c r="J11" s="45"/>
      <c r="K11" s="45" t="n">
        <v>2.3</v>
      </c>
      <c r="L11" s="45" t="s">
        <v>263</v>
      </c>
      <c r="M11" s="45" t="s">
        <v>259</v>
      </c>
      <c r="N11" s="45" t="s">
        <v>169</v>
      </c>
      <c r="O11" s="47" t="n">
        <v>46114.6219675926</v>
      </c>
      <c r="P11" s="47" t="n">
        <v>46114.6235416667</v>
      </c>
    </row>
    <row r="12" customFormat="false" ht="15" hidden="false" customHeight="false" outlineLevel="0" collapsed="false">
      <c r="A12" s="45" t="n">
        <v>217</v>
      </c>
      <c r="B12" s="46" t="n">
        <v>46114</v>
      </c>
      <c r="C12" s="45" t="s">
        <v>145</v>
      </c>
      <c r="D12" s="45" t="s">
        <v>146</v>
      </c>
      <c r="E12" s="45" t="s">
        <v>223</v>
      </c>
      <c r="F12" s="45" t="s">
        <v>282</v>
      </c>
      <c r="G12" s="46"/>
      <c r="H12" s="45" t="s">
        <v>57</v>
      </c>
      <c r="I12" s="45" t="s">
        <v>200</v>
      </c>
      <c r="J12" s="45" t="s">
        <v>283</v>
      </c>
      <c r="K12" s="45" t="n">
        <v>8.6</v>
      </c>
      <c r="L12" s="45" t="s">
        <v>263</v>
      </c>
      <c r="M12" s="45" t="s">
        <v>259</v>
      </c>
      <c r="N12" s="45" t="s">
        <v>57</v>
      </c>
      <c r="O12" s="47" t="n">
        <v>46114.623599537</v>
      </c>
      <c r="P12" s="47" t="n">
        <v>46114.6295486111</v>
      </c>
    </row>
    <row r="13" customFormat="false" ht="15" hidden="false" customHeight="false" outlineLevel="0" collapsed="false">
      <c r="A13" s="45" t="n">
        <v>218</v>
      </c>
      <c r="B13" s="46" t="n">
        <v>46114</v>
      </c>
      <c r="C13" s="45" t="s">
        <v>145</v>
      </c>
      <c r="D13" s="45" t="s">
        <v>146</v>
      </c>
      <c r="E13" s="45" t="s">
        <v>284</v>
      </c>
      <c r="F13" s="45" t="s">
        <v>285</v>
      </c>
      <c r="G13" s="46"/>
      <c r="H13" s="45" t="s">
        <v>167</v>
      </c>
      <c r="I13" s="45" t="s">
        <v>176</v>
      </c>
      <c r="J13" s="45" t="s">
        <v>286</v>
      </c>
      <c r="K13" s="45" t="n">
        <v>20.8</v>
      </c>
      <c r="L13" s="45" t="s">
        <v>263</v>
      </c>
      <c r="M13" s="45" t="s">
        <v>259</v>
      </c>
      <c r="N13" s="45" t="s">
        <v>167</v>
      </c>
      <c r="O13" s="47" t="n">
        <v>46114.630162037</v>
      </c>
      <c r="P13" s="47" t="n">
        <v>46114.6445949074</v>
      </c>
    </row>
    <row r="14" customFormat="false" ht="15" hidden="false" customHeight="false" outlineLevel="0" collapsed="false">
      <c r="A14" s="45" t="n">
        <v>219</v>
      </c>
      <c r="B14" s="46" t="n">
        <v>46114</v>
      </c>
      <c r="C14" s="45" t="s">
        <v>145</v>
      </c>
      <c r="D14" s="45" t="s">
        <v>146</v>
      </c>
      <c r="E14" s="45" t="s">
        <v>284</v>
      </c>
      <c r="F14" s="45" t="s">
        <v>287</v>
      </c>
      <c r="G14" s="46"/>
      <c r="H14" s="45" t="s">
        <v>167</v>
      </c>
      <c r="I14" s="45" t="s">
        <v>176</v>
      </c>
      <c r="J14" s="45" t="s">
        <v>288</v>
      </c>
      <c r="K14" s="45" t="n">
        <v>22</v>
      </c>
      <c r="L14" s="45" t="s">
        <v>263</v>
      </c>
      <c r="M14" s="45" t="s">
        <v>259</v>
      </c>
      <c r="N14" s="45" t="s">
        <v>167</v>
      </c>
      <c r="O14" s="47" t="n">
        <v>46114.6451736111</v>
      </c>
      <c r="P14" s="47" t="n">
        <v>46114.6604513889</v>
      </c>
    </row>
    <row r="15" customFormat="false" ht="15" hidden="false" customHeight="false" outlineLevel="0" collapsed="false">
      <c r="A15" s="45" t="n">
        <v>220</v>
      </c>
      <c r="B15" s="46" t="n">
        <v>46114</v>
      </c>
      <c r="C15" s="45" t="s">
        <v>131</v>
      </c>
      <c r="D15" s="45" t="s">
        <v>132</v>
      </c>
      <c r="E15" s="45" t="s">
        <v>289</v>
      </c>
      <c r="F15" s="45" t="s">
        <v>290</v>
      </c>
      <c r="G15" s="46"/>
      <c r="H15" s="45" t="s">
        <v>167</v>
      </c>
      <c r="I15" s="45" t="s">
        <v>176</v>
      </c>
      <c r="J15" s="45" t="s">
        <v>291</v>
      </c>
      <c r="K15" s="45" t="n">
        <v>0.8</v>
      </c>
      <c r="L15" s="45" t="s">
        <v>263</v>
      </c>
      <c r="M15" s="45" t="s">
        <v>259</v>
      </c>
      <c r="N15" s="45" t="s">
        <v>167</v>
      </c>
      <c r="O15" s="47" t="n">
        <v>46114.873275463</v>
      </c>
      <c r="P15" s="47" t="n">
        <v>46114.8738078704</v>
      </c>
    </row>
    <row r="16" customFormat="false" ht="15" hidden="false" customHeight="false" outlineLevel="0" collapsed="false">
      <c r="A16" s="45" t="n">
        <v>221</v>
      </c>
      <c r="B16" s="46" t="n">
        <v>46114</v>
      </c>
      <c r="C16" s="45" t="s">
        <v>131</v>
      </c>
      <c r="D16" s="45" t="s">
        <v>132</v>
      </c>
      <c r="E16" s="45" t="s">
        <v>292</v>
      </c>
      <c r="F16" s="45" t="s">
        <v>293</v>
      </c>
      <c r="G16" s="46"/>
      <c r="H16" s="45" t="s">
        <v>167</v>
      </c>
      <c r="I16" s="45" t="s">
        <v>177</v>
      </c>
      <c r="J16" s="45" t="s">
        <v>294</v>
      </c>
      <c r="K16" s="45" t="n">
        <v>4.5</v>
      </c>
      <c r="L16" s="45" t="s">
        <v>263</v>
      </c>
      <c r="M16" s="45" t="s">
        <v>263</v>
      </c>
      <c r="N16" s="45" t="s">
        <v>167</v>
      </c>
      <c r="O16" s="47" t="n">
        <v>46114.8812152778</v>
      </c>
      <c r="P16" s="47" t="n">
        <v>46114.8843287037</v>
      </c>
    </row>
    <row r="17" customFormat="false" ht="15" hidden="false" customHeight="false" outlineLevel="0" collapsed="false">
      <c r="A17" s="45" t="n">
        <v>222</v>
      </c>
      <c r="B17" s="46" t="n">
        <v>46114</v>
      </c>
      <c r="C17" s="45" t="s">
        <v>131</v>
      </c>
      <c r="D17" s="45" t="s">
        <v>132</v>
      </c>
      <c r="E17" s="45" t="s">
        <v>295</v>
      </c>
      <c r="F17" s="45" t="s">
        <v>296</v>
      </c>
      <c r="G17" s="46"/>
      <c r="H17" s="45" t="s">
        <v>167</v>
      </c>
      <c r="I17" s="45" t="s">
        <v>175</v>
      </c>
      <c r="J17" s="45" t="s">
        <v>297</v>
      </c>
      <c r="K17" s="45" t="n">
        <v>3.2</v>
      </c>
      <c r="L17" s="45" t="s">
        <v>263</v>
      </c>
      <c r="M17" s="45" t="s">
        <v>263</v>
      </c>
      <c r="N17" s="45" t="s">
        <v>167</v>
      </c>
      <c r="O17" s="47" t="n">
        <v>46114.8846990741</v>
      </c>
      <c r="P17" s="47" t="n">
        <v>46114.8869097222</v>
      </c>
    </row>
    <row r="18" customFormat="false" ht="15" hidden="false" customHeight="false" outlineLevel="0" collapsed="false">
      <c r="A18" s="45" t="n">
        <v>223</v>
      </c>
      <c r="B18" s="46" t="n">
        <v>46118</v>
      </c>
      <c r="C18" s="45" t="s">
        <v>131</v>
      </c>
      <c r="D18" s="45" t="s">
        <v>132</v>
      </c>
      <c r="E18" s="45" t="s">
        <v>289</v>
      </c>
      <c r="F18" s="45" t="s">
        <v>298</v>
      </c>
      <c r="G18" s="46"/>
      <c r="H18" s="45" t="s">
        <v>167</v>
      </c>
      <c r="I18" s="45" t="s">
        <v>175</v>
      </c>
      <c r="J18" s="45" t="s">
        <v>299</v>
      </c>
      <c r="K18" s="45" t="n">
        <v>0.9</v>
      </c>
      <c r="L18" s="45" t="s">
        <v>263</v>
      </c>
      <c r="M18" s="45" t="s">
        <v>259</v>
      </c>
      <c r="N18" s="45" t="s">
        <v>167</v>
      </c>
      <c r="O18" s="47" t="n">
        <v>46118.8347106482</v>
      </c>
      <c r="P18" s="47" t="n">
        <v>46118.8353125</v>
      </c>
    </row>
    <row r="19" customFormat="false" ht="15" hidden="false" customHeight="false" outlineLevel="0" collapsed="false">
      <c r="A19" s="45" t="n">
        <v>224</v>
      </c>
      <c r="B19" s="46" t="n">
        <v>46118</v>
      </c>
      <c r="C19" s="45" t="s">
        <v>131</v>
      </c>
      <c r="D19" s="45" t="s">
        <v>132</v>
      </c>
      <c r="E19" s="45" t="s">
        <v>289</v>
      </c>
      <c r="F19" s="45" t="s">
        <v>300</v>
      </c>
      <c r="G19" s="46"/>
      <c r="H19" s="45" t="s">
        <v>167</v>
      </c>
      <c r="I19" s="45" t="s">
        <v>175</v>
      </c>
      <c r="J19" s="45" t="s">
        <v>301</v>
      </c>
      <c r="K19" s="45" t="n">
        <v>20.1</v>
      </c>
      <c r="L19" s="45" t="s">
        <v>263</v>
      </c>
      <c r="M19" s="45" t="s">
        <v>259</v>
      </c>
      <c r="N19" s="45" t="s">
        <v>167</v>
      </c>
      <c r="O19" s="47" t="n">
        <v>46118.8353356482</v>
      </c>
      <c r="P19" s="47" t="n">
        <v>46118.8492939815</v>
      </c>
    </row>
    <row r="20" customFormat="false" ht="15" hidden="false" customHeight="false" outlineLevel="0" collapsed="false">
      <c r="A20" s="45" t="n">
        <v>225</v>
      </c>
      <c r="B20" s="46" t="n">
        <v>46118</v>
      </c>
      <c r="C20" s="45" t="s">
        <v>131</v>
      </c>
      <c r="D20" s="45" t="s">
        <v>132</v>
      </c>
      <c r="E20" s="45" t="s">
        <v>218</v>
      </c>
      <c r="F20" s="45" t="s">
        <v>302</v>
      </c>
      <c r="G20" s="46"/>
      <c r="H20" s="45" t="s">
        <v>167</v>
      </c>
      <c r="I20" s="45" t="s">
        <v>176</v>
      </c>
      <c r="J20" s="45" t="s">
        <v>303</v>
      </c>
      <c r="K20" s="45" t="n">
        <v>4.4</v>
      </c>
      <c r="L20" s="45" t="s">
        <v>263</v>
      </c>
      <c r="M20" s="45" t="s">
        <v>259</v>
      </c>
      <c r="N20" s="45" t="s">
        <v>167</v>
      </c>
      <c r="O20" s="47" t="n">
        <v>46118.8493171296</v>
      </c>
      <c r="P20" s="47" t="n">
        <v>46118.8523842593</v>
      </c>
    </row>
    <row r="21" customFormat="false" ht="15" hidden="false" customHeight="false" outlineLevel="0" collapsed="false">
      <c r="A21" s="45" t="n">
        <v>226</v>
      </c>
      <c r="B21" s="46" t="n">
        <v>46118</v>
      </c>
      <c r="C21" s="45" t="s">
        <v>131</v>
      </c>
      <c r="D21" s="45" t="s">
        <v>132</v>
      </c>
      <c r="E21" s="45" t="s">
        <v>304</v>
      </c>
      <c r="F21" s="45" t="s">
        <v>305</v>
      </c>
      <c r="G21" s="46"/>
      <c r="H21" s="45" t="s">
        <v>167</v>
      </c>
      <c r="I21" s="45" t="s">
        <v>175</v>
      </c>
      <c r="J21" s="45" t="s">
        <v>306</v>
      </c>
      <c r="K21" s="45" t="n">
        <v>15.1</v>
      </c>
      <c r="L21" s="45" t="s">
        <v>263</v>
      </c>
      <c r="M21" s="45" t="s">
        <v>259</v>
      </c>
      <c r="N21" s="45" t="s">
        <v>167</v>
      </c>
      <c r="O21" s="47" t="n">
        <v>46118.9151273148</v>
      </c>
      <c r="P21" s="47" t="n">
        <v>46118.9256134259</v>
      </c>
    </row>
    <row r="22" customFormat="false" ht="15" hidden="false" customHeight="false" outlineLevel="0" collapsed="false">
      <c r="A22" s="45" t="n">
        <v>227</v>
      </c>
      <c r="B22" s="46" t="n">
        <v>46118</v>
      </c>
      <c r="C22" s="45" t="s">
        <v>131</v>
      </c>
      <c r="D22" s="45" t="s">
        <v>132</v>
      </c>
      <c r="E22" s="45" t="s">
        <v>218</v>
      </c>
      <c r="F22" s="45" t="s">
        <v>307</v>
      </c>
      <c r="G22" s="46"/>
      <c r="H22" s="45" t="s">
        <v>167</v>
      </c>
      <c r="I22" s="45" t="s">
        <v>176</v>
      </c>
      <c r="J22" s="45" t="s">
        <v>308</v>
      </c>
      <c r="K22" s="45" t="n">
        <v>3.2</v>
      </c>
      <c r="L22" s="45" t="s">
        <v>263</v>
      </c>
      <c r="M22" s="45" t="s">
        <v>259</v>
      </c>
      <c r="N22" s="45" t="s">
        <v>167</v>
      </c>
      <c r="O22" s="47" t="n">
        <v>46118.9256481482</v>
      </c>
      <c r="P22" s="47" t="n">
        <v>46118.9278935185</v>
      </c>
    </row>
    <row r="23" customFormat="false" ht="15" hidden="false" customHeight="false" outlineLevel="0" collapsed="false">
      <c r="A23" s="45" t="n">
        <v>228</v>
      </c>
      <c r="B23" s="46" t="n">
        <v>46119</v>
      </c>
      <c r="C23" s="45" t="s">
        <v>137</v>
      </c>
      <c r="D23" s="45" t="s">
        <v>138</v>
      </c>
      <c r="E23" s="45" t="s">
        <v>309</v>
      </c>
      <c r="F23" s="45" t="s">
        <v>310</v>
      </c>
      <c r="G23" s="46"/>
      <c r="H23" s="45" t="s">
        <v>167</v>
      </c>
      <c r="I23" s="45" t="s">
        <v>182</v>
      </c>
      <c r="J23" s="45" t="s">
        <v>311</v>
      </c>
      <c r="K23" s="45" t="n">
        <v>14.5</v>
      </c>
      <c r="L23" s="45" t="s">
        <v>263</v>
      </c>
      <c r="M23" s="45" t="s">
        <v>259</v>
      </c>
      <c r="N23" s="45" t="s">
        <v>167</v>
      </c>
      <c r="O23" s="47" t="n">
        <v>46119.5655787037</v>
      </c>
      <c r="P23" s="47" t="n">
        <v>46119.5756712963</v>
      </c>
    </row>
    <row r="24" customFormat="false" ht="15" hidden="false" customHeight="false" outlineLevel="0" collapsed="false">
      <c r="A24" s="45" t="n">
        <v>229</v>
      </c>
      <c r="B24" s="46" t="n">
        <v>46119</v>
      </c>
      <c r="C24" s="45" t="s">
        <v>137</v>
      </c>
      <c r="D24" s="45" t="s">
        <v>138</v>
      </c>
      <c r="E24" s="45" t="s">
        <v>312</v>
      </c>
      <c r="F24" s="45" t="s">
        <v>313</v>
      </c>
      <c r="G24" s="46"/>
      <c r="H24" s="45" t="s">
        <v>169</v>
      </c>
      <c r="I24" s="45"/>
      <c r="J24" s="45"/>
      <c r="K24" s="45" t="n">
        <v>0.8</v>
      </c>
      <c r="L24" s="45" t="s">
        <v>263</v>
      </c>
      <c r="M24" s="45" t="s">
        <v>259</v>
      </c>
      <c r="N24" s="45" t="s">
        <v>169</v>
      </c>
      <c r="O24" s="47" t="n">
        <v>46119.5756944444</v>
      </c>
      <c r="P24" s="47" t="n">
        <v>46119.5762152778</v>
      </c>
    </row>
    <row r="25" customFormat="false" ht="15" hidden="false" customHeight="false" outlineLevel="0" collapsed="false">
      <c r="A25" s="45" t="n">
        <v>230</v>
      </c>
      <c r="B25" s="46" t="n">
        <v>46119</v>
      </c>
      <c r="C25" s="45" t="s">
        <v>137</v>
      </c>
      <c r="D25" s="45" t="s">
        <v>138</v>
      </c>
      <c r="E25" s="45" t="s">
        <v>229</v>
      </c>
      <c r="F25" s="45" t="s">
        <v>314</v>
      </c>
      <c r="G25" s="46"/>
      <c r="H25" s="45" t="s">
        <v>167</v>
      </c>
      <c r="I25" s="45" t="s">
        <v>177</v>
      </c>
      <c r="J25" s="45" t="s">
        <v>315</v>
      </c>
      <c r="K25" s="45" t="n">
        <v>9</v>
      </c>
      <c r="L25" s="45" t="s">
        <v>263</v>
      </c>
      <c r="M25" s="45" t="s">
        <v>259</v>
      </c>
      <c r="N25" s="45" t="s">
        <v>167</v>
      </c>
      <c r="O25" s="47" t="n">
        <v>46119.5762384259</v>
      </c>
      <c r="P25" s="47" t="n">
        <v>46119.5825115741</v>
      </c>
    </row>
    <row r="26" customFormat="false" ht="15" hidden="false" customHeight="false" outlineLevel="0" collapsed="false">
      <c r="A26" s="45" t="n">
        <v>233</v>
      </c>
      <c r="B26" s="46" t="n">
        <v>46119</v>
      </c>
      <c r="C26" s="45" t="s">
        <v>137</v>
      </c>
      <c r="D26" s="45" t="s">
        <v>138</v>
      </c>
      <c r="E26" s="45" t="s">
        <v>316</v>
      </c>
      <c r="F26" s="45" t="s">
        <v>317</v>
      </c>
      <c r="G26" s="46"/>
      <c r="H26" s="45" t="s">
        <v>167</v>
      </c>
      <c r="I26" s="45" t="s">
        <v>176</v>
      </c>
      <c r="J26" s="45" t="s">
        <v>318</v>
      </c>
      <c r="K26" s="45" t="n">
        <v>160</v>
      </c>
      <c r="L26" s="45" t="s">
        <v>263</v>
      </c>
      <c r="M26" s="45" t="s">
        <v>259</v>
      </c>
      <c r="N26" s="45" t="s">
        <v>167</v>
      </c>
      <c r="O26" s="47" t="n">
        <v>46119.595</v>
      </c>
      <c r="P26" s="47" t="n">
        <v>46119.7061342593</v>
      </c>
    </row>
    <row r="27" customFormat="false" ht="15" hidden="false" customHeight="false" outlineLevel="0" collapsed="false">
      <c r="A27" s="45" t="n">
        <v>231</v>
      </c>
      <c r="B27" s="46" t="n">
        <v>46119</v>
      </c>
      <c r="C27" s="45" t="s">
        <v>131</v>
      </c>
      <c r="D27" s="45" t="s">
        <v>132</v>
      </c>
      <c r="E27" s="45" t="s">
        <v>218</v>
      </c>
      <c r="F27" s="45" t="s">
        <v>319</v>
      </c>
      <c r="G27" s="46"/>
      <c r="H27" s="45" t="s">
        <v>167</v>
      </c>
      <c r="I27" s="45" t="s">
        <v>176</v>
      </c>
      <c r="J27" s="45" t="s">
        <v>320</v>
      </c>
      <c r="K27" s="45" t="n">
        <v>1.5</v>
      </c>
      <c r="L27" s="45" t="s">
        <v>263</v>
      </c>
      <c r="M27" s="45" t="s">
        <v>259</v>
      </c>
      <c r="N27" s="45" t="s">
        <v>167</v>
      </c>
      <c r="O27" s="47" t="n">
        <v>46119.6170601852</v>
      </c>
      <c r="P27" s="47" t="n">
        <v>46119.618125</v>
      </c>
    </row>
    <row r="28" customFormat="false" ht="15" hidden="false" customHeight="false" outlineLevel="0" collapsed="false">
      <c r="A28" s="45" t="n">
        <v>232</v>
      </c>
      <c r="B28" s="46" t="n">
        <v>46119</v>
      </c>
      <c r="C28" s="45" t="s">
        <v>131</v>
      </c>
      <c r="D28" s="45" t="s">
        <v>132</v>
      </c>
      <c r="E28" s="45" t="s">
        <v>321</v>
      </c>
      <c r="F28" s="45" t="s">
        <v>322</v>
      </c>
      <c r="G28" s="46"/>
      <c r="H28" s="45" t="s">
        <v>167</v>
      </c>
      <c r="I28" s="45" t="s">
        <v>176</v>
      </c>
      <c r="J28" s="45" t="s">
        <v>323</v>
      </c>
      <c r="K28" s="45" t="n">
        <v>3.6</v>
      </c>
      <c r="L28" s="45" t="s">
        <v>263</v>
      </c>
      <c r="M28" s="45" t="s">
        <v>259</v>
      </c>
      <c r="N28" s="45" t="s">
        <v>167</v>
      </c>
      <c r="O28" s="47" t="n">
        <v>46119.6517824074</v>
      </c>
      <c r="P28" s="47" t="n">
        <v>46119.6542824074</v>
      </c>
    </row>
    <row r="29" customFormat="false" ht="15" hidden="false" customHeight="false" outlineLevel="0" collapsed="false">
      <c r="A29" s="45" t="n">
        <v>235</v>
      </c>
      <c r="B29" s="46" t="n">
        <v>46119</v>
      </c>
      <c r="C29" s="45" t="s">
        <v>137</v>
      </c>
      <c r="D29" s="45" t="s">
        <v>138</v>
      </c>
      <c r="E29" s="45" t="s">
        <v>316</v>
      </c>
      <c r="F29" s="45" t="s">
        <v>324</v>
      </c>
      <c r="G29" s="46"/>
      <c r="H29" s="45" t="s">
        <v>167</v>
      </c>
      <c r="I29" s="45" t="s">
        <v>177</v>
      </c>
      <c r="J29" s="45" t="s">
        <v>325</v>
      </c>
      <c r="K29" s="45" t="n">
        <v>43.8</v>
      </c>
      <c r="L29" s="45" t="s">
        <v>263</v>
      </c>
      <c r="M29" s="45" t="s">
        <v>259</v>
      </c>
      <c r="N29" s="45" t="s">
        <v>167</v>
      </c>
      <c r="O29" s="47" t="n">
        <v>46119.7224305556</v>
      </c>
      <c r="P29" s="47" t="n">
        <v>46119.7528587963</v>
      </c>
    </row>
    <row r="30" customFormat="false" ht="15" hidden="false" customHeight="false" outlineLevel="0" collapsed="false">
      <c r="A30" s="45" t="n">
        <v>234</v>
      </c>
      <c r="B30" s="46" t="n">
        <v>46119</v>
      </c>
      <c r="C30" s="45" t="s">
        <v>131</v>
      </c>
      <c r="D30" s="45" t="s">
        <v>132</v>
      </c>
      <c r="E30" s="45" t="s">
        <v>326</v>
      </c>
      <c r="F30" s="45" t="s">
        <v>327</v>
      </c>
      <c r="G30" s="46"/>
      <c r="H30" s="45" t="s">
        <v>168</v>
      </c>
      <c r="I30" s="45" t="s">
        <v>191</v>
      </c>
      <c r="J30" s="45" t="s">
        <v>328</v>
      </c>
      <c r="K30" s="45" t="n">
        <v>0.7</v>
      </c>
      <c r="L30" s="45" t="s">
        <v>263</v>
      </c>
      <c r="M30" s="45" t="s">
        <v>259</v>
      </c>
      <c r="N30" s="45" t="s">
        <v>264</v>
      </c>
      <c r="O30" s="47" t="n">
        <v>46119.7296759259</v>
      </c>
      <c r="P30" s="47" t="n">
        <v>46119.730162037</v>
      </c>
    </row>
    <row r="31" customFormat="false" ht="15" hidden="false" customHeight="false" outlineLevel="0" collapsed="false">
      <c r="A31" s="45" t="n">
        <v>236</v>
      </c>
      <c r="B31" s="46" t="n">
        <v>46119</v>
      </c>
      <c r="C31" s="45" t="s">
        <v>131</v>
      </c>
      <c r="D31" s="45" t="s">
        <v>132</v>
      </c>
      <c r="E31" s="45" t="s">
        <v>321</v>
      </c>
      <c r="F31" s="45" t="s">
        <v>329</v>
      </c>
      <c r="G31" s="46"/>
      <c r="H31" s="45" t="s">
        <v>167</v>
      </c>
      <c r="I31" s="45" t="s">
        <v>175</v>
      </c>
      <c r="J31" s="45" t="s">
        <v>330</v>
      </c>
      <c r="K31" s="45" t="n">
        <v>246.6</v>
      </c>
      <c r="L31" s="45" t="s">
        <v>263</v>
      </c>
      <c r="M31" s="45" t="s">
        <v>259</v>
      </c>
      <c r="N31" s="45" t="s">
        <v>167</v>
      </c>
      <c r="O31" s="47" t="n">
        <v>46119.7436574074</v>
      </c>
      <c r="P31" s="47" t="n">
        <v>46119.9148958333</v>
      </c>
    </row>
    <row r="32" customFormat="false" ht="15" hidden="false" customHeight="false" outlineLevel="0" collapsed="false">
      <c r="A32" s="45" t="n">
        <v>237</v>
      </c>
      <c r="B32" s="46" t="n">
        <v>46119</v>
      </c>
      <c r="C32" s="45" t="s">
        <v>131</v>
      </c>
      <c r="D32" s="45" t="s">
        <v>132</v>
      </c>
      <c r="E32" s="45" t="s">
        <v>321</v>
      </c>
      <c r="F32" s="45" t="s">
        <v>331</v>
      </c>
      <c r="G32" s="46"/>
      <c r="H32" s="45" t="s">
        <v>167</v>
      </c>
      <c r="I32" s="45" t="s">
        <v>175</v>
      </c>
      <c r="J32" s="45" t="s">
        <v>332</v>
      </c>
      <c r="K32" s="45" t="n">
        <v>1.9</v>
      </c>
      <c r="L32" s="45" t="s">
        <v>263</v>
      </c>
      <c r="M32" s="45" t="s">
        <v>259</v>
      </c>
      <c r="N32" s="45" t="s">
        <v>167</v>
      </c>
      <c r="O32" s="47" t="n">
        <v>46119.9154166667</v>
      </c>
      <c r="P32" s="47" t="n">
        <v>46119.916724537</v>
      </c>
    </row>
    <row r="33" customFormat="false" ht="15" hidden="false" customHeight="false" outlineLevel="0" collapsed="false">
      <c r="A33" s="45" t="n">
        <v>239</v>
      </c>
      <c r="B33" s="46" t="n">
        <v>46119</v>
      </c>
      <c r="C33" s="45" t="s">
        <v>133</v>
      </c>
      <c r="D33" s="45" t="s">
        <v>134</v>
      </c>
      <c r="E33" s="45" t="s">
        <v>333</v>
      </c>
      <c r="F33" s="45" t="s">
        <v>334</v>
      </c>
      <c r="G33" s="46"/>
      <c r="H33" s="45" t="s">
        <v>167</v>
      </c>
      <c r="I33" s="45" t="s">
        <v>175</v>
      </c>
      <c r="J33" s="45" t="s">
        <v>335</v>
      </c>
      <c r="K33" s="45" t="n">
        <v>47.3</v>
      </c>
      <c r="L33" s="45" t="s">
        <v>263</v>
      </c>
      <c r="M33" s="45" t="s">
        <v>259</v>
      </c>
      <c r="N33" s="45" t="s">
        <v>167</v>
      </c>
      <c r="O33" s="47" t="n">
        <v>46119.9417708333</v>
      </c>
      <c r="P33" s="47" t="n">
        <v>46119.9746180556</v>
      </c>
    </row>
    <row r="34" customFormat="false" ht="15" hidden="false" customHeight="false" outlineLevel="0" collapsed="false">
      <c r="A34" s="45" t="n">
        <v>238</v>
      </c>
      <c r="B34" s="46" t="n">
        <v>46119</v>
      </c>
      <c r="C34" s="45" t="s">
        <v>143</v>
      </c>
      <c r="D34" s="45" t="s">
        <v>144</v>
      </c>
      <c r="E34" s="45" t="s">
        <v>230</v>
      </c>
      <c r="F34" s="45" t="s">
        <v>336</v>
      </c>
      <c r="G34" s="46"/>
      <c r="H34" s="45" t="s">
        <v>167</v>
      </c>
      <c r="I34" s="45" t="s">
        <v>175</v>
      </c>
      <c r="J34" s="45" t="s">
        <v>337</v>
      </c>
      <c r="K34" s="45" t="n">
        <v>24</v>
      </c>
      <c r="L34" s="45" t="s">
        <v>263</v>
      </c>
      <c r="M34" s="45" t="s">
        <v>259</v>
      </c>
      <c r="N34" s="45" t="s">
        <v>167</v>
      </c>
      <c r="O34" s="47" t="n">
        <v>46119.9444212963</v>
      </c>
      <c r="P34" s="47" t="n">
        <v>46119.9610648148</v>
      </c>
    </row>
    <row r="35" customFormat="false" ht="15" hidden="false" customHeight="false" outlineLevel="0" collapsed="false">
      <c r="A35" s="45" t="n">
        <v>240</v>
      </c>
      <c r="B35" s="46" t="n">
        <v>46119</v>
      </c>
      <c r="C35" s="45" t="s">
        <v>143</v>
      </c>
      <c r="D35" s="45" t="s">
        <v>144</v>
      </c>
      <c r="E35" s="45" t="s">
        <v>338</v>
      </c>
      <c r="F35" s="45" t="s">
        <v>339</v>
      </c>
      <c r="G35" s="46"/>
      <c r="H35" s="45" t="s">
        <v>167</v>
      </c>
      <c r="I35" s="45" t="s">
        <v>175</v>
      </c>
      <c r="J35" s="45" t="s">
        <v>340</v>
      </c>
      <c r="K35" s="45" t="n">
        <v>24.2</v>
      </c>
      <c r="L35" s="45" t="s">
        <v>263</v>
      </c>
      <c r="M35" s="45" t="s">
        <v>259</v>
      </c>
      <c r="N35" s="45" t="s">
        <v>167</v>
      </c>
      <c r="O35" s="47" t="n">
        <v>46119.9611342593</v>
      </c>
      <c r="P35" s="47" t="n">
        <v>46119.9779282407</v>
      </c>
    </row>
    <row r="36" customFormat="false" ht="15" hidden="false" customHeight="false" outlineLevel="0" collapsed="false">
      <c r="A36" s="45" t="n">
        <v>241</v>
      </c>
      <c r="B36" s="46" t="n">
        <v>46120</v>
      </c>
      <c r="C36" s="45" t="s">
        <v>133</v>
      </c>
      <c r="D36" s="45" t="s">
        <v>134</v>
      </c>
      <c r="E36" s="45" t="s">
        <v>333</v>
      </c>
      <c r="F36" s="45" t="s">
        <v>341</v>
      </c>
      <c r="G36" s="46"/>
      <c r="H36" s="45" t="s">
        <v>168</v>
      </c>
      <c r="I36" s="45" t="s">
        <v>191</v>
      </c>
      <c r="J36" s="45" t="s">
        <v>342</v>
      </c>
      <c r="K36" s="45" t="n">
        <v>19.7</v>
      </c>
      <c r="L36" s="45" t="s">
        <v>263</v>
      </c>
      <c r="M36" s="45" t="s">
        <v>259</v>
      </c>
      <c r="N36" s="45" t="s">
        <v>264</v>
      </c>
      <c r="O36" s="47" t="n">
        <v>46120.4994212963</v>
      </c>
      <c r="P36" s="47" t="n">
        <v>46120.513125</v>
      </c>
    </row>
    <row r="37" customFormat="false" ht="15" hidden="false" customHeight="false" outlineLevel="0" collapsed="false">
      <c r="A37" s="45" t="n">
        <v>242</v>
      </c>
      <c r="B37" s="46" t="n">
        <v>46120</v>
      </c>
      <c r="C37" s="45" t="s">
        <v>133</v>
      </c>
      <c r="D37" s="45" t="s">
        <v>134</v>
      </c>
      <c r="E37" s="45" t="s">
        <v>333</v>
      </c>
      <c r="F37" s="45" t="s">
        <v>343</v>
      </c>
      <c r="G37" s="46"/>
      <c r="H37" s="45" t="s">
        <v>168</v>
      </c>
      <c r="I37" s="45" t="s">
        <v>192</v>
      </c>
      <c r="J37" s="45" t="s">
        <v>344</v>
      </c>
      <c r="K37" s="45" t="n">
        <v>11.5</v>
      </c>
      <c r="L37" s="45" t="s">
        <v>263</v>
      </c>
      <c r="M37" s="45" t="s">
        <v>259</v>
      </c>
      <c r="N37" s="45" t="s">
        <v>264</v>
      </c>
      <c r="O37" s="47" t="n">
        <v>46120.5131597222</v>
      </c>
      <c r="P37" s="47" t="n">
        <v>46120.5211689815</v>
      </c>
    </row>
    <row r="38" customFormat="false" ht="15" hidden="false" customHeight="false" outlineLevel="0" collapsed="false">
      <c r="A38" s="45" t="n">
        <v>243</v>
      </c>
      <c r="B38" s="46" t="n">
        <v>46120</v>
      </c>
      <c r="C38" s="45" t="s">
        <v>133</v>
      </c>
      <c r="D38" s="45" t="s">
        <v>134</v>
      </c>
      <c r="E38" s="45" t="s">
        <v>345</v>
      </c>
      <c r="F38" s="45" t="s">
        <v>346</v>
      </c>
      <c r="G38" s="46"/>
      <c r="H38" s="45" t="s">
        <v>57</v>
      </c>
      <c r="I38" s="45" t="s">
        <v>200</v>
      </c>
      <c r="J38" s="45" t="s">
        <v>347</v>
      </c>
      <c r="K38" s="45" t="n">
        <v>7.4</v>
      </c>
      <c r="L38" s="45" t="s">
        <v>263</v>
      </c>
      <c r="M38" s="45" t="s">
        <v>259</v>
      </c>
      <c r="N38" s="45" t="s">
        <v>57</v>
      </c>
      <c r="O38" s="47" t="n">
        <v>46120.5211921296</v>
      </c>
      <c r="P38" s="47" t="n">
        <v>46120.5263078704</v>
      </c>
    </row>
    <row r="39" customFormat="false" ht="15" hidden="false" customHeight="false" outlineLevel="0" collapsed="false">
      <c r="A39" s="45" t="n">
        <v>244</v>
      </c>
      <c r="B39" s="46" t="n">
        <v>46120</v>
      </c>
      <c r="C39" s="45" t="s">
        <v>133</v>
      </c>
      <c r="D39" s="45" t="s">
        <v>134</v>
      </c>
      <c r="E39" s="45" t="s">
        <v>345</v>
      </c>
      <c r="F39" s="45" t="s">
        <v>348</v>
      </c>
      <c r="G39" s="46"/>
      <c r="H39" s="45" t="s">
        <v>167</v>
      </c>
      <c r="I39" s="45" t="s">
        <v>175</v>
      </c>
      <c r="J39" s="45" t="s">
        <v>349</v>
      </c>
      <c r="K39" s="45" t="n">
        <v>27.1</v>
      </c>
      <c r="L39" s="45" t="s">
        <v>263</v>
      </c>
      <c r="M39" s="45" t="s">
        <v>259</v>
      </c>
      <c r="N39" s="45" t="s">
        <v>167</v>
      </c>
      <c r="O39" s="47" t="n">
        <v>46120.5264236111</v>
      </c>
      <c r="P39" s="47" t="n">
        <v>46120.5452662037</v>
      </c>
    </row>
    <row r="40" customFormat="false" ht="15" hidden="false" customHeight="false" outlineLevel="0" collapsed="false">
      <c r="A40" s="45" t="n">
        <v>245</v>
      </c>
      <c r="B40" s="46" t="n">
        <v>46120</v>
      </c>
      <c r="C40" s="45" t="s">
        <v>133</v>
      </c>
      <c r="D40" s="45" t="s">
        <v>134</v>
      </c>
      <c r="E40" s="45" t="s">
        <v>350</v>
      </c>
      <c r="F40" s="45" t="s">
        <v>351</v>
      </c>
      <c r="G40" s="46"/>
      <c r="H40" s="45" t="s">
        <v>168</v>
      </c>
      <c r="I40" s="45" t="s">
        <v>191</v>
      </c>
      <c r="J40" s="45" t="s">
        <v>352</v>
      </c>
      <c r="K40" s="45" t="n">
        <v>92.2</v>
      </c>
      <c r="L40" s="45" t="s">
        <v>263</v>
      </c>
      <c r="M40" s="45" t="s">
        <v>259</v>
      </c>
      <c r="N40" s="45" t="s">
        <v>264</v>
      </c>
      <c r="O40" s="47" t="n">
        <v>46120.5455092593</v>
      </c>
      <c r="P40" s="47" t="n">
        <v>46120.6095486111</v>
      </c>
    </row>
    <row r="41" customFormat="false" ht="15" hidden="false" customHeight="false" outlineLevel="0" collapsed="false">
      <c r="A41" s="45" t="n">
        <v>246</v>
      </c>
      <c r="B41" s="46" t="n">
        <v>46120</v>
      </c>
      <c r="C41" s="45" t="s">
        <v>133</v>
      </c>
      <c r="D41" s="45" t="s">
        <v>134</v>
      </c>
      <c r="E41" s="45" t="s">
        <v>353</v>
      </c>
      <c r="F41" s="45" t="s">
        <v>354</v>
      </c>
      <c r="G41" s="46"/>
      <c r="H41" s="45" t="s">
        <v>167</v>
      </c>
      <c r="I41" s="45" t="s">
        <v>175</v>
      </c>
      <c r="J41" s="45" t="s">
        <v>355</v>
      </c>
      <c r="K41" s="45" t="n">
        <v>50.8</v>
      </c>
      <c r="L41" s="45" t="s">
        <v>263</v>
      </c>
      <c r="M41" s="45" t="s">
        <v>259</v>
      </c>
      <c r="N41" s="45" t="s">
        <v>167</v>
      </c>
      <c r="O41" s="47" t="n">
        <v>46120.618587963</v>
      </c>
      <c r="P41" s="47" t="n">
        <v>46120.6538773148</v>
      </c>
    </row>
    <row r="42" customFormat="false" ht="15" hidden="false" customHeight="false" outlineLevel="0" collapsed="false">
      <c r="A42" s="45" t="n">
        <v>248</v>
      </c>
      <c r="B42" s="46" t="n">
        <v>46120</v>
      </c>
      <c r="C42" s="45" t="s">
        <v>137</v>
      </c>
      <c r="D42" s="45" t="s">
        <v>138</v>
      </c>
      <c r="E42" s="45" t="s">
        <v>316</v>
      </c>
      <c r="F42" s="45" t="s">
        <v>356</v>
      </c>
      <c r="G42" s="46"/>
      <c r="H42" s="45" t="s">
        <v>167</v>
      </c>
      <c r="I42" s="45" t="s">
        <v>175</v>
      </c>
      <c r="J42" s="45" t="s">
        <v>357</v>
      </c>
      <c r="K42" s="45" t="n">
        <v>151.8</v>
      </c>
      <c r="L42" s="45" t="s">
        <v>263</v>
      </c>
      <c r="M42" s="45" t="s">
        <v>259</v>
      </c>
      <c r="N42" s="45" t="s">
        <v>167</v>
      </c>
      <c r="O42" s="47" t="n">
        <v>46120.6454513889</v>
      </c>
      <c r="P42" s="47" t="n">
        <v>46120.7509027778</v>
      </c>
    </row>
    <row r="43" customFormat="false" ht="15" hidden="false" customHeight="false" outlineLevel="0" collapsed="false">
      <c r="A43" s="45" t="n">
        <v>247</v>
      </c>
      <c r="B43" s="46" t="n">
        <v>46120</v>
      </c>
      <c r="C43" s="45" t="s">
        <v>131</v>
      </c>
      <c r="D43" s="45" t="s">
        <v>132</v>
      </c>
      <c r="E43" s="45" t="s">
        <v>321</v>
      </c>
      <c r="F43" s="45" t="s">
        <v>358</v>
      </c>
      <c r="G43" s="46"/>
      <c r="H43" s="45" t="s">
        <v>167</v>
      </c>
      <c r="I43" s="45" t="s">
        <v>175</v>
      </c>
      <c r="J43" s="45" t="s">
        <v>359</v>
      </c>
      <c r="K43" s="45" t="n">
        <v>15.6</v>
      </c>
      <c r="L43" s="45" t="s">
        <v>263</v>
      </c>
      <c r="M43" s="45" t="s">
        <v>259</v>
      </c>
      <c r="N43" s="45" t="s">
        <v>167</v>
      </c>
      <c r="O43" s="47" t="n">
        <v>46120.6818055556</v>
      </c>
      <c r="P43" s="47" t="n">
        <v>46120.692662037</v>
      </c>
    </row>
    <row r="44" customFormat="false" ht="15" hidden="false" customHeight="false" outlineLevel="0" collapsed="false">
      <c r="A44" s="45" t="n">
        <v>250</v>
      </c>
      <c r="B44" s="46" t="n">
        <v>46120</v>
      </c>
      <c r="C44" s="45" t="s">
        <v>131</v>
      </c>
      <c r="D44" s="45" t="s">
        <v>132</v>
      </c>
      <c r="E44" s="45" t="s">
        <v>220</v>
      </c>
      <c r="F44" s="45" t="s">
        <v>360</v>
      </c>
      <c r="G44" s="46"/>
      <c r="H44" s="45" t="s">
        <v>167</v>
      </c>
      <c r="I44" s="45" t="s">
        <v>175</v>
      </c>
      <c r="J44" s="45" t="s">
        <v>361</v>
      </c>
      <c r="K44" s="45" t="n">
        <v>106.8</v>
      </c>
      <c r="L44" s="45" t="s">
        <v>263</v>
      </c>
      <c r="M44" s="45" t="s">
        <v>259</v>
      </c>
      <c r="N44" s="45" t="s">
        <v>167</v>
      </c>
      <c r="O44" s="47" t="n">
        <v>46120.6959027778</v>
      </c>
      <c r="P44" s="47" t="n">
        <v>46120.7700694444</v>
      </c>
    </row>
    <row r="45" customFormat="false" ht="15" hidden="false" customHeight="false" outlineLevel="0" collapsed="false">
      <c r="A45" s="45" t="n">
        <v>249</v>
      </c>
      <c r="B45" s="46" t="n">
        <v>46120</v>
      </c>
      <c r="C45" s="45" t="s">
        <v>143</v>
      </c>
      <c r="D45" s="45" t="s">
        <v>144</v>
      </c>
      <c r="E45" s="45" t="s">
        <v>234</v>
      </c>
      <c r="F45" s="45" t="s">
        <v>362</v>
      </c>
      <c r="G45" s="46"/>
      <c r="H45" s="45" t="s">
        <v>167</v>
      </c>
      <c r="I45" s="45" t="s">
        <v>175</v>
      </c>
      <c r="J45" s="45" t="s">
        <v>363</v>
      </c>
      <c r="K45" s="45" t="n">
        <v>7.8</v>
      </c>
      <c r="L45" s="45" t="s">
        <v>263</v>
      </c>
      <c r="M45" s="45" t="s">
        <v>259</v>
      </c>
      <c r="N45" s="45" t="s">
        <v>167</v>
      </c>
      <c r="O45" s="47" t="n">
        <v>46120.7587962963</v>
      </c>
      <c r="P45" s="47" t="n">
        <v>46120.764212963</v>
      </c>
    </row>
    <row r="46" customFormat="false" ht="15" hidden="false" customHeight="false" outlineLevel="0" collapsed="false">
      <c r="A46" s="45" t="n">
        <v>251</v>
      </c>
      <c r="B46" s="46" t="n">
        <v>46120</v>
      </c>
      <c r="C46" s="45" t="s">
        <v>131</v>
      </c>
      <c r="D46" s="45" t="s">
        <v>132</v>
      </c>
      <c r="E46" s="45" t="s">
        <v>321</v>
      </c>
      <c r="F46" s="45" t="s">
        <v>364</v>
      </c>
      <c r="G46" s="46"/>
      <c r="H46" s="45" t="s">
        <v>57</v>
      </c>
      <c r="I46" s="45" t="s">
        <v>200</v>
      </c>
      <c r="J46" s="45" t="s">
        <v>365</v>
      </c>
      <c r="K46" s="45" t="n">
        <v>3.2</v>
      </c>
      <c r="L46" s="45" t="s">
        <v>263</v>
      </c>
      <c r="M46" s="45" t="s">
        <v>259</v>
      </c>
      <c r="N46" s="45" t="s">
        <v>57</v>
      </c>
      <c r="O46" s="47" t="n">
        <v>46120.7701041667</v>
      </c>
      <c r="P46" s="47" t="n">
        <v>46120.772337963</v>
      </c>
    </row>
    <row r="47" customFormat="false" ht="15" hidden="false" customHeight="false" outlineLevel="0" collapsed="false">
      <c r="A47" s="45" t="n">
        <v>252</v>
      </c>
      <c r="B47" s="46" t="n">
        <v>46120</v>
      </c>
      <c r="C47" s="45" t="s">
        <v>131</v>
      </c>
      <c r="D47" s="45" t="s">
        <v>132</v>
      </c>
      <c r="E47" s="45" t="s">
        <v>222</v>
      </c>
      <c r="F47" s="45" t="s">
        <v>366</v>
      </c>
      <c r="G47" s="46"/>
      <c r="H47" s="45" t="s">
        <v>167</v>
      </c>
      <c r="I47" s="45" t="s">
        <v>176</v>
      </c>
      <c r="J47" s="45" t="s">
        <v>367</v>
      </c>
      <c r="K47" s="45" t="n">
        <v>2.1</v>
      </c>
      <c r="L47" s="45" t="s">
        <v>263</v>
      </c>
      <c r="M47" s="45" t="s">
        <v>259</v>
      </c>
      <c r="N47" s="45" t="s">
        <v>167</v>
      </c>
      <c r="O47" s="47" t="n">
        <v>46120.818912037</v>
      </c>
      <c r="P47" s="47" t="n">
        <v>46120.8203819445</v>
      </c>
    </row>
    <row r="48" customFormat="false" ht="15" hidden="false" customHeight="false" outlineLevel="0" collapsed="false">
      <c r="A48" s="45" t="n">
        <v>253</v>
      </c>
      <c r="B48" s="46" t="n">
        <v>46120</v>
      </c>
      <c r="C48" s="45" t="s">
        <v>131</v>
      </c>
      <c r="D48" s="45" t="s">
        <v>132</v>
      </c>
      <c r="E48" s="45" t="s">
        <v>218</v>
      </c>
      <c r="F48" s="45" t="s">
        <v>368</v>
      </c>
      <c r="G48" s="46"/>
      <c r="H48" s="45" t="s">
        <v>167</v>
      </c>
      <c r="I48" s="45" t="s">
        <v>176</v>
      </c>
      <c r="J48" s="45" t="s">
        <v>369</v>
      </c>
      <c r="K48" s="45" t="n">
        <v>2.1</v>
      </c>
      <c r="L48" s="45" t="s">
        <v>263</v>
      </c>
      <c r="M48" s="45" t="s">
        <v>259</v>
      </c>
      <c r="N48" s="45" t="s">
        <v>167</v>
      </c>
      <c r="O48" s="47" t="n">
        <v>46120.8249884259</v>
      </c>
      <c r="P48" s="47" t="n">
        <v>46120.8264814815</v>
      </c>
    </row>
    <row r="49" customFormat="false" ht="15" hidden="false" customHeight="false" outlineLevel="0" collapsed="false">
      <c r="A49" s="45" t="n">
        <v>254</v>
      </c>
      <c r="B49" s="46" t="n">
        <v>46120</v>
      </c>
      <c r="C49" s="45" t="s">
        <v>131</v>
      </c>
      <c r="D49" s="45" t="s">
        <v>132</v>
      </c>
      <c r="E49" s="45" t="s">
        <v>222</v>
      </c>
      <c r="F49" s="45" t="s">
        <v>370</v>
      </c>
      <c r="G49" s="46"/>
      <c r="H49" s="45" t="s">
        <v>167</v>
      </c>
      <c r="I49" s="45" t="s">
        <v>175</v>
      </c>
      <c r="J49" s="45" t="s">
        <v>371</v>
      </c>
      <c r="K49" s="45" t="n">
        <v>1.3</v>
      </c>
      <c r="L49" s="45" t="s">
        <v>263</v>
      </c>
      <c r="M49" s="45" t="s">
        <v>259</v>
      </c>
      <c r="N49" s="45" t="s">
        <v>167</v>
      </c>
      <c r="O49" s="47" t="n">
        <v>46120.9304050926</v>
      </c>
      <c r="P49" s="47" t="n">
        <v>46120.9312962963</v>
      </c>
    </row>
    <row r="50" customFormat="false" ht="15" hidden="false" customHeight="false" outlineLevel="0" collapsed="false">
      <c r="A50" s="45" t="n">
        <v>256</v>
      </c>
      <c r="B50" s="46" t="n">
        <v>46120</v>
      </c>
      <c r="C50" s="45" t="s">
        <v>143</v>
      </c>
      <c r="D50" s="45" t="s">
        <v>144</v>
      </c>
      <c r="E50" s="45" t="s">
        <v>372</v>
      </c>
      <c r="F50" s="45" t="s">
        <v>373</v>
      </c>
      <c r="G50" s="46"/>
      <c r="H50" s="45" t="s">
        <v>167</v>
      </c>
      <c r="I50" s="45" t="s">
        <v>175</v>
      </c>
      <c r="J50" s="45" t="s">
        <v>374</v>
      </c>
      <c r="K50" s="45" t="n">
        <v>5</v>
      </c>
      <c r="L50" s="45" t="s">
        <v>263</v>
      </c>
      <c r="M50" s="45" t="s">
        <v>259</v>
      </c>
      <c r="N50" s="45" t="s">
        <v>167</v>
      </c>
      <c r="O50" s="47" t="n">
        <v>46120.9353125</v>
      </c>
      <c r="P50" s="47" t="n">
        <v>46120.93875</v>
      </c>
    </row>
    <row r="51" customFormat="false" ht="15" hidden="false" customHeight="false" outlineLevel="0" collapsed="false">
      <c r="A51" s="45" t="n">
        <v>255</v>
      </c>
      <c r="B51" s="46" t="n">
        <v>46120</v>
      </c>
      <c r="C51" s="45" t="s">
        <v>131</v>
      </c>
      <c r="D51" s="45" t="s">
        <v>132</v>
      </c>
      <c r="E51" s="45" t="s">
        <v>375</v>
      </c>
      <c r="F51" s="45" t="s">
        <v>376</v>
      </c>
      <c r="G51" s="46"/>
      <c r="H51" s="45" t="s">
        <v>167</v>
      </c>
      <c r="I51" s="45" t="s">
        <v>175</v>
      </c>
      <c r="J51" s="45" t="s">
        <v>377</v>
      </c>
      <c r="K51" s="45" t="n">
        <v>1.6</v>
      </c>
      <c r="L51" s="45" t="s">
        <v>263</v>
      </c>
      <c r="M51" s="45" t="s">
        <v>259</v>
      </c>
      <c r="N51" s="45" t="s">
        <v>167</v>
      </c>
      <c r="O51" s="47" t="n">
        <v>46120.9353703704</v>
      </c>
      <c r="P51" s="47" t="n">
        <v>46120.9364930556</v>
      </c>
    </row>
    <row r="52" customFormat="false" ht="15" hidden="false" customHeight="false" outlineLevel="0" collapsed="false">
      <c r="A52" s="45" t="n">
        <v>257</v>
      </c>
      <c r="B52" s="46" t="n">
        <v>46120</v>
      </c>
      <c r="C52" s="45" t="s">
        <v>131</v>
      </c>
      <c r="D52" s="45" t="s">
        <v>132</v>
      </c>
      <c r="E52" s="45" t="s">
        <v>378</v>
      </c>
      <c r="F52" s="45" t="s">
        <v>379</v>
      </c>
      <c r="G52" s="46"/>
      <c r="H52" s="45" t="s">
        <v>167</v>
      </c>
      <c r="I52" s="45" t="s">
        <v>175</v>
      </c>
      <c r="J52" s="45" t="s">
        <v>380</v>
      </c>
      <c r="K52" s="45" t="n">
        <v>7.7</v>
      </c>
      <c r="L52" s="45" t="s">
        <v>259</v>
      </c>
      <c r="M52" s="45" t="s">
        <v>259</v>
      </c>
      <c r="N52" s="45" t="s">
        <v>167</v>
      </c>
      <c r="O52" s="47" t="n">
        <v>46120.9378703704</v>
      </c>
      <c r="P52" s="47" t="n">
        <v>46120.9432175926</v>
      </c>
    </row>
    <row r="53" customFormat="false" ht="15" hidden="false" customHeight="false" outlineLevel="0" collapsed="false">
      <c r="A53" s="45" t="n">
        <v>259</v>
      </c>
      <c r="B53" s="46" t="n">
        <v>46120</v>
      </c>
      <c r="C53" s="45" t="s">
        <v>143</v>
      </c>
      <c r="D53" s="45" t="s">
        <v>144</v>
      </c>
      <c r="E53" s="45" t="s">
        <v>381</v>
      </c>
      <c r="F53" s="45" t="s">
        <v>382</v>
      </c>
      <c r="G53" s="46"/>
      <c r="H53" s="45" t="s">
        <v>167</v>
      </c>
      <c r="I53" s="45" t="s">
        <v>177</v>
      </c>
      <c r="J53" s="45" t="s">
        <v>383</v>
      </c>
      <c r="K53" s="45" t="n">
        <v>31.2</v>
      </c>
      <c r="L53" s="45" t="s">
        <v>263</v>
      </c>
      <c r="M53" s="45" t="s">
        <v>259</v>
      </c>
      <c r="N53" s="45" t="s">
        <v>167</v>
      </c>
      <c r="O53" s="47" t="n">
        <v>46120.9387847222</v>
      </c>
      <c r="P53" s="47" t="n">
        <v>46120.960474537</v>
      </c>
    </row>
    <row r="54" customFormat="false" ht="15" hidden="false" customHeight="false" outlineLevel="0" collapsed="false">
      <c r="A54" s="45" t="n">
        <v>258</v>
      </c>
      <c r="B54" s="46" t="n">
        <v>46120</v>
      </c>
      <c r="C54" s="45" t="s">
        <v>131</v>
      </c>
      <c r="D54" s="45" t="s">
        <v>132</v>
      </c>
      <c r="E54" s="45" t="s">
        <v>378</v>
      </c>
      <c r="F54" s="45" t="s">
        <v>379</v>
      </c>
      <c r="G54" s="46"/>
      <c r="H54" s="45" t="s">
        <v>167</v>
      </c>
      <c r="I54" s="45" t="s">
        <v>176</v>
      </c>
      <c r="J54" s="45" t="s">
        <v>384</v>
      </c>
      <c r="K54" s="45" t="n">
        <v>1.3</v>
      </c>
      <c r="L54" s="45" t="s">
        <v>259</v>
      </c>
      <c r="M54" s="45" t="s">
        <v>259</v>
      </c>
      <c r="N54" s="45" t="s">
        <v>167</v>
      </c>
      <c r="O54" s="47" t="n">
        <v>46120.9432291667</v>
      </c>
      <c r="P54" s="47" t="n">
        <v>46120.9441550926</v>
      </c>
    </row>
    <row r="55" customFormat="false" ht="15" hidden="false" customHeight="false" outlineLevel="0" collapsed="false">
      <c r="A55" s="45" t="n">
        <v>260</v>
      </c>
      <c r="B55" s="46" t="n">
        <v>46120</v>
      </c>
      <c r="C55" s="45" t="s">
        <v>143</v>
      </c>
      <c r="D55" s="45" t="s">
        <v>144</v>
      </c>
      <c r="E55" s="45" t="s">
        <v>385</v>
      </c>
      <c r="F55" s="45" t="s">
        <v>386</v>
      </c>
      <c r="G55" s="46"/>
      <c r="H55" s="45" t="s">
        <v>167</v>
      </c>
      <c r="I55" s="45" t="s">
        <v>175</v>
      </c>
      <c r="J55" s="45" t="s">
        <v>387</v>
      </c>
      <c r="K55" s="45" t="n">
        <v>17.4</v>
      </c>
      <c r="L55" s="45" t="s">
        <v>259</v>
      </c>
      <c r="M55" s="45" t="s">
        <v>259</v>
      </c>
      <c r="N55" s="45" t="s">
        <v>167</v>
      </c>
      <c r="O55" s="47" t="n">
        <v>46120.9613888889</v>
      </c>
      <c r="P55" s="47" t="n">
        <v>46120.9734837963</v>
      </c>
    </row>
    <row r="56" customFormat="false" ht="15" hidden="false" customHeight="false" outlineLevel="0" collapsed="false">
      <c r="A56" s="45" t="n">
        <v>261</v>
      </c>
      <c r="B56" s="46" t="n">
        <v>46121</v>
      </c>
      <c r="C56" s="45" t="s">
        <v>131</v>
      </c>
      <c r="D56" s="45" t="s">
        <v>132</v>
      </c>
      <c r="E56" s="45" t="s">
        <v>218</v>
      </c>
      <c r="F56" s="45" t="s">
        <v>388</v>
      </c>
      <c r="G56" s="46"/>
      <c r="H56" s="45" t="s">
        <v>167</v>
      </c>
      <c r="I56" s="45" t="s">
        <v>176</v>
      </c>
      <c r="J56" s="45" t="s">
        <v>389</v>
      </c>
      <c r="K56" s="45" t="n">
        <v>9.7</v>
      </c>
      <c r="L56" s="45" t="s">
        <v>263</v>
      </c>
      <c r="M56" s="45" t="s">
        <v>259</v>
      </c>
      <c r="N56" s="45" t="s">
        <v>167</v>
      </c>
      <c r="O56" s="47" t="n">
        <v>46121.6484143519</v>
      </c>
      <c r="P56" s="47" t="n">
        <v>46121.6551736111</v>
      </c>
    </row>
    <row r="57" customFormat="false" ht="15" hidden="false" customHeight="false" outlineLevel="0" collapsed="false">
      <c r="A57" s="45" t="n">
        <v>262</v>
      </c>
      <c r="B57" s="46" t="n">
        <v>46121</v>
      </c>
      <c r="C57" s="45" t="s">
        <v>133</v>
      </c>
      <c r="D57" s="45" t="s">
        <v>134</v>
      </c>
      <c r="E57" s="45" t="s">
        <v>238</v>
      </c>
      <c r="F57" s="45" t="s">
        <v>390</v>
      </c>
      <c r="G57" s="46"/>
      <c r="H57" s="45" t="s">
        <v>169</v>
      </c>
      <c r="I57" s="45"/>
      <c r="J57" s="45"/>
      <c r="K57" s="45" t="n">
        <v>0.1</v>
      </c>
      <c r="L57" s="45" t="s">
        <v>263</v>
      </c>
      <c r="M57" s="45" t="s">
        <v>259</v>
      </c>
      <c r="N57" s="45" t="s">
        <v>169</v>
      </c>
      <c r="O57" s="47" t="n">
        <v>46121.6572916667</v>
      </c>
      <c r="P57" s="47" t="n">
        <v>46121.6573611111</v>
      </c>
    </row>
    <row r="58" customFormat="false" ht="15" hidden="false" customHeight="false" outlineLevel="0" collapsed="false">
      <c r="A58" s="45" t="n">
        <v>268</v>
      </c>
      <c r="B58" s="46" t="n">
        <v>46121</v>
      </c>
      <c r="C58" s="45" t="s">
        <v>133</v>
      </c>
      <c r="D58" s="45" t="s">
        <v>134</v>
      </c>
      <c r="E58" s="45" t="s">
        <v>238</v>
      </c>
      <c r="F58" s="45" t="s">
        <v>391</v>
      </c>
      <c r="G58" s="46"/>
      <c r="H58" s="45" t="s">
        <v>167</v>
      </c>
      <c r="I58" s="45" t="s">
        <v>177</v>
      </c>
      <c r="J58" s="45" t="s">
        <v>392</v>
      </c>
      <c r="K58" s="45" t="n">
        <v>1293.5</v>
      </c>
      <c r="L58" s="45" t="s">
        <v>263</v>
      </c>
      <c r="M58" s="45" t="s">
        <v>259</v>
      </c>
      <c r="N58" s="45" t="s">
        <v>167</v>
      </c>
      <c r="O58" s="47" t="n">
        <v>46121.6574074074</v>
      </c>
      <c r="P58" s="47" t="n">
        <v>46122.5556944445</v>
      </c>
    </row>
    <row r="59" customFormat="false" ht="15" hidden="false" customHeight="false" outlineLevel="0" collapsed="false">
      <c r="A59" s="45" t="n">
        <v>263</v>
      </c>
      <c r="B59" s="46" t="n">
        <v>46121</v>
      </c>
      <c r="C59" s="45" t="s">
        <v>131</v>
      </c>
      <c r="D59" s="45" t="s">
        <v>132</v>
      </c>
      <c r="E59" s="45" t="s">
        <v>222</v>
      </c>
      <c r="F59" s="45" t="s">
        <v>393</v>
      </c>
      <c r="G59" s="46"/>
      <c r="H59" s="45" t="s">
        <v>167</v>
      </c>
      <c r="I59" s="45" t="s">
        <v>175</v>
      </c>
      <c r="J59" s="45" t="s">
        <v>394</v>
      </c>
      <c r="K59" s="45" t="n">
        <v>181.7</v>
      </c>
      <c r="L59" s="45" t="s">
        <v>259</v>
      </c>
      <c r="M59" s="45" t="s">
        <v>259</v>
      </c>
      <c r="N59" s="45" t="s">
        <v>167</v>
      </c>
      <c r="O59" s="47" t="n">
        <v>46121.762974537</v>
      </c>
      <c r="P59" s="47" t="n">
        <v>46121.8891435185</v>
      </c>
    </row>
    <row r="60" customFormat="false" ht="15" hidden="false" customHeight="false" outlineLevel="0" collapsed="false">
      <c r="A60" s="45" t="n">
        <v>264</v>
      </c>
      <c r="B60" s="46" t="n">
        <v>46121</v>
      </c>
      <c r="C60" s="45" t="s">
        <v>131</v>
      </c>
      <c r="D60" s="45" t="s">
        <v>132</v>
      </c>
      <c r="E60" s="45" t="s">
        <v>326</v>
      </c>
      <c r="F60" s="45" t="s">
        <v>393</v>
      </c>
      <c r="G60" s="46"/>
      <c r="H60" s="45" t="s">
        <v>168</v>
      </c>
      <c r="I60" s="45" t="s">
        <v>195</v>
      </c>
      <c r="J60" s="45" t="s">
        <v>395</v>
      </c>
      <c r="K60" s="45" t="n">
        <v>1.1</v>
      </c>
      <c r="L60" s="45" t="s">
        <v>259</v>
      </c>
      <c r="M60" s="45" t="s">
        <v>259</v>
      </c>
      <c r="N60" s="45" t="s">
        <v>264</v>
      </c>
      <c r="O60" s="47" t="n">
        <v>46121.889212963</v>
      </c>
      <c r="P60" s="47" t="n">
        <v>46121.8899884259</v>
      </c>
    </row>
    <row r="61" customFormat="false" ht="15" hidden="false" customHeight="false" outlineLevel="0" collapsed="false">
      <c r="A61" s="45" t="n">
        <v>265</v>
      </c>
      <c r="B61" s="46" t="n">
        <v>46121</v>
      </c>
      <c r="C61" s="45" t="s">
        <v>143</v>
      </c>
      <c r="D61" s="45" t="s">
        <v>144</v>
      </c>
      <c r="E61" s="45" t="s">
        <v>234</v>
      </c>
      <c r="F61" s="45" t="s">
        <v>396</v>
      </c>
      <c r="G61" s="46"/>
      <c r="H61" s="45" t="s">
        <v>167</v>
      </c>
      <c r="I61" s="45" t="s">
        <v>175</v>
      </c>
      <c r="J61" s="45" t="s">
        <v>397</v>
      </c>
      <c r="K61" s="45" t="n">
        <v>12.3</v>
      </c>
      <c r="L61" s="45" t="s">
        <v>263</v>
      </c>
      <c r="M61" s="45" t="s">
        <v>259</v>
      </c>
      <c r="N61" s="45" t="s">
        <v>167</v>
      </c>
      <c r="O61" s="47" t="n">
        <v>46121.9769444445</v>
      </c>
      <c r="P61" s="47" t="n">
        <v>46121.9855092593</v>
      </c>
    </row>
    <row r="62" customFormat="false" ht="15" hidden="false" customHeight="false" outlineLevel="0" collapsed="false">
      <c r="A62" s="45" t="n">
        <v>266</v>
      </c>
      <c r="B62" s="46" t="n">
        <v>46121</v>
      </c>
      <c r="C62" s="45" t="s">
        <v>143</v>
      </c>
      <c r="D62" s="45" t="s">
        <v>144</v>
      </c>
      <c r="E62" s="45" t="s">
        <v>372</v>
      </c>
      <c r="F62" s="45" t="s">
        <v>398</v>
      </c>
      <c r="G62" s="46"/>
      <c r="H62" s="45" t="s">
        <v>167</v>
      </c>
      <c r="I62" s="45" t="s">
        <v>175</v>
      </c>
      <c r="J62" s="45" t="s">
        <v>399</v>
      </c>
      <c r="K62" s="45" t="n">
        <v>40.2</v>
      </c>
      <c r="L62" s="45" t="s">
        <v>263</v>
      </c>
      <c r="M62" s="45" t="s">
        <v>259</v>
      </c>
      <c r="N62" s="45" t="s">
        <v>167</v>
      </c>
      <c r="O62" s="47" t="n">
        <v>46121.9855902778</v>
      </c>
      <c r="P62" s="47" t="n">
        <v>46122.0135300926</v>
      </c>
    </row>
    <row r="63" customFormat="false" ht="15" hidden="false" customHeight="false" outlineLevel="0" collapsed="false">
      <c r="A63" s="45" t="n">
        <v>267</v>
      </c>
      <c r="B63" s="46" t="n">
        <v>46122</v>
      </c>
      <c r="C63" s="45" t="s">
        <v>143</v>
      </c>
      <c r="D63" s="45" t="s">
        <v>144</v>
      </c>
      <c r="E63" s="45" t="s">
        <v>372</v>
      </c>
      <c r="F63" s="45" t="s">
        <v>386</v>
      </c>
      <c r="G63" s="46"/>
      <c r="H63" s="45" t="s">
        <v>167</v>
      </c>
      <c r="I63" s="45" t="s">
        <v>175</v>
      </c>
      <c r="J63" s="45" t="s">
        <v>400</v>
      </c>
      <c r="K63" s="45" t="n">
        <v>11.5</v>
      </c>
      <c r="L63" s="45" t="s">
        <v>259</v>
      </c>
      <c r="M63" s="45" t="s">
        <v>259</v>
      </c>
      <c r="N63" s="45" t="s">
        <v>167</v>
      </c>
      <c r="O63" s="47" t="n">
        <v>46122.0135648148</v>
      </c>
      <c r="P63" s="47" t="n">
        <v>46122.0215625</v>
      </c>
    </row>
    <row r="64" customFormat="false" ht="15" hidden="false" customHeight="false" outlineLevel="0" collapsed="false">
      <c r="A64" s="45" t="n">
        <v>280</v>
      </c>
      <c r="B64" s="46" t="n">
        <v>46122</v>
      </c>
      <c r="C64" s="45" t="s">
        <v>143</v>
      </c>
      <c r="D64" s="45" t="s">
        <v>144</v>
      </c>
      <c r="E64" s="45" t="s">
        <v>234</v>
      </c>
      <c r="F64" s="45" t="s">
        <v>401</v>
      </c>
      <c r="G64" s="46"/>
      <c r="H64" s="45" t="s">
        <v>57</v>
      </c>
      <c r="I64" s="45" t="s">
        <v>201</v>
      </c>
      <c r="J64" s="45" t="s">
        <v>402</v>
      </c>
      <c r="K64" s="45" t="n">
        <v>1280.1</v>
      </c>
      <c r="L64" s="45" t="s">
        <v>263</v>
      </c>
      <c r="M64" s="45" t="s">
        <v>259</v>
      </c>
      <c r="N64" s="45" t="s">
        <v>57</v>
      </c>
      <c r="O64" s="47" t="n">
        <v>46122.021875</v>
      </c>
      <c r="P64" s="47" t="n">
        <v>46122.9108333333</v>
      </c>
    </row>
    <row r="65" customFormat="false" ht="15" hidden="false" customHeight="false" outlineLevel="0" collapsed="false">
      <c r="A65" s="45" t="n">
        <v>269</v>
      </c>
      <c r="B65" s="46" t="n">
        <v>46122</v>
      </c>
      <c r="C65" s="45" t="s">
        <v>133</v>
      </c>
      <c r="D65" s="45" t="s">
        <v>134</v>
      </c>
      <c r="E65" s="45" t="s">
        <v>345</v>
      </c>
      <c r="F65" s="45" t="s">
        <v>403</v>
      </c>
      <c r="G65" s="46"/>
      <c r="H65" s="45" t="s">
        <v>168</v>
      </c>
      <c r="I65" s="45" t="s">
        <v>197</v>
      </c>
      <c r="J65" s="45" t="s">
        <v>404</v>
      </c>
      <c r="K65" s="45" t="n">
        <v>12.9</v>
      </c>
      <c r="L65" s="45" t="s">
        <v>263</v>
      </c>
      <c r="M65" s="45" t="s">
        <v>259</v>
      </c>
      <c r="N65" s="45" t="s">
        <v>264</v>
      </c>
      <c r="O65" s="47" t="n">
        <v>46122.5558217593</v>
      </c>
      <c r="P65" s="47" t="n">
        <v>46122.5648148148</v>
      </c>
    </row>
    <row r="66" customFormat="false" ht="15" hidden="false" customHeight="false" outlineLevel="0" collapsed="false">
      <c r="A66" s="45" t="n">
        <v>270</v>
      </c>
      <c r="B66" s="46" t="n">
        <v>46122</v>
      </c>
      <c r="C66" s="45" t="s">
        <v>133</v>
      </c>
      <c r="D66" s="45" t="s">
        <v>134</v>
      </c>
      <c r="E66" s="45" t="s">
        <v>405</v>
      </c>
      <c r="F66" s="45" t="s">
        <v>406</v>
      </c>
      <c r="G66" s="46"/>
      <c r="H66" s="45" t="s">
        <v>168</v>
      </c>
      <c r="I66" s="45" t="s">
        <v>192</v>
      </c>
      <c r="J66" s="45" t="s">
        <v>407</v>
      </c>
      <c r="K66" s="45" t="n">
        <v>78.8</v>
      </c>
      <c r="L66" s="45" t="s">
        <v>263</v>
      </c>
      <c r="M66" s="45" t="s">
        <v>259</v>
      </c>
      <c r="N66" s="45" t="s">
        <v>264</v>
      </c>
      <c r="O66" s="47" t="n">
        <v>46122.5648611111</v>
      </c>
      <c r="P66" s="47" t="n">
        <v>46122.6195949074</v>
      </c>
    </row>
    <row r="67" customFormat="false" ht="15" hidden="false" customHeight="false" outlineLevel="0" collapsed="false">
      <c r="A67" s="45" t="n">
        <v>271</v>
      </c>
      <c r="B67" s="46" t="n">
        <v>46122</v>
      </c>
      <c r="C67" s="45" t="s">
        <v>145</v>
      </c>
      <c r="D67" s="45" t="s">
        <v>146</v>
      </c>
      <c r="E67" s="45" t="s">
        <v>408</v>
      </c>
      <c r="F67" s="45" t="s">
        <v>409</v>
      </c>
      <c r="G67" s="46"/>
      <c r="H67" s="45" t="s">
        <v>167</v>
      </c>
      <c r="I67" s="45" t="s">
        <v>176</v>
      </c>
      <c r="J67" s="45" t="s">
        <v>410</v>
      </c>
      <c r="K67" s="45" t="n">
        <v>18.3</v>
      </c>
      <c r="L67" s="45" t="s">
        <v>263</v>
      </c>
      <c r="M67" s="45" t="s">
        <v>259</v>
      </c>
      <c r="N67" s="45" t="s">
        <v>167</v>
      </c>
      <c r="O67" s="47" t="n">
        <v>46122.668275463</v>
      </c>
      <c r="P67" s="47" t="n">
        <v>46122.6810069445</v>
      </c>
    </row>
    <row r="68" customFormat="false" ht="15" hidden="false" customHeight="false" outlineLevel="0" collapsed="false">
      <c r="A68" s="45" t="n">
        <v>273</v>
      </c>
      <c r="B68" s="46" t="n">
        <v>46122</v>
      </c>
      <c r="C68" s="45" t="s">
        <v>145</v>
      </c>
      <c r="D68" s="45" t="s">
        <v>146</v>
      </c>
      <c r="E68" s="45" t="s">
        <v>284</v>
      </c>
      <c r="F68" s="45" t="s">
        <v>411</v>
      </c>
      <c r="G68" s="46"/>
      <c r="H68" s="45" t="s">
        <v>168</v>
      </c>
      <c r="I68" s="45" t="s">
        <v>197</v>
      </c>
      <c r="J68" s="45" t="s">
        <v>412</v>
      </c>
      <c r="K68" s="45" t="n">
        <v>29.3</v>
      </c>
      <c r="L68" s="45" t="s">
        <v>263</v>
      </c>
      <c r="M68" s="45" t="s">
        <v>259</v>
      </c>
      <c r="N68" s="45" t="s">
        <v>264</v>
      </c>
      <c r="O68" s="47" t="n">
        <v>46122.6810416667</v>
      </c>
      <c r="P68" s="47" t="n">
        <v>46122.701412037</v>
      </c>
    </row>
    <row r="69" customFormat="false" ht="15" hidden="false" customHeight="false" outlineLevel="0" collapsed="false">
      <c r="A69" s="45" t="n">
        <v>272</v>
      </c>
      <c r="B69" s="46" t="n">
        <v>46122</v>
      </c>
      <c r="C69" s="45" t="s">
        <v>131</v>
      </c>
      <c r="D69" s="45" t="s">
        <v>132</v>
      </c>
      <c r="E69" s="45" t="s">
        <v>326</v>
      </c>
      <c r="F69" s="45" t="s">
        <v>413</v>
      </c>
      <c r="G69" s="46"/>
      <c r="H69" s="45" t="s">
        <v>168</v>
      </c>
      <c r="I69" s="45" t="s">
        <v>191</v>
      </c>
      <c r="J69" s="45" t="s">
        <v>414</v>
      </c>
      <c r="K69" s="45" t="n">
        <v>2.4</v>
      </c>
      <c r="L69" s="45" t="s">
        <v>263</v>
      </c>
      <c r="M69" s="45" t="s">
        <v>259</v>
      </c>
      <c r="N69" s="45" t="s">
        <v>264</v>
      </c>
      <c r="O69" s="47" t="n">
        <v>46122.6971990741</v>
      </c>
      <c r="P69" s="47" t="n">
        <v>46122.6988888889</v>
      </c>
    </row>
    <row r="70" customFormat="false" ht="15" hidden="false" customHeight="false" outlineLevel="0" collapsed="false">
      <c r="A70" s="45" t="n">
        <v>274</v>
      </c>
      <c r="B70" s="46" t="n">
        <v>46122</v>
      </c>
      <c r="C70" s="45" t="s">
        <v>145</v>
      </c>
      <c r="D70" s="45" t="s">
        <v>146</v>
      </c>
      <c r="E70" s="45" t="s">
        <v>415</v>
      </c>
      <c r="F70" s="45" t="s">
        <v>416</v>
      </c>
      <c r="G70" s="46"/>
      <c r="H70" s="45" t="s">
        <v>169</v>
      </c>
      <c r="I70" s="45"/>
      <c r="J70" s="45"/>
      <c r="K70" s="45" t="n">
        <v>5.2</v>
      </c>
      <c r="L70" s="45" t="s">
        <v>263</v>
      </c>
      <c r="M70" s="45" t="s">
        <v>259</v>
      </c>
      <c r="N70" s="45" t="s">
        <v>169</v>
      </c>
      <c r="O70" s="47" t="n">
        <v>46122.7014583333</v>
      </c>
      <c r="P70" s="47" t="n">
        <v>46122.7050694445</v>
      </c>
    </row>
    <row r="71" customFormat="false" ht="15" hidden="false" customHeight="false" outlineLevel="0" collapsed="false">
      <c r="A71" s="45" t="n">
        <v>275</v>
      </c>
      <c r="B71" s="46" t="n">
        <v>46122</v>
      </c>
      <c r="C71" s="45" t="s">
        <v>145</v>
      </c>
      <c r="D71" s="45" t="s">
        <v>146</v>
      </c>
      <c r="E71" s="45" t="s">
        <v>415</v>
      </c>
      <c r="F71" s="45" t="s">
        <v>417</v>
      </c>
      <c r="G71" s="46"/>
      <c r="H71" s="45" t="s">
        <v>168</v>
      </c>
      <c r="I71" s="45" t="s">
        <v>191</v>
      </c>
      <c r="J71" s="45" t="s">
        <v>418</v>
      </c>
      <c r="K71" s="45" t="n">
        <v>10.1</v>
      </c>
      <c r="L71" s="45" t="s">
        <v>263</v>
      </c>
      <c r="M71" s="45" t="s">
        <v>259</v>
      </c>
      <c r="N71" s="45" t="s">
        <v>264</v>
      </c>
      <c r="O71" s="47" t="n">
        <v>46122.7051157407</v>
      </c>
      <c r="P71" s="47" t="n">
        <v>46122.7121527778</v>
      </c>
    </row>
    <row r="72" customFormat="false" ht="15" hidden="false" customHeight="false" outlineLevel="0" collapsed="false">
      <c r="A72" s="45" t="n">
        <v>276</v>
      </c>
      <c r="B72" s="46" t="n">
        <v>46122</v>
      </c>
      <c r="C72" s="45" t="s">
        <v>145</v>
      </c>
      <c r="D72" s="45" t="s">
        <v>146</v>
      </c>
      <c r="E72" s="45" t="s">
        <v>284</v>
      </c>
      <c r="F72" s="45" t="s">
        <v>419</v>
      </c>
      <c r="G72" s="46"/>
      <c r="H72" s="45" t="s">
        <v>167</v>
      </c>
      <c r="I72" s="45" t="s">
        <v>177</v>
      </c>
      <c r="J72" s="45" t="s">
        <v>420</v>
      </c>
      <c r="K72" s="45" t="n">
        <v>10.6</v>
      </c>
      <c r="L72" s="45" t="s">
        <v>263</v>
      </c>
      <c r="M72" s="45" t="s">
        <v>259</v>
      </c>
      <c r="N72" s="45" t="s">
        <v>167</v>
      </c>
      <c r="O72" s="47" t="n">
        <v>46122.7128240741</v>
      </c>
      <c r="P72" s="47" t="n">
        <v>46122.720162037</v>
      </c>
    </row>
    <row r="73" customFormat="false" ht="15" hidden="false" customHeight="false" outlineLevel="0" collapsed="false">
      <c r="A73" s="45" t="n">
        <v>277</v>
      </c>
      <c r="B73" s="46" t="n">
        <v>46122</v>
      </c>
      <c r="C73" s="45" t="s">
        <v>145</v>
      </c>
      <c r="D73" s="45" t="s">
        <v>146</v>
      </c>
      <c r="E73" s="45" t="s">
        <v>421</v>
      </c>
      <c r="F73" s="45" t="s">
        <v>422</v>
      </c>
      <c r="G73" s="46"/>
      <c r="H73" s="45" t="s">
        <v>168</v>
      </c>
      <c r="I73" s="45" t="s">
        <v>191</v>
      </c>
      <c r="J73" s="45" t="s">
        <v>423</v>
      </c>
      <c r="K73" s="45" t="n">
        <v>44.7</v>
      </c>
      <c r="L73" s="45" t="s">
        <v>263</v>
      </c>
      <c r="M73" s="45" t="s">
        <v>259</v>
      </c>
      <c r="N73" s="45" t="s">
        <v>264</v>
      </c>
      <c r="O73" s="47" t="n">
        <v>46122.7302430556</v>
      </c>
      <c r="P73" s="47" t="n">
        <v>46122.7612731482</v>
      </c>
    </row>
    <row r="74" customFormat="false" ht="15" hidden="false" customHeight="false" outlineLevel="0" collapsed="false">
      <c r="A74" s="45" t="n">
        <v>278</v>
      </c>
      <c r="B74" s="46" t="n">
        <v>46122</v>
      </c>
      <c r="C74" s="45" t="s">
        <v>145</v>
      </c>
      <c r="D74" s="45" t="s">
        <v>146</v>
      </c>
      <c r="E74" s="45" t="s">
        <v>424</v>
      </c>
      <c r="F74" s="45" t="s">
        <v>425</v>
      </c>
      <c r="G74" s="46"/>
      <c r="H74" s="45" t="s">
        <v>168</v>
      </c>
      <c r="I74" s="45" t="s">
        <v>191</v>
      </c>
      <c r="J74" s="45" t="s">
        <v>426</v>
      </c>
      <c r="K74" s="45" t="n">
        <v>9</v>
      </c>
      <c r="L74" s="45" t="s">
        <v>263</v>
      </c>
      <c r="M74" s="45" t="s">
        <v>259</v>
      </c>
      <c r="N74" s="45" t="s">
        <v>264</v>
      </c>
      <c r="O74" s="47" t="n">
        <v>46122.7613194444</v>
      </c>
      <c r="P74" s="47" t="n">
        <v>46122.7675694445</v>
      </c>
    </row>
    <row r="75" customFormat="false" ht="15" hidden="false" customHeight="false" outlineLevel="0" collapsed="false">
      <c r="A75" s="45" t="n">
        <v>279</v>
      </c>
      <c r="B75" s="46" t="n">
        <v>46122</v>
      </c>
      <c r="C75" s="45" t="s">
        <v>145</v>
      </c>
      <c r="D75" s="45" t="s">
        <v>146</v>
      </c>
      <c r="E75" s="45" t="s">
        <v>427</v>
      </c>
      <c r="F75" s="45" t="s">
        <v>428</v>
      </c>
      <c r="G75" s="46"/>
      <c r="H75" s="45" t="s">
        <v>167</v>
      </c>
      <c r="I75" s="45" t="s">
        <v>176</v>
      </c>
      <c r="J75" s="45" t="s">
        <v>429</v>
      </c>
      <c r="K75" s="45" t="n">
        <v>4.8</v>
      </c>
      <c r="L75" s="45" t="s">
        <v>263</v>
      </c>
      <c r="M75" s="45" t="s">
        <v>259</v>
      </c>
      <c r="N75" s="45" t="s">
        <v>167</v>
      </c>
      <c r="O75" s="47" t="n">
        <v>46122.7676041667</v>
      </c>
      <c r="P75" s="47" t="n">
        <v>46122.7709375</v>
      </c>
    </row>
    <row r="76" customFormat="false" ht="15" hidden="false" customHeight="false" outlineLevel="0" collapsed="false">
      <c r="A76" s="45" t="n">
        <v>281</v>
      </c>
      <c r="B76" s="46" t="n">
        <v>46122</v>
      </c>
      <c r="C76" s="45" t="s">
        <v>143</v>
      </c>
      <c r="D76" s="45" t="s">
        <v>144</v>
      </c>
      <c r="E76" s="45" t="s">
        <v>230</v>
      </c>
      <c r="F76" s="45" t="s">
        <v>430</v>
      </c>
      <c r="G76" s="46"/>
      <c r="H76" s="45" t="s">
        <v>167</v>
      </c>
      <c r="I76" s="45" t="s">
        <v>175</v>
      </c>
      <c r="J76" s="45" t="s">
        <v>431</v>
      </c>
      <c r="K76" s="45" t="n">
        <v>14.6</v>
      </c>
      <c r="L76" s="45" t="s">
        <v>263</v>
      </c>
      <c r="M76" s="45" t="s">
        <v>259</v>
      </c>
      <c r="N76" s="45" t="s">
        <v>167</v>
      </c>
      <c r="O76" s="47" t="n">
        <v>46122.9109259259</v>
      </c>
      <c r="P76" s="47" t="n">
        <v>46122.9210300926</v>
      </c>
    </row>
    <row r="77" customFormat="false" ht="15" hidden="false" customHeight="false" outlineLevel="0" collapsed="false">
      <c r="A77" s="45" t="n">
        <v>282</v>
      </c>
      <c r="B77" s="46" t="n">
        <v>46123</v>
      </c>
      <c r="C77" s="45" t="s">
        <v>135</v>
      </c>
      <c r="D77" s="45" t="s">
        <v>136</v>
      </c>
      <c r="E77" s="45" t="s">
        <v>242</v>
      </c>
      <c r="F77" s="45" t="s">
        <v>432</v>
      </c>
      <c r="G77" s="46" t="n">
        <v>46115</v>
      </c>
      <c r="H77" s="45" t="s">
        <v>57</v>
      </c>
      <c r="I77" s="45" t="s">
        <v>200</v>
      </c>
      <c r="J77" s="45" t="s">
        <v>433</v>
      </c>
      <c r="K77" s="45" t="n">
        <v>21.1</v>
      </c>
      <c r="L77" s="45" t="s">
        <v>263</v>
      </c>
      <c r="M77" s="45" t="s">
        <v>259</v>
      </c>
      <c r="N77" s="45" t="s">
        <v>57</v>
      </c>
      <c r="O77" s="47" t="n">
        <v>46123.0012962963</v>
      </c>
      <c r="P77" s="47" t="n">
        <v>46123.0159837963</v>
      </c>
    </row>
    <row r="78" customFormat="false" ht="15" hidden="false" customHeight="false" outlineLevel="0" collapsed="false">
      <c r="A78" s="45" t="n">
        <v>283</v>
      </c>
      <c r="B78" s="46" t="n">
        <v>46123</v>
      </c>
      <c r="C78" s="45" t="s">
        <v>135</v>
      </c>
      <c r="D78" s="45" t="s">
        <v>136</v>
      </c>
      <c r="E78" s="45" t="s">
        <v>226</v>
      </c>
      <c r="F78" s="45" t="s">
        <v>434</v>
      </c>
      <c r="G78" s="46" t="n">
        <v>46121</v>
      </c>
      <c r="H78" s="45" t="s">
        <v>167</v>
      </c>
      <c r="I78" s="45" t="s">
        <v>176</v>
      </c>
      <c r="J78" s="45" t="s">
        <v>435</v>
      </c>
      <c r="K78" s="45" t="n">
        <v>8</v>
      </c>
      <c r="L78" s="45" t="s">
        <v>263</v>
      </c>
      <c r="M78" s="45" t="s">
        <v>259</v>
      </c>
      <c r="N78" s="45" t="s">
        <v>167</v>
      </c>
      <c r="O78" s="47" t="n">
        <v>46123.0160648148</v>
      </c>
      <c r="P78" s="47" t="n">
        <v>46123.0215856481</v>
      </c>
    </row>
    <row r="79" customFormat="false" ht="15" hidden="false" customHeight="false" outlineLevel="0" collapsed="false">
      <c r="A79" s="45" t="n">
        <v>284</v>
      </c>
      <c r="B79" s="46" t="n">
        <v>46123</v>
      </c>
      <c r="C79" s="45" t="s">
        <v>135</v>
      </c>
      <c r="D79" s="45" t="s">
        <v>136</v>
      </c>
      <c r="E79" s="45" t="s">
        <v>236</v>
      </c>
      <c r="F79" s="45" t="s">
        <v>436</v>
      </c>
      <c r="G79" s="46" t="n">
        <v>46122</v>
      </c>
      <c r="H79" s="45" t="s">
        <v>168</v>
      </c>
      <c r="I79" s="45" t="s">
        <v>192</v>
      </c>
      <c r="J79" s="45" t="s">
        <v>437</v>
      </c>
      <c r="K79" s="45" t="n">
        <v>8.9</v>
      </c>
      <c r="L79" s="45" t="s">
        <v>259</v>
      </c>
      <c r="M79" s="45" t="s">
        <v>259</v>
      </c>
      <c r="N79" s="45" t="s">
        <v>264</v>
      </c>
      <c r="O79" s="47" t="n">
        <v>46123.0230902778</v>
      </c>
      <c r="P79" s="47" t="n">
        <v>46123.0292592593</v>
      </c>
    </row>
    <row r="80" customFormat="false" ht="15" hidden="false" customHeight="false" outlineLevel="0" collapsed="false">
      <c r="A80" s="45" t="n">
        <v>285</v>
      </c>
      <c r="B80" s="46" t="n">
        <v>46123</v>
      </c>
      <c r="C80" s="45" t="s">
        <v>135</v>
      </c>
      <c r="D80" s="45" t="s">
        <v>136</v>
      </c>
      <c r="E80" s="45" t="s">
        <v>227</v>
      </c>
      <c r="F80" s="45" t="s">
        <v>438</v>
      </c>
      <c r="G80" s="46" t="n">
        <v>46122</v>
      </c>
      <c r="H80" s="45" t="s">
        <v>57</v>
      </c>
      <c r="I80" s="45" t="s">
        <v>200</v>
      </c>
      <c r="J80" s="45" t="s">
        <v>439</v>
      </c>
      <c r="K80" s="45" t="n">
        <v>4.3</v>
      </c>
      <c r="L80" s="45" t="s">
        <v>263</v>
      </c>
      <c r="M80" s="45" t="s">
        <v>259</v>
      </c>
      <c r="N80" s="45" t="s">
        <v>57</v>
      </c>
      <c r="O80" s="47" t="n">
        <v>46123.0321527778</v>
      </c>
      <c r="P80" s="47" t="n">
        <v>46123.0351736111</v>
      </c>
    </row>
    <row r="81" customFormat="false" ht="15" hidden="false" customHeight="false" outlineLevel="0" collapsed="false">
      <c r="A81" s="45" t="n">
        <v>286</v>
      </c>
      <c r="B81" s="46" t="n">
        <v>46125</v>
      </c>
      <c r="C81" s="45" t="s">
        <v>137</v>
      </c>
      <c r="D81" s="45" t="s">
        <v>138</v>
      </c>
      <c r="E81" s="45" t="s">
        <v>235</v>
      </c>
      <c r="F81" s="45" t="s">
        <v>440</v>
      </c>
      <c r="G81" s="46" t="n">
        <v>46121</v>
      </c>
      <c r="H81" s="45" t="s">
        <v>168</v>
      </c>
      <c r="I81" s="45" t="s">
        <v>195</v>
      </c>
      <c r="J81" s="45" t="s">
        <v>441</v>
      </c>
      <c r="K81" s="45" t="n">
        <v>7.2</v>
      </c>
      <c r="L81" s="45" t="s">
        <v>263</v>
      </c>
      <c r="M81" s="45" t="s">
        <v>259</v>
      </c>
      <c r="N81" s="45" t="s">
        <v>264</v>
      </c>
      <c r="O81" s="47" t="n">
        <v>46125.7604976852</v>
      </c>
      <c r="P81" s="47" t="n">
        <v>46125.7654861111</v>
      </c>
    </row>
    <row r="82" customFormat="false" ht="15" hidden="false" customHeight="false" outlineLevel="0" collapsed="false">
      <c r="A82" s="45" t="n">
        <v>287</v>
      </c>
      <c r="B82" s="46" t="n">
        <v>46125</v>
      </c>
      <c r="C82" s="45" t="s">
        <v>137</v>
      </c>
      <c r="D82" s="45" t="s">
        <v>138</v>
      </c>
      <c r="E82" s="45" t="s">
        <v>442</v>
      </c>
      <c r="F82" s="45" t="s">
        <v>316</v>
      </c>
      <c r="G82" s="46" t="n">
        <v>46121</v>
      </c>
      <c r="H82" s="45" t="s">
        <v>167</v>
      </c>
      <c r="I82" s="45" t="s">
        <v>176</v>
      </c>
      <c r="J82" s="45" t="s">
        <v>443</v>
      </c>
      <c r="K82" s="45" t="n">
        <v>0.7</v>
      </c>
      <c r="L82" s="45" t="s">
        <v>263</v>
      </c>
      <c r="M82" s="45" t="s">
        <v>263</v>
      </c>
      <c r="N82" s="45" t="s">
        <v>167</v>
      </c>
      <c r="O82" s="47" t="n">
        <v>46125.7655092593</v>
      </c>
      <c r="P82" s="47" t="n">
        <v>46125.7660185185</v>
      </c>
    </row>
    <row r="83" customFormat="false" ht="15" hidden="false" customHeight="false" outlineLevel="0" collapsed="false">
      <c r="A83" s="45" t="n">
        <v>288</v>
      </c>
      <c r="B83" s="46" t="n">
        <v>46125</v>
      </c>
      <c r="C83" s="45" t="s">
        <v>137</v>
      </c>
      <c r="D83" s="45" t="s">
        <v>138</v>
      </c>
      <c r="E83" s="45" t="s">
        <v>316</v>
      </c>
      <c r="F83" s="45" t="s">
        <v>444</v>
      </c>
      <c r="G83" s="46" t="n">
        <v>46122</v>
      </c>
      <c r="H83" s="45" t="s">
        <v>167</v>
      </c>
      <c r="I83" s="45" t="s">
        <v>176</v>
      </c>
      <c r="J83" s="45" t="s">
        <v>445</v>
      </c>
      <c r="K83" s="45" t="n">
        <v>0.3</v>
      </c>
      <c r="L83" s="45" t="s">
        <v>263</v>
      </c>
      <c r="M83" s="45" t="s">
        <v>259</v>
      </c>
      <c r="N83" s="45" t="s">
        <v>167</v>
      </c>
      <c r="O83" s="47" t="n">
        <v>46125.7661111111</v>
      </c>
      <c r="P83" s="47" t="n">
        <v>46125.7663541667</v>
      </c>
    </row>
    <row r="84" customFormat="false" ht="15" hidden="false" customHeight="false" outlineLevel="0" collapsed="false">
      <c r="A84" s="45" t="n">
        <v>289</v>
      </c>
      <c r="B84" s="46" t="n">
        <v>46125</v>
      </c>
      <c r="C84" s="45" t="s">
        <v>137</v>
      </c>
      <c r="D84" s="45" t="s">
        <v>138</v>
      </c>
      <c r="E84" s="45" t="s">
        <v>446</v>
      </c>
      <c r="F84" s="45" t="s">
        <v>447</v>
      </c>
      <c r="G84" s="46" t="n">
        <v>46122</v>
      </c>
      <c r="H84" s="45" t="s">
        <v>167</v>
      </c>
      <c r="I84" s="45" t="s">
        <v>175</v>
      </c>
      <c r="J84" s="45" t="s">
        <v>448</v>
      </c>
      <c r="K84" s="45" t="n">
        <v>3.3</v>
      </c>
      <c r="L84" s="45" t="s">
        <v>263</v>
      </c>
      <c r="M84" s="45" t="s">
        <v>259</v>
      </c>
      <c r="N84" s="45" t="s">
        <v>167</v>
      </c>
      <c r="O84" s="47" t="n">
        <v>46125.7675</v>
      </c>
      <c r="P84" s="47" t="n">
        <v>46125.7698148148</v>
      </c>
    </row>
    <row r="85" customFormat="false" ht="15" hidden="false" customHeight="false" outlineLevel="0" collapsed="false">
      <c r="A85" s="45" t="n">
        <v>290</v>
      </c>
      <c r="B85" s="46" t="n">
        <v>46125</v>
      </c>
      <c r="C85" s="45" t="s">
        <v>137</v>
      </c>
      <c r="D85" s="45" t="s">
        <v>138</v>
      </c>
      <c r="E85" s="45" t="s">
        <v>449</v>
      </c>
      <c r="F85" s="45" t="s">
        <v>450</v>
      </c>
      <c r="G85" s="46" t="n">
        <v>46121</v>
      </c>
      <c r="H85" s="45" t="s">
        <v>168</v>
      </c>
      <c r="I85" s="45" t="s">
        <v>191</v>
      </c>
      <c r="J85" s="45" t="s">
        <v>451</v>
      </c>
      <c r="K85" s="45" t="n">
        <v>9.6</v>
      </c>
      <c r="L85" s="45" t="s">
        <v>263</v>
      </c>
      <c r="M85" s="45" t="s">
        <v>259</v>
      </c>
      <c r="N85" s="45" t="s">
        <v>264</v>
      </c>
      <c r="O85" s="47" t="n">
        <v>46125.7698726852</v>
      </c>
      <c r="P85" s="47" t="n">
        <v>46125.7765393519</v>
      </c>
    </row>
    <row r="86" customFormat="false" ht="15" hidden="false" customHeight="false" outlineLevel="0" collapsed="false">
      <c r="A86" s="45" t="n">
        <v>291</v>
      </c>
      <c r="B86" s="46" t="n">
        <v>46125</v>
      </c>
      <c r="C86" s="45" t="s">
        <v>137</v>
      </c>
      <c r="D86" s="45" t="s">
        <v>138</v>
      </c>
      <c r="E86" s="45" t="s">
        <v>235</v>
      </c>
      <c r="F86" s="45" t="s">
        <v>452</v>
      </c>
      <c r="G86" s="46" t="n">
        <v>46122</v>
      </c>
      <c r="H86" s="45" t="s">
        <v>167</v>
      </c>
      <c r="I86" s="45" t="s">
        <v>182</v>
      </c>
      <c r="J86" s="45" t="s">
        <v>445</v>
      </c>
      <c r="K86" s="45" t="n">
        <v>3</v>
      </c>
      <c r="L86" s="45" t="s">
        <v>263</v>
      </c>
      <c r="M86" s="45" t="s">
        <v>259</v>
      </c>
      <c r="N86" s="45" t="s">
        <v>167</v>
      </c>
      <c r="O86" s="47" t="n">
        <v>46125.776712963</v>
      </c>
      <c r="P86" s="47" t="n">
        <v>46125.7788078704</v>
      </c>
    </row>
    <row r="87" customFormat="false" ht="15" hidden="false" customHeight="false" outlineLevel="0" collapsed="false">
      <c r="A87" s="45" t="n">
        <v>292</v>
      </c>
      <c r="B87" s="46" t="n">
        <v>46125</v>
      </c>
      <c r="C87" s="45" t="s">
        <v>137</v>
      </c>
      <c r="D87" s="45" t="s">
        <v>138</v>
      </c>
      <c r="E87" s="45" t="s">
        <v>453</v>
      </c>
      <c r="F87" s="45" t="s">
        <v>454</v>
      </c>
      <c r="G87" s="46" t="n">
        <v>46121</v>
      </c>
      <c r="H87" s="45" t="s">
        <v>169</v>
      </c>
      <c r="I87" s="45"/>
      <c r="J87" s="45"/>
      <c r="K87" s="45" t="n">
        <v>1.1</v>
      </c>
      <c r="L87" s="45" t="s">
        <v>263</v>
      </c>
      <c r="M87" s="45" t="s">
        <v>259</v>
      </c>
      <c r="N87" s="45" t="s">
        <v>169</v>
      </c>
      <c r="O87" s="47" t="n">
        <v>46125.7788194444</v>
      </c>
      <c r="P87" s="47" t="n">
        <v>46125.7796064815</v>
      </c>
    </row>
    <row r="88" customFormat="false" ht="15" hidden="false" customHeight="false" outlineLevel="0" collapsed="false">
      <c r="A88" s="45" t="n">
        <v>293</v>
      </c>
      <c r="B88" s="46" t="n">
        <v>46125</v>
      </c>
      <c r="C88" s="45" t="s">
        <v>137</v>
      </c>
      <c r="D88" s="45" t="s">
        <v>138</v>
      </c>
      <c r="E88" s="45" t="s">
        <v>453</v>
      </c>
      <c r="F88" s="45" t="s">
        <v>455</v>
      </c>
      <c r="G88" s="46" t="n">
        <v>46121</v>
      </c>
      <c r="H88" s="45" t="s">
        <v>57</v>
      </c>
      <c r="I88" s="45" t="s">
        <v>200</v>
      </c>
      <c r="J88" s="45" t="s">
        <v>456</v>
      </c>
      <c r="K88" s="45" t="n">
        <v>6.2</v>
      </c>
      <c r="L88" s="45" t="s">
        <v>263</v>
      </c>
      <c r="M88" s="45" t="s">
        <v>259</v>
      </c>
      <c r="N88" s="45" t="s">
        <v>57</v>
      </c>
      <c r="O88" s="47" t="n">
        <v>46125.7796296296</v>
      </c>
      <c r="P88" s="47" t="n">
        <v>46125.7839699074</v>
      </c>
    </row>
    <row r="89" customFormat="false" ht="15" hidden="false" customHeight="false" outlineLevel="0" collapsed="false">
      <c r="A89" s="45" t="n">
        <v>294</v>
      </c>
      <c r="B89" s="46" t="n">
        <v>46125</v>
      </c>
      <c r="C89" s="45" t="s">
        <v>145</v>
      </c>
      <c r="D89" s="45" t="s">
        <v>146</v>
      </c>
      <c r="E89" s="45" t="s">
        <v>256</v>
      </c>
      <c r="F89" s="45" t="s">
        <v>457</v>
      </c>
      <c r="G89" s="46" t="n">
        <v>46122</v>
      </c>
      <c r="H89" s="45" t="s">
        <v>167</v>
      </c>
      <c r="I89" s="45" t="s">
        <v>175</v>
      </c>
      <c r="J89" s="45" t="s">
        <v>458</v>
      </c>
      <c r="K89" s="45" t="n">
        <v>0.3</v>
      </c>
      <c r="L89" s="45" t="s">
        <v>263</v>
      </c>
      <c r="M89" s="45" t="s">
        <v>259</v>
      </c>
      <c r="N89" s="45" t="s">
        <v>167</v>
      </c>
      <c r="O89" s="47" t="n">
        <v>46125.8507407407</v>
      </c>
      <c r="P89" s="47" t="n">
        <v>46125.8509722222</v>
      </c>
    </row>
    <row r="90" customFormat="false" ht="15" hidden="false" customHeight="false" outlineLevel="0" collapsed="false">
      <c r="A90" s="45" t="n">
        <v>295</v>
      </c>
      <c r="B90" s="46" t="n">
        <v>46125</v>
      </c>
      <c r="C90" s="45" t="s">
        <v>145</v>
      </c>
      <c r="D90" s="45" t="s">
        <v>146</v>
      </c>
      <c r="E90" s="45" t="s">
        <v>427</v>
      </c>
      <c r="F90" s="45" t="s">
        <v>459</v>
      </c>
      <c r="G90" s="46" t="n">
        <v>46122</v>
      </c>
      <c r="H90" s="45" t="s">
        <v>167</v>
      </c>
      <c r="I90" s="45" t="s">
        <v>176</v>
      </c>
      <c r="J90" s="45" t="s">
        <v>460</v>
      </c>
      <c r="K90" s="45" t="n">
        <v>32.1</v>
      </c>
      <c r="L90" s="45" t="s">
        <v>263</v>
      </c>
      <c r="M90" s="45" t="s">
        <v>259</v>
      </c>
      <c r="N90" s="45" t="s">
        <v>167</v>
      </c>
      <c r="O90" s="47" t="n">
        <v>46125.8510185185</v>
      </c>
      <c r="P90" s="47" t="n">
        <v>46125.8733333333</v>
      </c>
    </row>
    <row r="91" customFormat="false" ht="15" hidden="false" customHeight="false" outlineLevel="0" collapsed="false">
      <c r="A91" s="45" t="n">
        <v>296</v>
      </c>
      <c r="B91" s="46" t="n">
        <v>46125</v>
      </c>
      <c r="C91" s="45" t="s">
        <v>145</v>
      </c>
      <c r="D91" s="45" t="s">
        <v>146</v>
      </c>
      <c r="E91" s="45" t="s">
        <v>427</v>
      </c>
      <c r="F91" s="45" t="s">
        <v>461</v>
      </c>
      <c r="G91" s="46" t="n">
        <v>46125</v>
      </c>
      <c r="H91" s="45" t="s">
        <v>168</v>
      </c>
      <c r="I91" s="45" t="s">
        <v>191</v>
      </c>
      <c r="J91" s="45" t="s">
        <v>462</v>
      </c>
      <c r="K91" s="45" t="n">
        <v>3.9</v>
      </c>
      <c r="L91" s="45" t="s">
        <v>263</v>
      </c>
      <c r="M91" s="45" t="s">
        <v>259</v>
      </c>
      <c r="N91" s="45" t="s">
        <v>264</v>
      </c>
      <c r="O91" s="47" t="n">
        <v>46125.8755671296</v>
      </c>
      <c r="P91" s="47" t="n">
        <v>46125.8782638889</v>
      </c>
    </row>
    <row r="92" customFormat="false" ht="15" hidden="false" customHeight="false" outlineLevel="0" collapsed="false">
      <c r="A92" s="45" t="n">
        <v>309</v>
      </c>
      <c r="B92" s="46" t="n">
        <v>46125</v>
      </c>
      <c r="C92" s="45" t="s">
        <v>145</v>
      </c>
      <c r="D92" s="45" t="s">
        <v>146</v>
      </c>
      <c r="E92" s="45" t="s">
        <v>463</v>
      </c>
      <c r="F92" s="45" t="s">
        <v>464</v>
      </c>
      <c r="G92" s="46" t="n">
        <v>46125</v>
      </c>
      <c r="H92" s="45" t="s">
        <v>57</v>
      </c>
      <c r="I92" s="45" t="s">
        <v>200</v>
      </c>
      <c r="J92" s="45" t="s">
        <v>465</v>
      </c>
      <c r="K92" s="45" t="n">
        <v>998.1</v>
      </c>
      <c r="L92" s="45" t="s">
        <v>263</v>
      </c>
      <c r="M92" s="45" t="s">
        <v>263</v>
      </c>
      <c r="N92" s="45" t="s">
        <v>57</v>
      </c>
      <c r="O92" s="47" t="n">
        <v>46125.8785416667</v>
      </c>
      <c r="P92" s="47" t="n">
        <v>46126.5716666667</v>
      </c>
    </row>
    <row r="93" customFormat="false" ht="15" hidden="false" customHeight="false" outlineLevel="0" collapsed="false">
      <c r="A93" s="45" t="n">
        <v>297</v>
      </c>
      <c r="B93" s="46" t="n">
        <v>46125</v>
      </c>
      <c r="C93" s="45" t="s">
        <v>133</v>
      </c>
      <c r="D93" s="45" t="s">
        <v>134</v>
      </c>
      <c r="E93" s="45" t="s">
        <v>466</v>
      </c>
      <c r="F93" s="45" t="s">
        <v>467</v>
      </c>
      <c r="G93" s="46" t="n">
        <v>46122</v>
      </c>
      <c r="H93" s="45" t="s">
        <v>167</v>
      </c>
      <c r="I93" s="45" t="s">
        <v>182</v>
      </c>
      <c r="J93" s="45" t="s">
        <v>468</v>
      </c>
      <c r="K93" s="45" t="n">
        <v>34.1</v>
      </c>
      <c r="L93" s="45" t="s">
        <v>263</v>
      </c>
      <c r="M93" s="45" t="s">
        <v>259</v>
      </c>
      <c r="N93" s="45" t="s">
        <v>167</v>
      </c>
      <c r="O93" s="47" t="n">
        <v>46125.9311689815</v>
      </c>
      <c r="P93" s="47" t="n">
        <v>46125.954837963</v>
      </c>
    </row>
    <row r="94" customFormat="false" ht="15" hidden="false" customHeight="false" outlineLevel="0" collapsed="false">
      <c r="A94" s="45" t="n">
        <v>299</v>
      </c>
      <c r="B94" s="46" t="n">
        <v>46125</v>
      </c>
      <c r="C94" s="45" t="s">
        <v>135</v>
      </c>
      <c r="D94" s="45" t="s">
        <v>136</v>
      </c>
      <c r="E94" s="45" t="s">
        <v>236</v>
      </c>
      <c r="F94" s="45" t="s">
        <v>469</v>
      </c>
      <c r="G94" s="46" t="n">
        <v>46125</v>
      </c>
      <c r="H94" s="45" t="s">
        <v>167</v>
      </c>
      <c r="I94" s="45" t="s">
        <v>175</v>
      </c>
      <c r="J94" s="45" t="s">
        <v>470</v>
      </c>
      <c r="K94" s="45" t="n">
        <v>29</v>
      </c>
      <c r="L94" s="45" t="s">
        <v>259</v>
      </c>
      <c r="M94" s="45" t="s">
        <v>259</v>
      </c>
      <c r="N94" s="45" t="s">
        <v>167</v>
      </c>
      <c r="O94" s="47" t="n">
        <v>46125.9470833333</v>
      </c>
      <c r="P94" s="47" t="n">
        <v>46125.9671990741</v>
      </c>
    </row>
    <row r="95" customFormat="false" ht="15" hidden="false" customHeight="false" outlineLevel="0" collapsed="false">
      <c r="A95" s="45" t="n">
        <v>298</v>
      </c>
      <c r="B95" s="46" t="n">
        <v>46125</v>
      </c>
      <c r="C95" s="45" t="s">
        <v>133</v>
      </c>
      <c r="D95" s="45" t="s">
        <v>134</v>
      </c>
      <c r="E95" s="45" t="s">
        <v>219</v>
      </c>
      <c r="F95" s="45" t="s">
        <v>471</v>
      </c>
      <c r="G95" s="46" t="n">
        <v>46122</v>
      </c>
      <c r="H95" s="45" t="s">
        <v>168</v>
      </c>
      <c r="I95" s="45" t="s">
        <v>193</v>
      </c>
      <c r="J95" s="45" t="s">
        <v>472</v>
      </c>
      <c r="K95" s="45" t="n">
        <v>6.2</v>
      </c>
      <c r="L95" s="45" t="s">
        <v>263</v>
      </c>
      <c r="M95" s="45" t="s">
        <v>259</v>
      </c>
      <c r="N95" s="45" t="s">
        <v>264</v>
      </c>
      <c r="O95" s="47" t="n">
        <v>46125.9550462963</v>
      </c>
      <c r="P95" s="47" t="n">
        <v>46125.9593171296</v>
      </c>
    </row>
    <row r="96" customFormat="false" ht="15" hidden="false" customHeight="false" outlineLevel="0" collapsed="false">
      <c r="A96" s="45" t="n">
        <v>306</v>
      </c>
      <c r="B96" s="46" t="n">
        <v>46125</v>
      </c>
      <c r="C96" s="45" t="s">
        <v>133</v>
      </c>
      <c r="D96" s="45" t="s">
        <v>134</v>
      </c>
      <c r="E96" s="45" t="s">
        <v>333</v>
      </c>
      <c r="F96" s="45" t="s">
        <v>473</v>
      </c>
      <c r="G96" s="46" t="n">
        <v>46122</v>
      </c>
      <c r="H96" s="45" t="s">
        <v>168</v>
      </c>
      <c r="I96" s="45" t="s">
        <v>192</v>
      </c>
      <c r="J96" s="45" t="s">
        <v>474</v>
      </c>
      <c r="K96" s="45" t="n">
        <v>45.4</v>
      </c>
      <c r="L96" s="45" t="s">
        <v>263</v>
      </c>
      <c r="M96" s="45" t="s">
        <v>259</v>
      </c>
      <c r="N96" s="45" t="s">
        <v>264</v>
      </c>
      <c r="O96" s="47" t="n">
        <v>46125.9618981482</v>
      </c>
      <c r="P96" s="47" t="n">
        <v>46125.9934027778</v>
      </c>
    </row>
    <row r="97" customFormat="false" ht="15" hidden="false" customHeight="false" outlineLevel="0" collapsed="false">
      <c r="A97" s="45" t="n">
        <v>300</v>
      </c>
      <c r="B97" s="46" t="n">
        <v>46125</v>
      </c>
      <c r="C97" s="45" t="s">
        <v>135</v>
      </c>
      <c r="D97" s="45" t="s">
        <v>136</v>
      </c>
      <c r="E97" s="45" t="s">
        <v>475</v>
      </c>
      <c r="F97" s="45" t="s">
        <v>476</v>
      </c>
      <c r="G97" s="46" t="n">
        <v>46125</v>
      </c>
      <c r="H97" s="45" t="s">
        <v>170</v>
      </c>
      <c r="I97" s="45" t="s">
        <v>206</v>
      </c>
      <c r="J97" s="45" t="s">
        <v>477</v>
      </c>
      <c r="K97" s="45" t="n">
        <v>12</v>
      </c>
      <c r="L97" s="45" t="s">
        <v>263</v>
      </c>
      <c r="M97" s="45" t="s">
        <v>259</v>
      </c>
      <c r="N97" s="45" t="s">
        <v>478</v>
      </c>
      <c r="O97" s="47" t="n">
        <v>46125.9672685185</v>
      </c>
      <c r="P97" s="47" t="n">
        <v>46125.9756018519</v>
      </c>
    </row>
    <row r="98" customFormat="false" ht="15" hidden="false" customHeight="false" outlineLevel="0" collapsed="false">
      <c r="A98" s="45" t="n">
        <v>301</v>
      </c>
      <c r="B98" s="46" t="n">
        <v>46125</v>
      </c>
      <c r="C98" s="45" t="s">
        <v>143</v>
      </c>
      <c r="D98" s="45" t="s">
        <v>144</v>
      </c>
      <c r="E98" s="45" t="s">
        <v>385</v>
      </c>
      <c r="F98" s="45" t="s">
        <v>479</v>
      </c>
      <c r="G98" s="46" t="n">
        <v>46121</v>
      </c>
      <c r="H98" s="45" t="s">
        <v>167</v>
      </c>
      <c r="I98" s="45" t="s">
        <v>175</v>
      </c>
      <c r="J98" s="45" t="s">
        <v>480</v>
      </c>
      <c r="K98" s="45" t="n">
        <v>2.7</v>
      </c>
      <c r="L98" s="45" t="s">
        <v>263</v>
      </c>
      <c r="M98" s="45" t="s">
        <v>259</v>
      </c>
      <c r="N98" s="45" t="s">
        <v>167</v>
      </c>
      <c r="O98" s="47" t="n">
        <v>46125.9803703704</v>
      </c>
      <c r="P98" s="47" t="n">
        <v>46125.9822569444</v>
      </c>
    </row>
    <row r="99" customFormat="false" ht="15" hidden="false" customHeight="false" outlineLevel="0" collapsed="false">
      <c r="A99" s="45" t="n">
        <v>302</v>
      </c>
      <c r="B99" s="46" t="n">
        <v>46125</v>
      </c>
      <c r="C99" s="45" t="s">
        <v>143</v>
      </c>
      <c r="D99" s="45" t="s">
        <v>144</v>
      </c>
      <c r="E99" s="45" t="s">
        <v>338</v>
      </c>
      <c r="F99" s="45" t="s">
        <v>481</v>
      </c>
      <c r="G99" s="46" t="n">
        <v>46122</v>
      </c>
      <c r="H99" s="45" t="s">
        <v>167</v>
      </c>
      <c r="I99" s="45" t="s">
        <v>175</v>
      </c>
      <c r="J99" s="45" t="s">
        <v>482</v>
      </c>
      <c r="K99" s="45" t="n">
        <v>4.6</v>
      </c>
      <c r="L99" s="45" t="s">
        <v>263</v>
      </c>
      <c r="M99" s="45" t="s">
        <v>259</v>
      </c>
      <c r="N99" s="45" t="s">
        <v>167</v>
      </c>
      <c r="O99" s="47" t="n">
        <v>46125.9822916667</v>
      </c>
      <c r="P99" s="47" t="n">
        <v>46125.9854976852</v>
      </c>
    </row>
    <row r="100" customFormat="false" ht="15" hidden="false" customHeight="false" outlineLevel="0" collapsed="false">
      <c r="A100" s="45" t="n">
        <v>303</v>
      </c>
      <c r="B100" s="46" t="n">
        <v>46125</v>
      </c>
      <c r="C100" s="45" t="s">
        <v>143</v>
      </c>
      <c r="D100" s="45" t="s">
        <v>144</v>
      </c>
      <c r="E100" s="45" t="s">
        <v>372</v>
      </c>
      <c r="F100" s="45" t="s">
        <v>483</v>
      </c>
      <c r="G100" s="46" t="n">
        <v>46122</v>
      </c>
      <c r="H100" s="45" t="s">
        <v>168</v>
      </c>
      <c r="I100" s="45" t="s">
        <v>195</v>
      </c>
      <c r="J100" s="45" t="s">
        <v>484</v>
      </c>
      <c r="K100" s="45" t="n">
        <v>3.8</v>
      </c>
      <c r="L100" s="45" t="s">
        <v>263</v>
      </c>
      <c r="M100" s="45" t="s">
        <v>259</v>
      </c>
      <c r="N100" s="45" t="s">
        <v>264</v>
      </c>
      <c r="O100" s="47" t="n">
        <v>46125.985775463</v>
      </c>
      <c r="P100" s="47" t="n">
        <v>46125.9884259259</v>
      </c>
    </row>
    <row r="101" customFormat="false" ht="15" hidden="false" customHeight="false" outlineLevel="0" collapsed="false">
      <c r="A101" s="45" t="n">
        <v>305</v>
      </c>
      <c r="B101" s="46" t="n">
        <v>46125</v>
      </c>
      <c r="C101" s="45" t="s">
        <v>135</v>
      </c>
      <c r="D101" s="45" t="s">
        <v>136</v>
      </c>
      <c r="E101" s="45" t="s">
        <v>226</v>
      </c>
      <c r="F101" s="45" t="s">
        <v>485</v>
      </c>
      <c r="G101" s="46" t="n">
        <v>46122</v>
      </c>
      <c r="H101" s="45" t="s">
        <v>167</v>
      </c>
      <c r="I101" s="45" t="s">
        <v>176</v>
      </c>
      <c r="J101" s="45" t="s">
        <v>486</v>
      </c>
      <c r="K101" s="45" t="n">
        <v>4.9</v>
      </c>
      <c r="L101" s="45" t="s">
        <v>263</v>
      </c>
      <c r="M101" s="45" t="s">
        <v>259</v>
      </c>
      <c r="N101" s="45" t="s">
        <v>167</v>
      </c>
      <c r="O101" s="47" t="n">
        <v>46125.9888078704</v>
      </c>
      <c r="P101" s="47" t="n">
        <v>46125.9921990741</v>
      </c>
    </row>
    <row r="102" customFormat="false" ht="15" hidden="false" customHeight="false" outlineLevel="0" collapsed="false">
      <c r="A102" s="45" t="n">
        <v>304</v>
      </c>
      <c r="B102" s="46" t="n">
        <v>46125</v>
      </c>
      <c r="C102" s="45" t="s">
        <v>143</v>
      </c>
      <c r="D102" s="45" t="s">
        <v>144</v>
      </c>
      <c r="E102" s="45" t="s">
        <v>487</v>
      </c>
      <c r="F102" s="45" t="s">
        <v>488</v>
      </c>
      <c r="G102" s="46" t="n">
        <v>46122</v>
      </c>
      <c r="H102" s="45" t="s">
        <v>167</v>
      </c>
      <c r="I102" s="45" t="s">
        <v>175</v>
      </c>
      <c r="J102" s="45" t="s">
        <v>489</v>
      </c>
      <c r="K102" s="45" t="n">
        <v>2.4</v>
      </c>
      <c r="L102" s="45" t="s">
        <v>263</v>
      </c>
      <c r="M102" s="45" t="s">
        <v>259</v>
      </c>
      <c r="N102" s="45" t="s">
        <v>167</v>
      </c>
      <c r="O102" s="47" t="n">
        <v>46125.9890277778</v>
      </c>
      <c r="P102" s="47" t="n">
        <v>46125.9906597222</v>
      </c>
    </row>
    <row r="103" customFormat="false" ht="15" hidden="false" customHeight="false" outlineLevel="0" collapsed="false">
      <c r="A103" s="45" t="n">
        <v>308</v>
      </c>
      <c r="B103" s="46" t="n">
        <v>46125</v>
      </c>
      <c r="C103" s="45" t="s">
        <v>133</v>
      </c>
      <c r="D103" s="45" t="s">
        <v>134</v>
      </c>
      <c r="E103" s="45" t="s">
        <v>405</v>
      </c>
      <c r="F103" s="45" t="s">
        <v>490</v>
      </c>
      <c r="G103" s="46" t="n">
        <v>46122</v>
      </c>
      <c r="H103" s="45" t="s">
        <v>167</v>
      </c>
      <c r="I103" s="45" t="s">
        <v>175</v>
      </c>
      <c r="J103" s="45" t="s">
        <v>491</v>
      </c>
      <c r="K103" s="45" t="n">
        <v>12.4</v>
      </c>
      <c r="L103" s="45" t="s">
        <v>263</v>
      </c>
      <c r="M103" s="45" t="s">
        <v>259</v>
      </c>
      <c r="N103" s="45" t="s">
        <v>167</v>
      </c>
      <c r="O103" s="47" t="n">
        <v>46125.9934490741</v>
      </c>
      <c r="P103" s="47" t="n">
        <v>46126.0020833333</v>
      </c>
    </row>
    <row r="104" customFormat="false" ht="15" hidden="false" customHeight="false" outlineLevel="0" collapsed="false">
      <c r="A104" s="45" t="n">
        <v>307</v>
      </c>
      <c r="B104" s="46" t="n">
        <v>46125</v>
      </c>
      <c r="C104" s="45" t="s">
        <v>135</v>
      </c>
      <c r="D104" s="45" t="s">
        <v>136</v>
      </c>
      <c r="E104" s="45" t="s">
        <v>492</v>
      </c>
      <c r="F104" s="45" t="s">
        <v>493</v>
      </c>
      <c r="G104" s="46" t="n">
        <v>46122</v>
      </c>
      <c r="H104" s="45" t="s">
        <v>57</v>
      </c>
      <c r="I104" s="45" t="s">
        <v>200</v>
      </c>
      <c r="J104" s="45" t="s">
        <v>494</v>
      </c>
      <c r="K104" s="45" t="n">
        <v>2.1</v>
      </c>
      <c r="L104" s="45" t="s">
        <v>263</v>
      </c>
      <c r="M104" s="45" t="s">
        <v>259</v>
      </c>
      <c r="N104" s="45" t="s">
        <v>57</v>
      </c>
      <c r="O104" s="47" t="n">
        <v>46125.9935416667</v>
      </c>
      <c r="P104" s="47" t="n">
        <v>46125.9950115741</v>
      </c>
    </row>
    <row r="105" customFormat="false" ht="15" hidden="false" customHeight="false" outlineLevel="0" collapsed="false">
      <c r="A105" s="45" t="n">
        <v>310</v>
      </c>
      <c r="B105" s="46" t="n">
        <v>46126</v>
      </c>
      <c r="C105" s="45" t="s">
        <v>145</v>
      </c>
      <c r="D105" s="45" t="s">
        <v>146</v>
      </c>
      <c r="E105" s="45" t="s">
        <v>415</v>
      </c>
      <c r="F105" s="45" t="s">
        <v>495</v>
      </c>
      <c r="G105" s="46" t="n">
        <v>46125</v>
      </c>
      <c r="H105" s="45" t="s">
        <v>169</v>
      </c>
      <c r="I105" s="45"/>
      <c r="J105" s="45"/>
      <c r="K105" s="45" t="n">
        <v>4.5</v>
      </c>
      <c r="L105" s="45" t="s">
        <v>263</v>
      </c>
      <c r="M105" s="45" t="s">
        <v>259</v>
      </c>
      <c r="N105" s="45" t="s">
        <v>169</v>
      </c>
      <c r="O105" s="47" t="n">
        <v>46126.571712963</v>
      </c>
      <c r="P105" s="47" t="n">
        <v>46126.5748148148</v>
      </c>
    </row>
    <row r="106" customFormat="false" ht="15" hidden="false" customHeight="false" outlineLevel="0" collapsed="false">
      <c r="A106" s="45" t="n">
        <v>324</v>
      </c>
      <c r="B106" s="46" t="n">
        <v>46126</v>
      </c>
      <c r="C106" s="45" t="s">
        <v>137</v>
      </c>
      <c r="D106" s="45" t="s">
        <v>138</v>
      </c>
      <c r="E106" s="45" t="s">
        <v>496</v>
      </c>
      <c r="F106" s="45" t="s">
        <v>497</v>
      </c>
      <c r="G106" s="46" t="n">
        <v>46125</v>
      </c>
      <c r="H106" s="45" t="s">
        <v>167</v>
      </c>
      <c r="I106" s="45" t="s">
        <v>176</v>
      </c>
      <c r="J106" s="45" t="s">
        <v>498</v>
      </c>
      <c r="K106" s="45" t="n">
        <v>341.8</v>
      </c>
      <c r="L106" s="45" t="s">
        <v>263</v>
      </c>
      <c r="M106" s="45" t="s">
        <v>259</v>
      </c>
      <c r="N106" s="45" t="s">
        <v>167</v>
      </c>
      <c r="O106" s="47" t="n">
        <v>46126.5791782407</v>
      </c>
      <c r="P106" s="47" t="n">
        <v>46126.8165277778</v>
      </c>
    </row>
    <row r="107" customFormat="false" ht="15" hidden="false" customHeight="false" outlineLevel="0" collapsed="false">
      <c r="A107" s="45" t="n">
        <v>311</v>
      </c>
      <c r="B107" s="46" t="n">
        <v>46126</v>
      </c>
      <c r="C107" s="45" t="s">
        <v>145</v>
      </c>
      <c r="D107" s="45" t="s">
        <v>146</v>
      </c>
      <c r="E107" s="45" t="s">
        <v>427</v>
      </c>
      <c r="F107" s="45" t="s">
        <v>499</v>
      </c>
      <c r="G107" s="46" t="n">
        <v>46125</v>
      </c>
      <c r="H107" s="45" t="s">
        <v>57</v>
      </c>
      <c r="I107" s="45" t="s">
        <v>201</v>
      </c>
      <c r="J107" s="45" t="s">
        <v>500</v>
      </c>
      <c r="K107" s="45" t="n">
        <v>5</v>
      </c>
      <c r="L107" s="45" t="s">
        <v>263</v>
      </c>
      <c r="M107" s="45" t="s">
        <v>259</v>
      </c>
      <c r="N107" s="45" t="s">
        <v>57</v>
      </c>
      <c r="O107" s="47" t="n">
        <v>46126.5980671296</v>
      </c>
      <c r="P107" s="47" t="n">
        <v>46126.6015625</v>
      </c>
    </row>
    <row r="108" customFormat="false" ht="15" hidden="false" customHeight="false" outlineLevel="0" collapsed="false">
      <c r="A108" s="45" t="n">
        <v>312</v>
      </c>
      <c r="B108" s="46" t="n">
        <v>46126</v>
      </c>
      <c r="C108" s="45" t="s">
        <v>135</v>
      </c>
      <c r="D108" s="45" t="s">
        <v>136</v>
      </c>
      <c r="E108" s="45" t="s">
        <v>236</v>
      </c>
      <c r="F108" s="45" t="s">
        <v>436</v>
      </c>
      <c r="G108" s="46" t="n">
        <v>46122</v>
      </c>
      <c r="H108" s="45" t="s">
        <v>167</v>
      </c>
      <c r="I108" s="45" t="s">
        <v>177</v>
      </c>
      <c r="J108" s="45" t="s">
        <v>501</v>
      </c>
      <c r="K108" s="45" t="n">
        <v>110.2</v>
      </c>
      <c r="L108" s="45" t="s">
        <v>259</v>
      </c>
      <c r="M108" s="45" t="s">
        <v>259</v>
      </c>
      <c r="N108" s="45" t="s">
        <v>167</v>
      </c>
      <c r="O108" s="47" t="n">
        <v>46126.6175347222</v>
      </c>
      <c r="P108" s="47" t="n">
        <v>46126.6940509259</v>
      </c>
    </row>
    <row r="109" customFormat="false" ht="15" hidden="false" customHeight="false" outlineLevel="0" collapsed="false">
      <c r="A109" s="45" t="n">
        <v>333</v>
      </c>
      <c r="B109" s="46" t="n">
        <v>46126</v>
      </c>
      <c r="C109" s="45" t="s">
        <v>133</v>
      </c>
      <c r="D109" s="45" t="s">
        <v>134</v>
      </c>
      <c r="E109" s="45" t="s">
        <v>405</v>
      </c>
      <c r="F109" s="45" t="s">
        <v>502</v>
      </c>
      <c r="G109" s="46" t="n">
        <v>46126</v>
      </c>
      <c r="H109" s="45" t="s">
        <v>168</v>
      </c>
      <c r="I109" s="45" t="s">
        <v>191</v>
      </c>
      <c r="J109" s="45" t="s">
        <v>503</v>
      </c>
      <c r="K109" s="45" t="n">
        <v>1343.1</v>
      </c>
      <c r="L109" s="45" t="s">
        <v>263</v>
      </c>
      <c r="M109" s="45" t="s">
        <v>259</v>
      </c>
      <c r="N109" s="45" t="s">
        <v>264</v>
      </c>
      <c r="O109" s="47" t="n">
        <v>46126.7041898148</v>
      </c>
      <c r="P109" s="47" t="n">
        <v>46127.6369212963</v>
      </c>
    </row>
    <row r="110" customFormat="false" ht="15" hidden="false" customHeight="false" outlineLevel="0" collapsed="false">
      <c r="A110" s="45" t="n">
        <v>313</v>
      </c>
      <c r="B110" s="46" t="n">
        <v>46126</v>
      </c>
      <c r="C110" s="45" t="s">
        <v>131</v>
      </c>
      <c r="D110" s="45" t="s">
        <v>132</v>
      </c>
      <c r="E110" s="45" t="s">
        <v>504</v>
      </c>
      <c r="F110" s="45" t="s">
        <v>505</v>
      </c>
      <c r="G110" s="46"/>
      <c r="H110" s="45" t="s">
        <v>168</v>
      </c>
      <c r="I110" s="45" t="s">
        <v>191</v>
      </c>
      <c r="J110" s="45" t="s">
        <v>414</v>
      </c>
      <c r="K110" s="45" t="n">
        <v>8.7</v>
      </c>
      <c r="L110" s="45" t="s">
        <v>263</v>
      </c>
      <c r="M110" s="45" t="s">
        <v>259</v>
      </c>
      <c r="N110" s="45" t="s">
        <v>264</v>
      </c>
      <c r="O110" s="47" t="n">
        <v>46126.7216319444</v>
      </c>
      <c r="P110" s="47" t="n">
        <v>46126.7276388889</v>
      </c>
    </row>
    <row r="111" customFormat="false" ht="15" hidden="false" customHeight="false" outlineLevel="0" collapsed="false">
      <c r="A111" s="45" t="n">
        <v>314</v>
      </c>
      <c r="B111" s="46" t="n">
        <v>46126</v>
      </c>
      <c r="C111" s="45" t="s">
        <v>131</v>
      </c>
      <c r="D111" s="45" t="s">
        <v>132</v>
      </c>
      <c r="E111" s="45" t="s">
        <v>222</v>
      </c>
      <c r="F111" s="45" t="s">
        <v>506</v>
      </c>
      <c r="G111" s="46"/>
      <c r="H111" s="45" t="s">
        <v>167</v>
      </c>
      <c r="I111" s="45" t="s">
        <v>175</v>
      </c>
      <c r="J111" s="45" t="s">
        <v>507</v>
      </c>
      <c r="K111" s="45" t="n">
        <v>5.9</v>
      </c>
      <c r="L111" s="45" t="s">
        <v>263</v>
      </c>
      <c r="M111" s="45" t="s">
        <v>259</v>
      </c>
      <c r="N111" s="45" t="s">
        <v>167</v>
      </c>
      <c r="O111" s="47" t="n">
        <v>46126.7277083333</v>
      </c>
      <c r="P111" s="47" t="n">
        <v>46126.7318055556</v>
      </c>
    </row>
    <row r="112" customFormat="false" ht="15" hidden="false" customHeight="false" outlineLevel="0" collapsed="false">
      <c r="A112" s="45" t="n">
        <v>316</v>
      </c>
      <c r="B112" s="46" t="n">
        <v>46126</v>
      </c>
      <c r="C112" s="45" t="s">
        <v>131</v>
      </c>
      <c r="D112" s="45" t="s">
        <v>132</v>
      </c>
      <c r="E112" s="45" t="s">
        <v>222</v>
      </c>
      <c r="F112" s="45" t="s">
        <v>508</v>
      </c>
      <c r="G112" s="46"/>
      <c r="H112" s="45" t="s">
        <v>167</v>
      </c>
      <c r="I112" s="45" t="s">
        <v>175</v>
      </c>
      <c r="J112" s="45" t="s">
        <v>509</v>
      </c>
      <c r="K112" s="45" t="n">
        <v>22.9</v>
      </c>
      <c r="L112" s="45" t="s">
        <v>263</v>
      </c>
      <c r="M112" s="45" t="s">
        <v>259</v>
      </c>
      <c r="N112" s="45" t="s">
        <v>167</v>
      </c>
      <c r="O112" s="47" t="n">
        <v>46126.7320601852</v>
      </c>
      <c r="P112" s="47" t="n">
        <v>46126.7479282407</v>
      </c>
    </row>
    <row r="113" customFormat="false" ht="15" hidden="false" customHeight="false" outlineLevel="0" collapsed="false">
      <c r="A113" s="45" t="n">
        <v>315</v>
      </c>
      <c r="B113" s="46" t="n">
        <v>46126</v>
      </c>
      <c r="C113" s="45" t="s">
        <v>135</v>
      </c>
      <c r="D113" s="45" t="s">
        <v>136</v>
      </c>
      <c r="E113" s="45" t="s">
        <v>239</v>
      </c>
      <c r="F113" s="45" t="s">
        <v>510</v>
      </c>
      <c r="G113" s="46" t="n">
        <v>46122</v>
      </c>
      <c r="H113" s="45" t="s">
        <v>168</v>
      </c>
      <c r="I113" s="45" t="s">
        <v>195</v>
      </c>
      <c r="J113" s="45" t="s">
        <v>511</v>
      </c>
      <c r="K113" s="45" t="n">
        <v>11.4</v>
      </c>
      <c r="L113" s="45" t="s">
        <v>263</v>
      </c>
      <c r="M113" s="45" t="s">
        <v>259</v>
      </c>
      <c r="N113" s="45" t="s">
        <v>264</v>
      </c>
      <c r="O113" s="47" t="n">
        <v>46126.7322453704</v>
      </c>
      <c r="P113" s="47" t="n">
        <v>46126.7401736111</v>
      </c>
    </row>
    <row r="114" customFormat="false" ht="15" hidden="false" customHeight="false" outlineLevel="0" collapsed="false">
      <c r="A114" s="45" t="n">
        <v>317</v>
      </c>
      <c r="B114" s="46" t="n">
        <v>46126</v>
      </c>
      <c r="C114" s="45" t="s">
        <v>135</v>
      </c>
      <c r="D114" s="45" t="s">
        <v>136</v>
      </c>
      <c r="E114" s="45" t="s">
        <v>512</v>
      </c>
      <c r="F114" s="45" t="s">
        <v>513</v>
      </c>
      <c r="G114" s="46" t="n">
        <v>46122</v>
      </c>
      <c r="H114" s="45" t="s">
        <v>167</v>
      </c>
      <c r="I114" s="45" t="s">
        <v>175</v>
      </c>
      <c r="J114" s="45" t="s">
        <v>514</v>
      </c>
      <c r="K114" s="45" t="n">
        <v>16.4</v>
      </c>
      <c r="L114" s="45" t="s">
        <v>263</v>
      </c>
      <c r="M114" s="45" t="s">
        <v>259</v>
      </c>
      <c r="N114" s="45" t="s">
        <v>167</v>
      </c>
      <c r="O114" s="47" t="n">
        <v>46126.7402893519</v>
      </c>
      <c r="P114" s="47" t="n">
        <v>46126.7517013889</v>
      </c>
    </row>
    <row r="115" customFormat="false" ht="15" hidden="false" customHeight="false" outlineLevel="0" collapsed="false">
      <c r="A115" s="45" t="n">
        <v>319</v>
      </c>
      <c r="B115" s="46" t="n">
        <v>46126</v>
      </c>
      <c r="C115" s="45" t="s">
        <v>135</v>
      </c>
      <c r="D115" s="45" t="s">
        <v>136</v>
      </c>
      <c r="E115" s="45" t="s">
        <v>492</v>
      </c>
      <c r="F115" s="45" t="s">
        <v>515</v>
      </c>
      <c r="G115" s="46" t="n">
        <v>46122</v>
      </c>
      <c r="H115" s="45" t="s">
        <v>57</v>
      </c>
      <c r="I115" s="45" t="s">
        <v>203</v>
      </c>
      <c r="J115" s="45" t="s">
        <v>516</v>
      </c>
      <c r="K115" s="45" t="n">
        <v>34.2</v>
      </c>
      <c r="L115" s="45" t="s">
        <v>263</v>
      </c>
      <c r="M115" s="45" t="s">
        <v>259</v>
      </c>
      <c r="N115" s="45" t="s">
        <v>57</v>
      </c>
      <c r="O115" s="47" t="n">
        <v>46126.7528819444</v>
      </c>
      <c r="P115" s="47" t="n">
        <v>46126.7766435185</v>
      </c>
    </row>
    <row r="116" customFormat="false" ht="15" hidden="false" customHeight="false" outlineLevel="0" collapsed="false">
      <c r="A116" s="45" t="n">
        <v>318</v>
      </c>
      <c r="B116" s="46" t="n">
        <v>46126</v>
      </c>
      <c r="C116" s="45" t="s">
        <v>145</v>
      </c>
      <c r="D116" s="45" t="s">
        <v>146</v>
      </c>
      <c r="E116" s="45" t="s">
        <v>517</v>
      </c>
      <c r="F116" s="45" t="s">
        <v>518</v>
      </c>
      <c r="G116" s="46" t="n">
        <v>46125</v>
      </c>
      <c r="H116" s="45" t="s">
        <v>167</v>
      </c>
      <c r="I116" s="45" t="s">
        <v>175</v>
      </c>
      <c r="J116" s="45" t="s">
        <v>519</v>
      </c>
      <c r="K116" s="45" t="n">
        <v>2.9</v>
      </c>
      <c r="L116" s="45" t="s">
        <v>263</v>
      </c>
      <c r="M116" s="45" t="s">
        <v>263</v>
      </c>
      <c r="N116" s="45" t="s">
        <v>167</v>
      </c>
      <c r="O116" s="47" t="n">
        <v>46126.7628587963</v>
      </c>
      <c r="P116" s="47" t="n">
        <v>46126.7648842593</v>
      </c>
    </row>
    <row r="117" customFormat="false" ht="15" hidden="false" customHeight="false" outlineLevel="0" collapsed="false">
      <c r="A117" s="45" t="n">
        <v>320</v>
      </c>
      <c r="B117" s="46" t="n">
        <v>46126</v>
      </c>
      <c r="C117" s="45" t="s">
        <v>131</v>
      </c>
      <c r="D117" s="45" t="s">
        <v>132</v>
      </c>
      <c r="E117" s="45" t="s">
        <v>218</v>
      </c>
      <c r="F117" s="45" t="s">
        <v>520</v>
      </c>
      <c r="G117" s="46"/>
      <c r="H117" s="45" t="s">
        <v>167</v>
      </c>
      <c r="I117" s="45" t="s">
        <v>175</v>
      </c>
      <c r="J117" s="45" t="s">
        <v>521</v>
      </c>
      <c r="K117" s="45" t="n">
        <v>3.8</v>
      </c>
      <c r="L117" s="45" t="s">
        <v>263</v>
      </c>
      <c r="M117" s="45" t="s">
        <v>259</v>
      </c>
      <c r="N117" s="45" t="s">
        <v>167</v>
      </c>
      <c r="O117" s="47" t="n">
        <v>46126.7790277778</v>
      </c>
      <c r="P117" s="47" t="n">
        <v>46126.7816550926</v>
      </c>
    </row>
    <row r="118" customFormat="false" ht="15" hidden="false" customHeight="false" outlineLevel="0" collapsed="false">
      <c r="A118" s="45" t="n">
        <v>321</v>
      </c>
      <c r="B118" s="46" t="n">
        <v>46126</v>
      </c>
      <c r="C118" s="45" t="s">
        <v>135</v>
      </c>
      <c r="D118" s="45" t="s">
        <v>136</v>
      </c>
      <c r="E118" s="45" t="s">
        <v>492</v>
      </c>
      <c r="F118" s="45" t="s">
        <v>522</v>
      </c>
      <c r="G118" s="46" t="n">
        <v>46122</v>
      </c>
      <c r="H118" s="45" t="s">
        <v>169</v>
      </c>
      <c r="I118" s="45"/>
      <c r="J118" s="45"/>
      <c r="K118" s="45" t="n">
        <v>0.8</v>
      </c>
      <c r="L118" s="45" t="s">
        <v>263</v>
      </c>
      <c r="M118" s="45" t="s">
        <v>259</v>
      </c>
      <c r="N118" s="45" t="s">
        <v>169</v>
      </c>
      <c r="O118" s="47" t="n">
        <v>46126.7880671296</v>
      </c>
      <c r="P118" s="47" t="n">
        <v>46126.788587963</v>
      </c>
    </row>
    <row r="119" customFormat="false" ht="15" hidden="false" customHeight="false" outlineLevel="0" collapsed="false">
      <c r="A119" s="45" t="n">
        <v>325</v>
      </c>
      <c r="B119" s="46" t="n">
        <v>46126</v>
      </c>
      <c r="C119" s="45" t="s">
        <v>135</v>
      </c>
      <c r="D119" s="45" t="s">
        <v>136</v>
      </c>
      <c r="E119" s="45" t="s">
        <v>239</v>
      </c>
      <c r="F119" s="45" t="s">
        <v>523</v>
      </c>
      <c r="G119" s="46" t="n">
        <v>46125</v>
      </c>
      <c r="H119" s="45" t="s">
        <v>169</v>
      </c>
      <c r="I119" s="45"/>
      <c r="J119" s="45"/>
      <c r="K119" s="45" t="n">
        <v>42.1</v>
      </c>
      <c r="L119" s="45" t="s">
        <v>263</v>
      </c>
      <c r="M119" s="45" t="s">
        <v>259</v>
      </c>
      <c r="N119" s="45" t="s">
        <v>169</v>
      </c>
      <c r="O119" s="47" t="n">
        <v>46126.793599537</v>
      </c>
      <c r="P119" s="47" t="n">
        <v>46126.8228356482</v>
      </c>
    </row>
    <row r="120" customFormat="false" ht="15" hidden="false" customHeight="false" outlineLevel="0" collapsed="false">
      <c r="A120" s="45" t="n">
        <v>322</v>
      </c>
      <c r="B120" s="46" t="n">
        <v>46126</v>
      </c>
      <c r="C120" s="45" t="s">
        <v>131</v>
      </c>
      <c r="D120" s="45" t="s">
        <v>132</v>
      </c>
      <c r="E120" s="45" t="s">
        <v>321</v>
      </c>
      <c r="F120" s="45" t="s">
        <v>524</v>
      </c>
      <c r="G120" s="46"/>
      <c r="H120" s="45" t="s">
        <v>167</v>
      </c>
      <c r="I120" s="45" t="s">
        <v>177</v>
      </c>
      <c r="J120" s="45" t="s">
        <v>525</v>
      </c>
      <c r="K120" s="45" t="n">
        <v>2.4</v>
      </c>
      <c r="L120" s="45" t="s">
        <v>263</v>
      </c>
      <c r="M120" s="45" t="s">
        <v>259</v>
      </c>
      <c r="N120" s="45" t="s">
        <v>167</v>
      </c>
      <c r="O120" s="47" t="n">
        <v>46126.7937615741</v>
      </c>
      <c r="P120" s="47" t="n">
        <v>46126.7954166667</v>
      </c>
    </row>
    <row r="121" customFormat="false" ht="15" hidden="false" customHeight="false" outlineLevel="0" collapsed="false">
      <c r="A121" s="45" t="n">
        <v>323</v>
      </c>
      <c r="B121" s="46" t="n">
        <v>46126</v>
      </c>
      <c r="C121" s="45" t="s">
        <v>131</v>
      </c>
      <c r="D121" s="45" t="s">
        <v>132</v>
      </c>
      <c r="E121" s="45" t="s">
        <v>321</v>
      </c>
      <c r="F121" s="45" t="s">
        <v>526</v>
      </c>
      <c r="G121" s="46"/>
      <c r="H121" s="45" t="s">
        <v>167</v>
      </c>
      <c r="I121" s="45" t="s">
        <v>177</v>
      </c>
      <c r="J121" s="45" t="s">
        <v>527</v>
      </c>
      <c r="K121" s="45" t="n">
        <v>0.5</v>
      </c>
      <c r="L121" s="45" t="s">
        <v>263</v>
      </c>
      <c r="M121" s="45" t="s">
        <v>259</v>
      </c>
      <c r="N121" s="45" t="s">
        <v>167</v>
      </c>
      <c r="O121" s="47" t="n">
        <v>46126.7992476852</v>
      </c>
      <c r="P121" s="47" t="n">
        <v>46126.7995949074</v>
      </c>
    </row>
    <row r="122" customFormat="false" ht="15" hidden="false" customHeight="false" outlineLevel="0" collapsed="false">
      <c r="A122" s="45" t="n">
        <v>326</v>
      </c>
      <c r="B122" s="46" t="n">
        <v>46126</v>
      </c>
      <c r="C122" s="45" t="s">
        <v>137</v>
      </c>
      <c r="D122" s="45" t="s">
        <v>138</v>
      </c>
      <c r="E122" s="45" t="s">
        <v>446</v>
      </c>
      <c r="F122" s="45" t="s">
        <v>528</v>
      </c>
      <c r="G122" s="46" t="n">
        <v>46125</v>
      </c>
      <c r="H122" s="45" t="s">
        <v>167</v>
      </c>
      <c r="I122" s="45" t="s">
        <v>182</v>
      </c>
      <c r="J122" s="45" t="s">
        <v>529</v>
      </c>
      <c r="K122" s="45" t="n">
        <v>53.1</v>
      </c>
      <c r="L122" s="45" t="s">
        <v>263</v>
      </c>
      <c r="M122" s="45" t="s">
        <v>259</v>
      </c>
      <c r="N122" s="45" t="s">
        <v>167</v>
      </c>
      <c r="O122" s="47" t="n">
        <v>46126.8165625</v>
      </c>
      <c r="P122" s="47" t="n">
        <v>46126.8534606482</v>
      </c>
    </row>
    <row r="123" customFormat="false" ht="15" hidden="false" customHeight="false" outlineLevel="0" collapsed="false">
      <c r="A123" s="45" t="n">
        <v>327</v>
      </c>
      <c r="B123" s="46" t="n">
        <v>46126</v>
      </c>
      <c r="C123" s="45" t="s">
        <v>137</v>
      </c>
      <c r="D123" s="45" t="s">
        <v>138</v>
      </c>
      <c r="E123" s="45" t="s">
        <v>312</v>
      </c>
      <c r="F123" s="45" t="s">
        <v>530</v>
      </c>
      <c r="G123" s="46" t="n">
        <v>46125</v>
      </c>
      <c r="H123" s="45" t="s">
        <v>167</v>
      </c>
      <c r="I123" s="45" t="s">
        <v>177</v>
      </c>
      <c r="J123" s="45" t="s">
        <v>531</v>
      </c>
      <c r="K123" s="45" t="n">
        <v>24.1</v>
      </c>
      <c r="L123" s="45" t="s">
        <v>263</v>
      </c>
      <c r="M123" s="45" t="s">
        <v>259</v>
      </c>
      <c r="N123" s="45" t="s">
        <v>167</v>
      </c>
      <c r="O123" s="47" t="n">
        <v>46126.8646875</v>
      </c>
      <c r="P123" s="47" t="n">
        <v>46126.8814583333</v>
      </c>
    </row>
    <row r="124" customFormat="false" ht="15" hidden="false" customHeight="false" outlineLevel="0" collapsed="false">
      <c r="A124" s="45" t="n">
        <v>328</v>
      </c>
      <c r="B124" s="46" t="n">
        <v>46126</v>
      </c>
      <c r="C124" s="45" t="s">
        <v>145</v>
      </c>
      <c r="D124" s="45" t="s">
        <v>146</v>
      </c>
      <c r="E124" s="45" t="s">
        <v>421</v>
      </c>
      <c r="F124" s="45" t="s">
        <v>532</v>
      </c>
      <c r="G124" s="46" t="n">
        <v>46126</v>
      </c>
      <c r="H124" s="45" t="s">
        <v>57</v>
      </c>
      <c r="I124" s="45" t="s">
        <v>201</v>
      </c>
      <c r="J124" s="45" t="s">
        <v>533</v>
      </c>
      <c r="K124" s="45" t="n">
        <v>0.2</v>
      </c>
      <c r="L124" s="45" t="s">
        <v>263</v>
      </c>
      <c r="M124" s="45" t="s">
        <v>259</v>
      </c>
      <c r="N124" s="45" t="s">
        <v>57</v>
      </c>
      <c r="O124" s="47" t="n">
        <v>46126.8932986111</v>
      </c>
      <c r="P124" s="47" t="n">
        <v>46126.8934143519</v>
      </c>
    </row>
    <row r="125" customFormat="false" ht="15" hidden="false" customHeight="false" outlineLevel="0" collapsed="false">
      <c r="A125" s="45" t="n">
        <v>329</v>
      </c>
      <c r="B125" s="46" t="n">
        <v>46126</v>
      </c>
      <c r="C125" s="45" t="s">
        <v>143</v>
      </c>
      <c r="D125" s="45" t="s">
        <v>144</v>
      </c>
      <c r="E125" s="45" t="s">
        <v>381</v>
      </c>
      <c r="F125" s="45" t="s">
        <v>534</v>
      </c>
      <c r="G125" s="46" t="n">
        <v>46125</v>
      </c>
      <c r="H125" s="45" t="s">
        <v>167</v>
      </c>
      <c r="I125" s="45" t="s">
        <v>175</v>
      </c>
      <c r="J125" s="45" t="s">
        <v>535</v>
      </c>
      <c r="K125" s="45" t="n">
        <v>4.6</v>
      </c>
      <c r="L125" s="45" t="s">
        <v>263</v>
      </c>
      <c r="M125" s="45" t="s">
        <v>259</v>
      </c>
      <c r="N125" s="45" t="s">
        <v>167</v>
      </c>
      <c r="O125" s="47" t="n">
        <v>46126.9385648148</v>
      </c>
      <c r="P125" s="47" t="n">
        <v>46126.9417708333</v>
      </c>
    </row>
    <row r="126" customFormat="false" ht="15" hidden="false" customHeight="false" outlineLevel="0" collapsed="false">
      <c r="A126" s="45" t="n">
        <v>330</v>
      </c>
      <c r="B126" s="46" t="n">
        <v>46126</v>
      </c>
      <c r="C126" s="45" t="s">
        <v>143</v>
      </c>
      <c r="D126" s="45" t="s">
        <v>144</v>
      </c>
      <c r="E126" s="45" t="s">
        <v>372</v>
      </c>
      <c r="F126" s="45" t="s">
        <v>536</v>
      </c>
      <c r="G126" s="46" t="n">
        <v>46125</v>
      </c>
      <c r="H126" s="45" t="s">
        <v>57</v>
      </c>
      <c r="I126" s="45" t="s">
        <v>201</v>
      </c>
      <c r="J126" s="45" t="s">
        <v>537</v>
      </c>
      <c r="K126" s="45" t="n">
        <v>20.6</v>
      </c>
      <c r="L126" s="45" t="s">
        <v>263</v>
      </c>
      <c r="M126" s="45" t="s">
        <v>259</v>
      </c>
      <c r="N126" s="45" t="s">
        <v>57</v>
      </c>
      <c r="O126" s="47" t="n">
        <v>46126.9419907407</v>
      </c>
      <c r="P126" s="47" t="n">
        <v>46126.9563078704</v>
      </c>
    </row>
    <row r="127" customFormat="false" ht="15" hidden="false" customHeight="false" outlineLevel="0" collapsed="false">
      <c r="A127" s="45" t="n">
        <v>331</v>
      </c>
      <c r="B127" s="46" t="n">
        <v>46126</v>
      </c>
      <c r="C127" s="45" t="s">
        <v>143</v>
      </c>
      <c r="D127" s="45" t="s">
        <v>144</v>
      </c>
      <c r="E127" s="45" t="s">
        <v>385</v>
      </c>
      <c r="F127" s="45" t="s">
        <v>538</v>
      </c>
      <c r="G127" s="46" t="n">
        <v>46125</v>
      </c>
      <c r="H127" s="45" t="s">
        <v>167</v>
      </c>
      <c r="I127" s="45" t="s">
        <v>176</v>
      </c>
      <c r="J127" s="45" t="s">
        <v>539</v>
      </c>
      <c r="K127" s="45" t="n">
        <v>29.9</v>
      </c>
      <c r="L127" s="45" t="s">
        <v>263</v>
      </c>
      <c r="M127" s="45" t="s">
        <v>259</v>
      </c>
      <c r="N127" s="45" t="s">
        <v>167</v>
      </c>
      <c r="O127" s="47" t="n">
        <v>46126.9563657407</v>
      </c>
      <c r="P127" s="47" t="n">
        <v>46126.9771180556</v>
      </c>
    </row>
    <row r="128" customFormat="false" ht="15" hidden="false" customHeight="false" outlineLevel="0" collapsed="false">
      <c r="A128" s="45" t="n">
        <v>332</v>
      </c>
      <c r="B128" s="46" t="n">
        <v>46126</v>
      </c>
      <c r="C128" s="45" t="s">
        <v>143</v>
      </c>
      <c r="D128" s="45" t="s">
        <v>144</v>
      </c>
      <c r="E128" s="45" t="s">
        <v>338</v>
      </c>
      <c r="F128" s="45" t="s">
        <v>540</v>
      </c>
      <c r="G128" s="46" t="n">
        <v>46125</v>
      </c>
      <c r="H128" s="45" t="s">
        <v>169</v>
      </c>
      <c r="I128" s="45"/>
      <c r="J128" s="45"/>
      <c r="K128" s="45" t="n">
        <v>3.3</v>
      </c>
      <c r="L128" s="45" t="s">
        <v>263</v>
      </c>
      <c r="M128" s="45" t="s">
        <v>259</v>
      </c>
      <c r="N128" s="45" t="s">
        <v>169</v>
      </c>
      <c r="O128" s="47" t="n">
        <v>46126.9771990741</v>
      </c>
      <c r="P128" s="47" t="n">
        <v>46126.9795023148</v>
      </c>
    </row>
    <row r="129" customFormat="false" ht="15" hidden="false" customHeight="false" outlineLevel="0" collapsed="false">
      <c r="A129" s="45" t="n">
        <v>346</v>
      </c>
      <c r="B129" s="46" t="n">
        <v>46127</v>
      </c>
      <c r="C129" s="45" t="s">
        <v>131</v>
      </c>
      <c r="D129" s="45" t="s">
        <v>132</v>
      </c>
      <c r="E129" s="45" t="s">
        <v>218</v>
      </c>
      <c r="F129" s="45" t="s">
        <v>541</v>
      </c>
      <c r="G129" s="46" t="n">
        <v>46127</v>
      </c>
      <c r="H129" s="45" t="s">
        <v>167</v>
      </c>
      <c r="I129" s="45" t="s">
        <v>175</v>
      </c>
      <c r="J129" s="45" t="s">
        <v>542</v>
      </c>
      <c r="K129" s="45" t="n">
        <v>1420</v>
      </c>
      <c r="L129" s="45" t="s">
        <v>263</v>
      </c>
      <c r="M129" s="45" t="s">
        <v>259</v>
      </c>
      <c r="N129" s="45" t="s">
        <v>167</v>
      </c>
      <c r="O129" s="47" t="n">
        <v>46127.6258912037</v>
      </c>
      <c r="P129" s="47" t="n">
        <v>46128.6119791667</v>
      </c>
    </row>
    <row r="130" customFormat="false" ht="15" hidden="false" customHeight="false" outlineLevel="0" collapsed="false">
      <c r="A130" s="45" t="n">
        <v>334</v>
      </c>
      <c r="B130" s="46" t="n">
        <v>46127</v>
      </c>
      <c r="C130" s="45" t="s">
        <v>133</v>
      </c>
      <c r="D130" s="45" t="s">
        <v>134</v>
      </c>
      <c r="E130" s="45" t="s">
        <v>543</v>
      </c>
      <c r="F130" s="45" t="s">
        <v>544</v>
      </c>
      <c r="G130" s="46" t="n">
        <v>46126</v>
      </c>
      <c r="H130" s="45" t="s">
        <v>167</v>
      </c>
      <c r="I130" s="45" t="s">
        <v>177</v>
      </c>
      <c r="J130" s="45" t="s">
        <v>545</v>
      </c>
      <c r="K130" s="45" t="n">
        <v>73.7</v>
      </c>
      <c r="L130" s="45" t="s">
        <v>263</v>
      </c>
      <c r="M130" s="45" t="s">
        <v>259</v>
      </c>
      <c r="N130" s="45" t="s">
        <v>167</v>
      </c>
      <c r="O130" s="47" t="n">
        <v>46127.6377083333</v>
      </c>
      <c r="P130" s="47" t="n">
        <v>46127.6888541667</v>
      </c>
    </row>
    <row r="131" customFormat="false" ht="15" hidden="false" customHeight="false" outlineLevel="0" collapsed="false">
      <c r="A131" s="45" t="n">
        <v>337</v>
      </c>
      <c r="B131" s="46" t="n">
        <v>46127</v>
      </c>
      <c r="C131" s="45" t="s">
        <v>133</v>
      </c>
      <c r="D131" s="45" t="s">
        <v>134</v>
      </c>
      <c r="E131" s="45" t="s">
        <v>543</v>
      </c>
      <c r="F131" s="45" t="s">
        <v>546</v>
      </c>
      <c r="G131" s="46" t="n">
        <v>46126</v>
      </c>
      <c r="H131" s="45" t="s">
        <v>167</v>
      </c>
      <c r="I131" s="45" t="s">
        <v>175</v>
      </c>
      <c r="J131" s="45" t="s">
        <v>547</v>
      </c>
      <c r="K131" s="45" t="n">
        <v>26</v>
      </c>
      <c r="L131" s="45" t="s">
        <v>263</v>
      </c>
      <c r="M131" s="45" t="s">
        <v>259</v>
      </c>
      <c r="N131" s="45" t="s">
        <v>167</v>
      </c>
      <c r="O131" s="47" t="n">
        <v>46127.6888773148</v>
      </c>
      <c r="P131" s="47" t="n">
        <v>46127.7069444444</v>
      </c>
    </row>
    <row r="132" customFormat="false" ht="15" hidden="false" customHeight="false" outlineLevel="0" collapsed="false">
      <c r="A132" s="45" t="n">
        <v>335</v>
      </c>
      <c r="B132" s="46" t="n">
        <v>46127</v>
      </c>
      <c r="C132" s="45" t="s">
        <v>137</v>
      </c>
      <c r="D132" s="45" t="s">
        <v>138</v>
      </c>
      <c r="E132" s="45" t="s">
        <v>312</v>
      </c>
      <c r="F132" s="45" t="s">
        <v>548</v>
      </c>
      <c r="G132" s="46" t="n">
        <v>46126</v>
      </c>
      <c r="H132" s="45" t="s">
        <v>167</v>
      </c>
      <c r="I132" s="45" t="s">
        <v>176</v>
      </c>
      <c r="J132" s="45" t="s">
        <v>549</v>
      </c>
      <c r="K132" s="45" t="n">
        <v>6.5</v>
      </c>
      <c r="L132" s="45" t="s">
        <v>263</v>
      </c>
      <c r="M132" s="45" t="s">
        <v>259</v>
      </c>
      <c r="N132" s="45" t="s">
        <v>167</v>
      </c>
      <c r="O132" s="47" t="n">
        <v>46127.689212963</v>
      </c>
      <c r="P132" s="47" t="n">
        <v>46127.6937384259</v>
      </c>
    </row>
    <row r="133" customFormat="false" ht="15" hidden="false" customHeight="false" outlineLevel="0" collapsed="false">
      <c r="A133" s="45" t="n">
        <v>336</v>
      </c>
      <c r="B133" s="46" t="n">
        <v>46127</v>
      </c>
      <c r="C133" s="45" t="s">
        <v>137</v>
      </c>
      <c r="D133" s="45" t="s">
        <v>138</v>
      </c>
      <c r="E133" s="45" t="s">
        <v>453</v>
      </c>
      <c r="F133" s="45" t="s">
        <v>550</v>
      </c>
      <c r="G133" s="46" t="n">
        <v>46126</v>
      </c>
      <c r="H133" s="45" t="s">
        <v>168</v>
      </c>
      <c r="I133" s="45" t="s">
        <v>193</v>
      </c>
      <c r="J133" s="45" t="s">
        <v>551</v>
      </c>
      <c r="K133" s="45" t="n">
        <v>6.7</v>
      </c>
      <c r="L133" s="45" t="s">
        <v>263</v>
      </c>
      <c r="M133" s="45" t="s">
        <v>259</v>
      </c>
      <c r="N133" s="45" t="s">
        <v>264</v>
      </c>
      <c r="O133" s="47" t="n">
        <v>46127.6937731481</v>
      </c>
      <c r="P133" s="47" t="n">
        <v>46127.6984259259</v>
      </c>
    </row>
    <row r="134" customFormat="false" ht="15" hidden="false" customHeight="false" outlineLevel="0" collapsed="false">
      <c r="A134" s="45" t="n">
        <v>338</v>
      </c>
      <c r="B134" s="46" t="n">
        <v>46127</v>
      </c>
      <c r="C134" s="45" t="s">
        <v>133</v>
      </c>
      <c r="D134" s="45" t="s">
        <v>134</v>
      </c>
      <c r="E134" s="45" t="s">
        <v>353</v>
      </c>
      <c r="F134" s="45" t="s">
        <v>552</v>
      </c>
      <c r="G134" s="46" t="n">
        <v>46126</v>
      </c>
      <c r="H134" s="45" t="s">
        <v>167</v>
      </c>
      <c r="I134" s="45" t="s">
        <v>175</v>
      </c>
      <c r="J134" s="45" t="s">
        <v>553</v>
      </c>
      <c r="K134" s="45" t="n">
        <v>99.1</v>
      </c>
      <c r="L134" s="45" t="s">
        <v>263</v>
      </c>
      <c r="M134" s="45" t="s">
        <v>259</v>
      </c>
      <c r="N134" s="45" t="s">
        <v>167</v>
      </c>
      <c r="O134" s="47" t="n">
        <v>46127.7070023148</v>
      </c>
      <c r="P134" s="47" t="n">
        <v>46127.7758449074</v>
      </c>
    </row>
    <row r="135" customFormat="false" ht="15" hidden="false" customHeight="false" outlineLevel="0" collapsed="false">
      <c r="A135" s="45" t="n">
        <v>339</v>
      </c>
      <c r="B135" s="46" t="n">
        <v>46127</v>
      </c>
      <c r="C135" s="45" t="s">
        <v>133</v>
      </c>
      <c r="D135" s="45" t="s">
        <v>134</v>
      </c>
      <c r="E135" s="45" t="s">
        <v>405</v>
      </c>
      <c r="F135" s="45" t="s">
        <v>554</v>
      </c>
      <c r="G135" s="46" t="n">
        <v>46126</v>
      </c>
      <c r="H135" s="45" t="s">
        <v>168</v>
      </c>
      <c r="I135" s="45" t="s">
        <v>192</v>
      </c>
      <c r="J135" s="45" t="s">
        <v>555</v>
      </c>
      <c r="K135" s="45" t="n">
        <v>7.3</v>
      </c>
      <c r="L135" s="45" t="s">
        <v>263</v>
      </c>
      <c r="M135" s="45" t="s">
        <v>259</v>
      </c>
      <c r="N135" s="45" t="s">
        <v>264</v>
      </c>
      <c r="O135" s="47" t="n">
        <v>46127.7759837963</v>
      </c>
      <c r="P135" s="47" t="n">
        <v>46127.7810763889</v>
      </c>
    </row>
    <row r="136" customFormat="false" ht="15" hidden="false" customHeight="false" outlineLevel="0" collapsed="false">
      <c r="A136" s="45" t="n">
        <v>340</v>
      </c>
      <c r="B136" s="46" t="n">
        <v>46127</v>
      </c>
      <c r="C136" s="45" t="s">
        <v>133</v>
      </c>
      <c r="D136" s="45" t="s">
        <v>134</v>
      </c>
      <c r="E136" s="45" t="s">
        <v>219</v>
      </c>
      <c r="F136" s="45" t="s">
        <v>556</v>
      </c>
      <c r="G136" s="46" t="n">
        <v>46126</v>
      </c>
      <c r="H136" s="45" t="s">
        <v>167</v>
      </c>
      <c r="I136" s="45" t="s">
        <v>175</v>
      </c>
      <c r="J136" s="45" t="s">
        <v>557</v>
      </c>
      <c r="K136" s="45" t="n">
        <v>8.3</v>
      </c>
      <c r="L136" s="45" t="s">
        <v>263</v>
      </c>
      <c r="M136" s="45" t="s">
        <v>259</v>
      </c>
      <c r="N136" s="45" t="s">
        <v>167</v>
      </c>
      <c r="O136" s="47" t="n">
        <v>46127.809525463</v>
      </c>
      <c r="P136" s="47" t="n">
        <v>46127.8152777778</v>
      </c>
    </row>
    <row r="137" customFormat="false" ht="15" hidden="false" customHeight="false" outlineLevel="0" collapsed="false">
      <c r="A137" s="45" t="n">
        <v>341</v>
      </c>
      <c r="B137" s="46" t="n">
        <v>46127</v>
      </c>
      <c r="C137" s="45" t="s">
        <v>133</v>
      </c>
      <c r="D137" s="45" t="s">
        <v>134</v>
      </c>
      <c r="E137" s="45" t="s">
        <v>558</v>
      </c>
      <c r="F137" s="45" t="s">
        <v>559</v>
      </c>
      <c r="G137" s="46" t="n">
        <v>46126</v>
      </c>
      <c r="H137" s="45" t="s">
        <v>167</v>
      </c>
      <c r="I137" s="45" t="s">
        <v>175</v>
      </c>
      <c r="J137" s="45" t="s">
        <v>560</v>
      </c>
      <c r="K137" s="45" t="n">
        <v>20.9</v>
      </c>
      <c r="L137" s="45" t="s">
        <v>263</v>
      </c>
      <c r="M137" s="45" t="s">
        <v>259</v>
      </c>
      <c r="N137" s="45" t="s">
        <v>167</v>
      </c>
      <c r="O137" s="47" t="n">
        <v>46127.8168171296</v>
      </c>
      <c r="P137" s="47" t="n">
        <v>46127.8312962963</v>
      </c>
    </row>
    <row r="138" customFormat="false" ht="15" hidden="false" customHeight="false" outlineLevel="0" collapsed="false">
      <c r="A138" s="45" t="n">
        <v>342</v>
      </c>
      <c r="B138" s="46" t="n">
        <v>46127</v>
      </c>
      <c r="C138" s="45" t="s">
        <v>135</v>
      </c>
      <c r="D138" s="45" t="s">
        <v>136</v>
      </c>
      <c r="E138" s="45" t="s">
        <v>236</v>
      </c>
      <c r="F138" s="45" t="s">
        <v>469</v>
      </c>
      <c r="G138" s="46" t="n">
        <v>46125</v>
      </c>
      <c r="H138" s="45" t="s">
        <v>167</v>
      </c>
      <c r="I138" s="45" t="s">
        <v>175</v>
      </c>
      <c r="J138" s="45" t="s">
        <v>561</v>
      </c>
      <c r="K138" s="45" t="n">
        <v>0.8</v>
      </c>
      <c r="L138" s="45" t="s">
        <v>259</v>
      </c>
      <c r="M138" s="45" t="s">
        <v>259</v>
      </c>
      <c r="N138" s="45" t="s">
        <v>167</v>
      </c>
      <c r="O138" s="47" t="n">
        <v>46127.8347800926</v>
      </c>
      <c r="P138" s="47" t="n">
        <v>46127.8353009259</v>
      </c>
    </row>
    <row r="139" customFormat="false" ht="15" hidden="false" customHeight="false" outlineLevel="0" collapsed="false">
      <c r="A139" s="45" t="n">
        <v>343</v>
      </c>
      <c r="B139" s="46" t="n">
        <v>46127</v>
      </c>
      <c r="C139" s="45" t="s">
        <v>143</v>
      </c>
      <c r="D139" s="45" t="s">
        <v>144</v>
      </c>
      <c r="E139" s="45" t="s">
        <v>230</v>
      </c>
      <c r="F139" s="45" t="s">
        <v>562</v>
      </c>
      <c r="G139" s="46" t="n">
        <v>46127</v>
      </c>
      <c r="H139" s="45" t="s">
        <v>167</v>
      </c>
      <c r="I139" s="45" t="s">
        <v>175</v>
      </c>
      <c r="J139" s="45" t="s">
        <v>563</v>
      </c>
      <c r="K139" s="45" t="n">
        <v>5.5</v>
      </c>
      <c r="L139" s="45" t="s">
        <v>259</v>
      </c>
      <c r="M139" s="45" t="s">
        <v>259</v>
      </c>
      <c r="N139" s="45" t="s">
        <v>167</v>
      </c>
      <c r="O139" s="47" t="n">
        <v>46127.9646990741</v>
      </c>
      <c r="P139" s="47" t="n">
        <v>46127.9685069445</v>
      </c>
    </row>
    <row r="140" customFormat="false" ht="15" hidden="false" customHeight="false" outlineLevel="0" collapsed="false">
      <c r="A140" s="45" t="n">
        <v>344</v>
      </c>
      <c r="B140" s="46" t="n">
        <v>46127</v>
      </c>
      <c r="C140" s="45" t="s">
        <v>143</v>
      </c>
      <c r="D140" s="45" t="s">
        <v>144</v>
      </c>
      <c r="E140" s="45" t="s">
        <v>564</v>
      </c>
      <c r="F140" s="45" t="s">
        <v>565</v>
      </c>
      <c r="G140" s="46" t="n">
        <v>46126</v>
      </c>
      <c r="H140" s="45" t="s">
        <v>57</v>
      </c>
      <c r="I140" s="45" t="s">
        <v>203</v>
      </c>
      <c r="J140" s="45" t="s">
        <v>566</v>
      </c>
      <c r="K140" s="45" t="n">
        <v>12.7</v>
      </c>
      <c r="L140" s="45" t="s">
        <v>263</v>
      </c>
      <c r="M140" s="45" t="s">
        <v>259</v>
      </c>
      <c r="N140" s="45" t="s">
        <v>57</v>
      </c>
      <c r="O140" s="47" t="n">
        <v>46127.9696643519</v>
      </c>
      <c r="P140" s="47" t="n">
        <v>46127.9784837963</v>
      </c>
    </row>
    <row r="141" customFormat="false" ht="15" hidden="false" customHeight="false" outlineLevel="0" collapsed="false">
      <c r="A141" s="45" t="n">
        <v>345</v>
      </c>
      <c r="B141" s="46" t="n">
        <v>46127</v>
      </c>
      <c r="C141" s="45" t="s">
        <v>143</v>
      </c>
      <c r="D141" s="45" t="s">
        <v>144</v>
      </c>
      <c r="E141" s="45" t="s">
        <v>230</v>
      </c>
      <c r="F141" s="45" t="s">
        <v>567</v>
      </c>
      <c r="G141" s="46" t="n">
        <v>46126</v>
      </c>
      <c r="H141" s="45" t="s">
        <v>167</v>
      </c>
      <c r="I141" s="45" t="s">
        <v>175</v>
      </c>
      <c r="J141" s="45" t="s">
        <v>568</v>
      </c>
      <c r="K141" s="45" t="n">
        <v>7.2</v>
      </c>
      <c r="L141" s="45" t="s">
        <v>263</v>
      </c>
      <c r="M141" s="45" t="s">
        <v>259</v>
      </c>
      <c r="N141" s="45" t="s">
        <v>167</v>
      </c>
      <c r="O141" s="47" t="n">
        <v>46127.9786111111</v>
      </c>
      <c r="P141" s="47" t="n">
        <v>46127.983587963</v>
      </c>
    </row>
    <row r="142" customFormat="false" ht="15" hidden="false" customHeight="false" outlineLevel="0" collapsed="false">
      <c r="A142" s="45" t="n">
        <v>350</v>
      </c>
      <c r="B142" s="46" t="n">
        <v>46128</v>
      </c>
      <c r="C142" s="45" t="s">
        <v>133</v>
      </c>
      <c r="D142" s="45" t="s">
        <v>134</v>
      </c>
      <c r="E142" s="45" t="s">
        <v>353</v>
      </c>
      <c r="F142" s="45" t="s">
        <v>569</v>
      </c>
      <c r="G142" s="46" t="n">
        <v>46127</v>
      </c>
      <c r="H142" s="45" t="s">
        <v>167</v>
      </c>
      <c r="I142" s="45" t="s">
        <v>176</v>
      </c>
      <c r="J142" s="45" t="s">
        <v>570</v>
      </c>
      <c r="K142" s="45" t="n">
        <v>78.4</v>
      </c>
      <c r="L142" s="45" t="s">
        <v>263</v>
      </c>
      <c r="M142" s="45" t="s">
        <v>259</v>
      </c>
      <c r="N142" s="45" t="s">
        <v>167</v>
      </c>
      <c r="O142" s="47" t="n">
        <v>46128.5814467593</v>
      </c>
      <c r="P142" s="47" t="n">
        <v>46128.6359027778</v>
      </c>
    </row>
    <row r="143" customFormat="false" ht="15" hidden="false" customHeight="false" outlineLevel="0" collapsed="false">
      <c r="A143" s="45" t="n">
        <v>362</v>
      </c>
      <c r="B143" s="46" t="n">
        <v>46128</v>
      </c>
      <c r="C143" s="45" t="s">
        <v>143</v>
      </c>
      <c r="D143" s="45" t="s">
        <v>144</v>
      </c>
      <c r="E143" s="45" t="s">
        <v>372</v>
      </c>
      <c r="F143" s="45" t="s">
        <v>571</v>
      </c>
      <c r="G143" s="46" t="n">
        <v>46127</v>
      </c>
      <c r="H143" s="45" t="s">
        <v>167</v>
      </c>
      <c r="I143" s="45" t="s">
        <v>175</v>
      </c>
      <c r="J143" s="45" t="s">
        <v>572</v>
      </c>
      <c r="K143" s="45" t="n">
        <v>637.1</v>
      </c>
      <c r="L143" s="45" t="s">
        <v>263</v>
      </c>
      <c r="M143" s="45" t="s">
        <v>259</v>
      </c>
      <c r="N143" s="45" t="s">
        <v>167</v>
      </c>
      <c r="O143" s="47" t="n">
        <v>46128.6034143519</v>
      </c>
      <c r="P143" s="47" t="n">
        <v>46129.0458333333</v>
      </c>
    </row>
    <row r="144" customFormat="false" ht="15" hidden="false" customHeight="false" outlineLevel="0" collapsed="false">
      <c r="A144" s="45" t="n">
        <v>349</v>
      </c>
      <c r="B144" s="46" t="n">
        <v>46128</v>
      </c>
      <c r="C144" s="45" t="s">
        <v>145</v>
      </c>
      <c r="D144" s="45" t="s">
        <v>146</v>
      </c>
      <c r="E144" s="45" t="s">
        <v>223</v>
      </c>
      <c r="F144" s="45" t="s">
        <v>573</v>
      </c>
      <c r="G144" s="46" t="n">
        <v>46126</v>
      </c>
      <c r="H144" s="45" t="s">
        <v>167</v>
      </c>
      <c r="I144" s="45" t="s">
        <v>177</v>
      </c>
      <c r="J144" s="45" t="s">
        <v>574</v>
      </c>
      <c r="K144" s="45" t="n">
        <v>34</v>
      </c>
      <c r="L144" s="45" t="s">
        <v>263</v>
      </c>
      <c r="M144" s="45" t="s">
        <v>259</v>
      </c>
      <c r="N144" s="45" t="s">
        <v>167</v>
      </c>
      <c r="O144" s="47" t="n">
        <v>46128.6080439815</v>
      </c>
      <c r="P144" s="47" t="n">
        <v>46128.6316782407</v>
      </c>
    </row>
    <row r="145" customFormat="false" ht="15" hidden="false" customHeight="false" outlineLevel="0" collapsed="false">
      <c r="A145" s="45" t="n">
        <v>347</v>
      </c>
      <c r="B145" s="46" t="n">
        <v>46128</v>
      </c>
      <c r="C145" s="45" t="s">
        <v>131</v>
      </c>
      <c r="D145" s="45" t="s">
        <v>132</v>
      </c>
      <c r="E145" s="45" t="s">
        <v>220</v>
      </c>
      <c r="F145" s="45" t="s">
        <v>575</v>
      </c>
      <c r="G145" s="46" t="n">
        <v>46127</v>
      </c>
      <c r="H145" s="45" t="s">
        <v>167</v>
      </c>
      <c r="I145" s="45" t="s">
        <v>175</v>
      </c>
      <c r="J145" s="45" t="s">
        <v>576</v>
      </c>
      <c r="K145" s="45" t="n">
        <v>0.6</v>
      </c>
      <c r="L145" s="45" t="s">
        <v>263</v>
      </c>
      <c r="M145" s="45" t="s">
        <v>259</v>
      </c>
      <c r="N145" s="45" t="s">
        <v>167</v>
      </c>
      <c r="O145" s="47" t="n">
        <v>46128.6120023148</v>
      </c>
      <c r="P145" s="47" t="n">
        <v>46128.6124421296</v>
      </c>
    </row>
    <row r="146" customFormat="false" ht="15" hidden="false" customHeight="false" outlineLevel="0" collapsed="false">
      <c r="A146" s="45" t="n">
        <v>348</v>
      </c>
      <c r="B146" s="46" t="n">
        <v>46128</v>
      </c>
      <c r="C146" s="45" t="s">
        <v>131</v>
      </c>
      <c r="D146" s="45" t="s">
        <v>132</v>
      </c>
      <c r="E146" s="45" t="s">
        <v>577</v>
      </c>
      <c r="F146" s="45" t="s">
        <v>578</v>
      </c>
      <c r="G146" s="46" t="n">
        <v>46127</v>
      </c>
      <c r="H146" s="45" t="s">
        <v>167</v>
      </c>
      <c r="I146" s="45" t="s">
        <v>176</v>
      </c>
      <c r="J146" s="45" t="s">
        <v>579</v>
      </c>
      <c r="K146" s="45" t="n">
        <v>2.2</v>
      </c>
      <c r="L146" s="45" t="s">
        <v>263</v>
      </c>
      <c r="M146" s="45" t="s">
        <v>259</v>
      </c>
      <c r="N146" s="45" t="s">
        <v>167</v>
      </c>
      <c r="O146" s="47" t="n">
        <v>46128.6125578704</v>
      </c>
      <c r="P146" s="47" t="n">
        <v>46128.6140972222</v>
      </c>
    </row>
    <row r="147" customFormat="false" ht="15" hidden="false" customHeight="false" outlineLevel="0" collapsed="false">
      <c r="A147" s="45" t="n">
        <v>351</v>
      </c>
      <c r="B147" s="46" t="n">
        <v>46128</v>
      </c>
      <c r="C147" s="45" t="s">
        <v>131</v>
      </c>
      <c r="D147" s="45" t="s">
        <v>132</v>
      </c>
      <c r="E147" s="45" t="s">
        <v>218</v>
      </c>
      <c r="F147" s="45" t="s">
        <v>580</v>
      </c>
      <c r="G147" s="46" t="n">
        <v>46127</v>
      </c>
      <c r="H147" s="45" t="s">
        <v>167</v>
      </c>
      <c r="I147" s="45" t="s">
        <v>175</v>
      </c>
      <c r="J147" s="45" t="s">
        <v>581</v>
      </c>
      <c r="K147" s="45" t="n">
        <v>11.7</v>
      </c>
      <c r="L147" s="45" t="s">
        <v>263</v>
      </c>
      <c r="M147" s="45" t="s">
        <v>259</v>
      </c>
      <c r="N147" s="45" t="s">
        <v>167</v>
      </c>
      <c r="O147" s="47" t="n">
        <v>46128.6290393519</v>
      </c>
      <c r="P147" s="47" t="n">
        <v>46128.6371643519</v>
      </c>
    </row>
    <row r="148" customFormat="false" ht="15" hidden="false" customHeight="false" outlineLevel="0" collapsed="false">
      <c r="A148" s="45" t="n">
        <v>353</v>
      </c>
      <c r="B148" s="46" t="n">
        <v>46128</v>
      </c>
      <c r="C148" s="45" t="s">
        <v>133</v>
      </c>
      <c r="D148" s="45" t="s">
        <v>134</v>
      </c>
      <c r="E148" s="45" t="s">
        <v>582</v>
      </c>
      <c r="F148" s="45" t="s">
        <v>583</v>
      </c>
      <c r="G148" s="46" t="n">
        <v>46127</v>
      </c>
      <c r="H148" s="45" t="s">
        <v>167</v>
      </c>
      <c r="I148" s="45" t="s">
        <v>175</v>
      </c>
      <c r="J148" s="45" t="s">
        <v>584</v>
      </c>
      <c r="K148" s="45" t="n">
        <v>31.5</v>
      </c>
      <c r="L148" s="45" t="s">
        <v>263</v>
      </c>
      <c r="M148" s="45" t="s">
        <v>259</v>
      </c>
      <c r="N148" s="45" t="s">
        <v>167</v>
      </c>
      <c r="O148" s="47" t="n">
        <v>46128.6377430556</v>
      </c>
      <c r="P148" s="47" t="n">
        <v>46128.6596296296</v>
      </c>
    </row>
    <row r="149" customFormat="false" ht="15" hidden="false" customHeight="false" outlineLevel="0" collapsed="false">
      <c r="A149" s="45" t="n">
        <v>352</v>
      </c>
      <c r="B149" s="46" t="n">
        <v>46128</v>
      </c>
      <c r="C149" s="45" t="s">
        <v>131</v>
      </c>
      <c r="D149" s="45" t="s">
        <v>132</v>
      </c>
      <c r="E149" s="45" t="s">
        <v>218</v>
      </c>
      <c r="F149" s="45" t="s">
        <v>585</v>
      </c>
      <c r="G149" s="46" t="n">
        <v>46127</v>
      </c>
      <c r="H149" s="45" t="s">
        <v>167</v>
      </c>
      <c r="I149" s="45" t="s">
        <v>175</v>
      </c>
      <c r="J149" s="45" t="s">
        <v>586</v>
      </c>
      <c r="K149" s="45" t="n">
        <v>2</v>
      </c>
      <c r="L149" s="45" t="s">
        <v>263</v>
      </c>
      <c r="M149" s="45" t="s">
        <v>259</v>
      </c>
      <c r="N149" s="45" t="s">
        <v>167</v>
      </c>
      <c r="O149" s="47" t="n">
        <v>46128.6415625</v>
      </c>
      <c r="P149" s="47" t="n">
        <v>46128.6429398148</v>
      </c>
    </row>
    <row r="150" customFormat="false" ht="15" hidden="false" customHeight="false" outlineLevel="0" collapsed="false">
      <c r="A150" s="45" t="n">
        <v>356</v>
      </c>
      <c r="B150" s="46" t="n">
        <v>46128</v>
      </c>
      <c r="C150" s="45" t="s">
        <v>145</v>
      </c>
      <c r="D150" s="45" t="s">
        <v>146</v>
      </c>
      <c r="E150" s="45" t="s">
        <v>587</v>
      </c>
      <c r="F150" s="45" t="s">
        <v>588</v>
      </c>
      <c r="G150" s="46" t="n">
        <v>46127</v>
      </c>
      <c r="H150" s="45" t="s">
        <v>167</v>
      </c>
      <c r="I150" s="45" t="s">
        <v>176</v>
      </c>
      <c r="J150" s="45" t="s">
        <v>589</v>
      </c>
      <c r="K150" s="45" t="n">
        <v>111.6</v>
      </c>
      <c r="L150" s="45" t="s">
        <v>263</v>
      </c>
      <c r="M150" s="45" t="s">
        <v>259</v>
      </c>
      <c r="N150" s="45" t="s">
        <v>167</v>
      </c>
      <c r="O150" s="47" t="n">
        <v>46128.6539930556</v>
      </c>
      <c r="P150" s="47" t="n">
        <v>46128.7315162037</v>
      </c>
    </row>
    <row r="151" customFormat="false" ht="15" hidden="false" customHeight="false" outlineLevel="0" collapsed="false">
      <c r="A151" s="45" t="n">
        <v>354</v>
      </c>
      <c r="B151" s="46" t="n">
        <v>46128</v>
      </c>
      <c r="C151" s="45" t="s">
        <v>133</v>
      </c>
      <c r="D151" s="45" t="s">
        <v>134</v>
      </c>
      <c r="E151" s="45" t="s">
        <v>350</v>
      </c>
      <c r="F151" s="45" t="s">
        <v>590</v>
      </c>
      <c r="G151" s="46" t="n">
        <v>46127</v>
      </c>
      <c r="H151" s="45" t="s">
        <v>57</v>
      </c>
      <c r="I151" s="45" t="s">
        <v>200</v>
      </c>
      <c r="J151" s="45" t="s">
        <v>591</v>
      </c>
      <c r="K151" s="45" t="n">
        <v>3.1</v>
      </c>
      <c r="L151" s="45" t="s">
        <v>263</v>
      </c>
      <c r="M151" s="45" t="s">
        <v>259</v>
      </c>
      <c r="N151" s="45" t="s">
        <v>57</v>
      </c>
      <c r="O151" s="47" t="n">
        <v>46128.6596643519</v>
      </c>
      <c r="P151" s="47" t="n">
        <v>46128.6618518519</v>
      </c>
    </row>
    <row r="152" customFormat="false" ht="15" hidden="false" customHeight="false" outlineLevel="0" collapsed="false">
      <c r="A152" s="45" t="n">
        <v>355</v>
      </c>
      <c r="B152" s="46" t="n">
        <v>46128</v>
      </c>
      <c r="C152" s="45" t="s">
        <v>133</v>
      </c>
      <c r="D152" s="45" t="s">
        <v>134</v>
      </c>
      <c r="E152" s="45" t="s">
        <v>219</v>
      </c>
      <c r="F152" s="45" t="s">
        <v>592</v>
      </c>
      <c r="G152" s="46" t="n">
        <v>46127</v>
      </c>
      <c r="H152" s="45" t="s">
        <v>167</v>
      </c>
      <c r="I152" s="45" t="s">
        <v>175</v>
      </c>
      <c r="J152" s="45" t="s">
        <v>593</v>
      </c>
      <c r="K152" s="45" t="n">
        <v>2.4</v>
      </c>
      <c r="L152" s="45" t="s">
        <v>263</v>
      </c>
      <c r="M152" s="45" t="s">
        <v>259</v>
      </c>
      <c r="N152" s="45" t="s">
        <v>167</v>
      </c>
      <c r="O152" s="47" t="n">
        <v>46128.6713657407</v>
      </c>
      <c r="P152" s="47" t="n">
        <v>46128.6730439815</v>
      </c>
    </row>
    <row r="153" customFormat="false" ht="15" hidden="false" customHeight="false" outlineLevel="0" collapsed="false">
      <c r="A153" s="45" t="n">
        <v>357</v>
      </c>
      <c r="B153" s="46" t="n">
        <v>46128</v>
      </c>
      <c r="C153" s="45" t="s">
        <v>133</v>
      </c>
      <c r="D153" s="45" t="s">
        <v>134</v>
      </c>
      <c r="E153" s="45" t="s">
        <v>353</v>
      </c>
      <c r="F153" s="45" t="s">
        <v>594</v>
      </c>
      <c r="G153" s="46" t="n">
        <v>46128</v>
      </c>
      <c r="H153" s="45" t="s">
        <v>168</v>
      </c>
      <c r="I153" s="45" t="s">
        <v>193</v>
      </c>
      <c r="J153" s="45" t="s">
        <v>595</v>
      </c>
      <c r="K153" s="45" t="n">
        <v>27.5</v>
      </c>
      <c r="L153" s="45" t="s">
        <v>259</v>
      </c>
      <c r="M153" s="45" t="s">
        <v>259</v>
      </c>
      <c r="N153" s="45" t="s">
        <v>264</v>
      </c>
      <c r="O153" s="47" t="n">
        <v>46128.7194212963</v>
      </c>
      <c r="P153" s="47" t="n">
        <v>46128.7385069444</v>
      </c>
    </row>
    <row r="154" customFormat="false" ht="15" hidden="false" customHeight="false" outlineLevel="0" collapsed="false">
      <c r="A154" s="45" t="n">
        <v>359</v>
      </c>
      <c r="B154" s="46" t="n">
        <v>46128</v>
      </c>
      <c r="C154" s="45" t="s">
        <v>145</v>
      </c>
      <c r="D154" s="45" t="s">
        <v>146</v>
      </c>
      <c r="E154" s="45" t="s">
        <v>223</v>
      </c>
      <c r="F154" s="45" t="s">
        <v>596</v>
      </c>
      <c r="G154" s="46" t="n">
        <v>46127</v>
      </c>
      <c r="H154" s="45" t="s">
        <v>168</v>
      </c>
      <c r="I154" s="45" t="s">
        <v>193</v>
      </c>
      <c r="J154" s="45" t="s">
        <v>597</v>
      </c>
      <c r="K154" s="45" t="n">
        <v>19.9</v>
      </c>
      <c r="L154" s="45" t="s">
        <v>263</v>
      </c>
      <c r="M154" s="45" t="s">
        <v>259</v>
      </c>
      <c r="N154" s="45" t="s">
        <v>264</v>
      </c>
      <c r="O154" s="47" t="n">
        <v>46128.7315740741</v>
      </c>
      <c r="P154" s="47" t="n">
        <v>46128.7453587963</v>
      </c>
    </row>
    <row r="155" customFormat="false" ht="15" hidden="false" customHeight="false" outlineLevel="0" collapsed="false">
      <c r="A155" s="45" t="n">
        <v>358</v>
      </c>
      <c r="B155" s="46" t="n">
        <v>46128</v>
      </c>
      <c r="C155" s="45" t="s">
        <v>133</v>
      </c>
      <c r="D155" s="45" t="s">
        <v>134</v>
      </c>
      <c r="E155" s="45" t="s">
        <v>353</v>
      </c>
      <c r="F155" s="45" t="s">
        <v>594</v>
      </c>
      <c r="G155" s="46" t="n">
        <v>46127</v>
      </c>
      <c r="H155" s="45" t="s">
        <v>168</v>
      </c>
      <c r="I155" s="45" t="s">
        <v>191</v>
      </c>
      <c r="J155" s="45" t="s">
        <v>595</v>
      </c>
      <c r="K155" s="45" t="n">
        <v>0.4</v>
      </c>
      <c r="L155" s="45" t="s">
        <v>259</v>
      </c>
      <c r="M155" s="45" t="s">
        <v>259</v>
      </c>
      <c r="N155" s="45" t="s">
        <v>264</v>
      </c>
      <c r="O155" s="47" t="n">
        <v>46128.7390162037</v>
      </c>
      <c r="P155" s="47" t="n">
        <v>46128.7393171296</v>
      </c>
    </row>
    <row r="156" customFormat="false" ht="15" hidden="false" customHeight="false" outlineLevel="0" collapsed="false">
      <c r="A156" s="45" t="n">
        <v>360</v>
      </c>
      <c r="B156" s="46" t="n">
        <v>46128</v>
      </c>
      <c r="C156" s="45" t="s">
        <v>145</v>
      </c>
      <c r="D156" s="45" t="s">
        <v>146</v>
      </c>
      <c r="E156" s="45" t="s">
        <v>408</v>
      </c>
      <c r="F156" s="45" t="s">
        <v>598</v>
      </c>
      <c r="G156" s="46" t="n">
        <v>46127</v>
      </c>
      <c r="H156" s="45" t="s">
        <v>167</v>
      </c>
      <c r="I156" s="45" t="s">
        <v>176</v>
      </c>
      <c r="J156" s="45" t="s">
        <v>599</v>
      </c>
      <c r="K156" s="45" t="n">
        <v>14.8</v>
      </c>
      <c r="L156" s="45" t="s">
        <v>263</v>
      </c>
      <c r="M156" s="45" t="s">
        <v>259</v>
      </c>
      <c r="N156" s="45" t="s">
        <v>167</v>
      </c>
      <c r="O156" s="47" t="n">
        <v>46128.745787037</v>
      </c>
      <c r="P156" s="47" t="n">
        <v>46128.756099537</v>
      </c>
    </row>
    <row r="157" customFormat="false" ht="15" hidden="false" customHeight="false" outlineLevel="0" collapsed="false">
      <c r="A157" s="45" t="n">
        <v>365</v>
      </c>
      <c r="B157" s="46" t="n">
        <v>46128</v>
      </c>
      <c r="C157" s="45" t="s">
        <v>145</v>
      </c>
      <c r="D157" s="45" t="s">
        <v>146</v>
      </c>
      <c r="E157" s="45" t="s">
        <v>256</v>
      </c>
      <c r="F157" s="45" t="s">
        <v>600</v>
      </c>
      <c r="G157" s="46" t="n">
        <v>46127</v>
      </c>
      <c r="H157" s="45" t="s">
        <v>167</v>
      </c>
      <c r="I157" s="45" t="s">
        <v>175</v>
      </c>
      <c r="J157" s="45" t="s">
        <v>601</v>
      </c>
      <c r="K157" s="45" t="n">
        <v>1174.1</v>
      </c>
      <c r="L157" s="45" t="s">
        <v>263</v>
      </c>
      <c r="M157" s="45" t="s">
        <v>259</v>
      </c>
      <c r="N157" s="45" t="s">
        <v>167</v>
      </c>
      <c r="O157" s="47" t="n">
        <v>46128.7561574074</v>
      </c>
      <c r="P157" s="47" t="n">
        <v>46129.5715162037</v>
      </c>
    </row>
    <row r="158" customFormat="false" ht="15" hidden="false" customHeight="false" outlineLevel="0" collapsed="false">
      <c r="A158" s="45" t="n">
        <v>361</v>
      </c>
      <c r="B158" s="46" t="n">
        <v>46128</v>
      </c>
      <c r="C158" s="45" t="s">
        <v>131</v>
      </c>
      <c r="D158" s="45" t="s">
        <v>132</v>
      </c>
      <c r="E158" s="45" t="s">
        <v>218</v>
      </c>
      <c r="F158" s="45" t="s">
        <v>580</v>
      </c>
      <c r="G158" s="46" t="n">
        <v>46127</v>
      </c>
      <c r="H158" s="45" t="s">
        <v>167</v>
      </c>
      <c r="I158" s="45" t="s">
        <v>175</v>
      </c>
      <c r="J158" s="45" t="s">
        <v>602</v>
      </c>
      <c r="K158" s="45" t="n">
        <v>161.5</v>
      </c>
      <c r="L158" s="45" t="s">
        <v>263</v>
      </c>
      <c r="M158" s="45" t="s">
        <v>259</v>
      </c>
      <c r="N158" s="45" t="s">
        <v>167</v>
      </c>
      <c r="O158" s="47" t="n">
        <v>46128.8322453704</v>
      </c>
      <c r="P158" s="47" t="n">
        <v>46128.9443981482</v>
      </c>
    </row>
    <row r="159" customFormat="false" ht="15" hidden="false" customHeight="false" outlineLevel="0" collapsed="false">
      <c r="A159" s="45" t="n">
        <v>372</v>
      </c>
      <c r="B159" s="46" t="n">
        <v>46128</v>
      </c>
      <c r="C159" s="45" t="s">
        <v>131</v>
      </c>
      <c r="D159" s="45" t="s">
        <v>132</v>
      </c>
      <c r="E159" s="45" t="s">
        <v>577</v>
      </c>
      <c r="F159" s="45" t="s">
        <v>603</v>
      </c>
      <c r="G159" s="46" t="n">
        <v>46128</v>
      </c>
      <c r="H159" s="45" t="s">
        <v>167</v>
      </c>
      <c r="I159" s="45" t="s">
        <v>175</v>
      </c>
      <c r="J159" s="45" t="s">
        <v>604</v>
      </c>
      <c r="K159" s="45" t="n">
        <v>1294.5</v>
      </c>
      <c r="L159" s="45" t="s">
        <v>263</v>
      </c>
      <c r="M159" s="45" t="s">
        <v>259</v>
      </c>
      <c r="N159" s="45" t="s">
        <v>167</v>
      </c>
      <c r="O159" s="47" t="n">
        <v>46128.9444907407</v>
      </c>
      <c r="P159" s="47" t="n">
        <v>46129.8434837963</v>
      </c>
    </row>
    <row r="160" customFormat="false" ht="15" hidden="false" customHeight="false" outlineLevel="0" collapsed="false">
      <c r="A160" s="45" t="n">
        <v>363</v>
      </c>
      <c r="B160" s="46" t="n">
        <v>46129</v>
      </c>
      <c r="C160" s="45" t="s">
        <v>143</v>
      </c>
      <c r="D160" s="45" t="s">
        <v>144</v>
      </c>
      <c r="E160" s="45" t="s">
        <v>605</v>
      </c>
      <c r="F160" s="45" t="s">
        <v>606</v>
      </c>
      <c r="G160" s="46" t="n">
        <v>46127</v>
      </c>
      <c r="H160" s="45" t="s">
        <v>169</v>
      </c>
      <c r="I160" s="45"/>
      <c r="J160" s="45"/>
      <c r="K160" s="45" t="n">
        <v>0.4</v>
      </c>
      <c r="L160" s="45" t="s">
        <v>263</v>
      </c>
      <c r="M160" s="45" t="s">
        <v>259</v>
      </c>
      <c r="N160" s="45" t="s">
        <v>169</v>
      </c>
      <c r="O160" s="47" t="n">
        <v>46129.0471412037</v>
      </c>
      <c r="P160" s="47" t="n">
        <v>46129.0474189815</v>
      </c>
    </row>
    <row r="161" customFormat="false" ht="15" hidden="false" customHeight="false" outlineLevel="0" collapsed="false">
      <c r="A161" s="45" t="n">
        <v>364</v>
      </c>
      <c r="B161" s="46" t="n">
        <v>46129</v>
      </c>
      <c r="C161" s="45" t="s">
        <v>143</v>
      </c>
      <c r="D161" s="45" t="s">
        <v>144</v>
      </c>
      <c r="E161" s="45" t="s">
        <v>230</v>
      </c>
      <c r="F161" s="45" t="s">
        <v>562</v>
      </c>
      <c r="G161" s="46" t="n">
        <v>46127</v>
      </c>
      <c r="H161" s="45" t="s">
        <v>167</v>
      </c>
      <c r="I161" s="45" t="s">
        <v>175</v>
      </c>
      <c r="J161" s="45" t="s">
        <v>607</v>
      </c>
      <c r="K161" s="45" t="n">
        <v>7.4</v>
      </c>
      <c r="L161" s="45" t="s">
        <v>259</v>
      </c>
      <c r="M161" s="45" t="s">
        <v>259</v>
      </c>
      <c r="N161" s="45" t="s">
        <v>167</v>
      </c>
      <c r="O161" s="47" t="n">
        <v>46129.0474421296</v>
      </c>
      <c r="P161" s="47" t="n">
        <v>46129.0525925926</v>
      </c>
    </row>
    <row r="162" customFormat="false" ht="15" hidden="false" customHeight="false" outlineLevel="0" collapsed="false">
      <c r="A162" s="45" t="n">
        <v>366</v>
      </c>
      <c r="B162" s="46" t="n">
        <v>46129</v>
      </c>
      <c r="C162" s="45" t="s">
        <v>145</v>
      </c>
      <c r="D162" s="45" t="s">
        <v>146</v>
      </c>
      <c r="E162" s="45" t="s">
        <v>284</v>
      </c>
      <c r="F162" s="45" t="s">
        <v>608</v>
      </c>
      <c r="G162" s="46" t="n">
        <v>46127</v>
      </c>
      <c r="H162" s="45" t="s">
        <v>168</v>
      </c>
      <c r="I162" s="45" t="s">
        <v>192</v>
      </c>
      <c r="J162" s="45" t="s">
        <v>609</v>
      </c>
      <c r="K162" s="45" t="n">
        <v>26.1</v>
      </c>
      <c r="L162" s="45" t="s">
        <v>263</v>
      </c>
      <c r="M162" s="45" t="s">
        <v>259</v>
      </c>
      <c r="N162" s="45" t="s">
        <v>264</v>
      </c>
      <c r="O162" s="47" t="n">
        <v>46129.5730902778</v>
      </c>
      <c r="P162" s="47" t="n">
        <v>46129.5912384259</v>
      </c>
    </row>
    <row r="163" customFormat="false" ht="15" hidden="false" customHeight="false" outlineLevel="0" collapsed="false">
      <c r="A163" s="45" t="n">
        <v>367</v>
      </c>
      <c r="B163" s="46" t="n">
        <v>46129</v>
      </c>
      <c r="C163" s="45" t="s">
        <v>145</v>
      </c>
      <c r="D163" s="45" t="s">
        <v>146</v>
      </c>
      <c r="E163" s="45" t="s">
        <v>256</v>
      </c>
      <c r="F163" s="45" t="s">
        <v>610</v>
      </c>
      <c r="G163" s="46" t="n">
        <v>46127</v>
      </c>
      <c r="H163" s="45" t="s">
        <v>167</v>
      </c>
      <c r="I163" s="45" t="s">
        <v>177</v>
      </c>
      <c r="J163" s="45" t="s">
        <v>611</v>
      </c>
      <c r="K163" s="45" t="n">
        <v>12.2</v>
      </c>
      <c r="L163" s="45" t="s">
        <v>263</v>
      </c>
      <c r="M163" s="45" t="s">
        <v>259</v>
      </c>
      <c r="N163" s="45" t="s">
        <v>167</v>
      </c>
      <c r="O163" s="47" t="n">
        <v>46129.5912731482</v>
      </c>
      <c r="P163" s="47" t="n">
        <v>46129.5997222222</v>
      </c>
    </row>
    <row r="164" customFormat="false" ht="15" hidden="false" customHeight="false" outlineLevel="0" collapsed="false">
      <c r="A164" s="45" t="n">
        <v>368</v>
      </c>
      <c r="B164" s="46" t="n">
        <v>46129</v>
      </c>
      <c r="C164" s="45" t="s">
        <v>145</v>
      </c>
      <c r="D164" s="45" t="s">
        <v>146</v>
      </c>
      <c r="E164" s="45" t="s">
        <v>612</v>
      </c>
      <c r="F164" s="45" t="s">
        <v>613</v>
      </c>
      <c r="G164" s="46" t="n">
        <v>46127</v>
      </c>
      <c r="H164" s="45" t="s">
        <v>169</v>
      </c>
      <c r="I164" s="45"/>
      <c r="J164" s="45"/>
      <c r="K164" s="45" t="n">
        <v>23.9</v>
      </c>
      <c r="L164" s="45" t="s">
        <v>263</v>
      </c>
      <c r="M164" s="45" t="s">
        <v>259</v>
      </c>
      <c r="N164" s="45" t="s">
        <v>169</v>
      </c>
      <c r="O164" s="47" t="n">
        <v>46129.5997685185</v>
      </c>
      <c r="P164" s="47" t="n">
        <v>46129.6163657407</v>
      </c>
    </row>
    <row r="165" customFormat="false" ht="15" hidden="false" customHeight="false" outlineLevel="0" collapsed="false">
      <c r="A165" s="45" t="n">
        <v>369</v>
      </c>
      <c r="B165" s="46" t="n">
        <v>46129</v>
      </c>
      <c r="C165" s="45" t="s">
        <v>145</v>
      </c>
      <c r="D165" s="45" t="s">
        <v>146</v>
      </c>
      <c r="E165" s="45" t="s">
        <v>612</v>
      </c>
      <c r="F165" s="45" t="s">
        <v>614</v>
      </c>
      <c r="G165" s="46" t="n">
        <v>46128</v>
      </c>
      <c r="H165" s="45" t="s">
        <v>167</v>
      </c>
      <c r="I165" s="45" t="s">
        <v>175</v>
      </c>
      <c r="J165" s="45" t="s">
        <v>615</v>
      </c>
      <c r="K165" s="45" t="n">
        <v>6.1</v>
      </c>
      <c r="L165" s="45" t="s">
        <v>263</v>
      </c>
      <c r="M165" s="45" t="s">
        <v>259</v>
      </c>
      <c r="N165" s="45" t="s">
        <v>167</v>
      </c>
      <c r="O165" s="47" t="n">
        <v>46129.616400463</v>
      </c>
      <c r="P165" s="47" t="n">
        <v>46129.6206134259</v>
      </c>
    </row>
    <row r="166" customFormat="false" ht="15" hidden="false" customHeight="false" outlineLevel="0" collapsed="false">
      <c r="A166" s="45" t="n">
        <v>370</v>
      </c>
      <c r="B166" s="46" t="n">
        <v>46129</v>
      </c>
      <c r="C166" s="45" t="s">
        <v>145</v>
      </c>
      <c r="D166" s="45" t="s">
        <v>146</v>
      </c>
      <c r="E166" s="45" t="s">
        <v>612</v>
      </c>
      <c r="F166" s="45" t="s">
        <v>616</v>
      </c>
      <c r="G166" s="46" t="n">
        <v>46128</v>
      </c>
      <c r="H166" s="45" t="s">
        <v>168</v>
      </c>
      <c r="I166" s="45" t="s">
        <v>191</v>
      </c>
      <c r="J166" s="45" t="s">
        <v>617</v>
      </c>
      <c r="K166" s="45" t="n">
        <v>8.3</v>
      </c>
      <c r="L166" s="45" t="s">
        <v>263</v>
      </c>
      <c r="M166" s="45" t="s">
        <v>259</v>
      </c>
      <c r="N166" s="45" t="s">
        <v>264</v>
      </c>
      <c r="O166" s="47" t="n">
        <v>46129.6211111111</v>
      </c>
      <c r="P166" s="47" t="n">
        <v>46129.6269097222</v>
      </c>
    </row>
    <row r="167" customFormat="false" ht="15" hidden="false" customHeight="false" outlineLevel="0" collapsed="false">
      <c r="A167" s="45" t="n">
        <v>371</v>
      </c>
      <c r="B167" s="46" t="n">
        <v>46129</v>
      </c>
      <c r="C167" s="45" t="s">
        <v>145</v>
      </c>
      <c r="D167" s="45" t="s">
        <v>146</v>
      </c>
      <c r="E167" s="45" t="s">
        <v>427</v>
      </c>
      <c r="F167" s="45" t="s">
        <v>618</v>
      </c>
      <c r="G167" s="46" t="n">
        <v>46129</v>
      </c>
      <c r="H167" s="45" t="s">
        <v>167</v>
      </c>
      <c r="I167" s="45" t="s">
        <v>175</v>
      </c>
      <c r="J167" s="45" t="s">
        <v>619</v>
      </c>
      <c r="K167" s="45" t="n">
        <v>6.4</v>
      </c>
      <c r="L167" s="45" t="s">
        <v>263</v>
      </c>
      <c r="M167" s="45" t="s">
        <v>259</v>
      </c>
      <c r="N167" s="45" t="s">
        <v>167</v>
      </c>
      <c r="O167" s="47" t="n">
        <v>46129.7180092593</v>
      </c>
      <c r="P167" s="47" t="n">
        <v>46129.7224537037</v>
      </c>
    </row>
    <row r="168" customFormat="false" ht="15" hidden="false" customHeight="false" outlineLevel="0" collapsed="false">
      <c r="A168" s="45" t="n">
        <v>373</v>
      </c>
      <c r="B168" s="46" t="n">
        <v>46129</v>
      </c>
      <c r="C168" s="45" t="s">
        <v>135</v>
      </c>
      <c r="D168" s="45" t="s">
        <v>136</v>
      </c>
      <c r="E168" s="45" t="s">
        <v>226</v>
      </c>
      <c r="F168" s="45" t="s">
        <v>620</v>
      </c>
      <c r="G168" s="46" t="n">
        <v>46127</v>
      </c>
      <c r="H168" s="45" t="s">
        <v>167</v>
      </c>
      <c r="I168" s="45" t="s">
        <v>175</v>
      </c>
      <c r="J168" s="45" t="s">
        <v>621</v>
      </c>
      <c r="K168" s="45" t="n">
        <v>8.8</v>
      </c>
      <c r="L168" s="45" t="s">
        <v>263</v>
      </c>
      <c r="M168" s="45" t="s">
        <v>259</v>
      </c>
      <c r="N168" s="45" t="s">
        <v>167</v>
      </c>
      <c r="O168" s="47" t="n">
        <v>46129.8638773148</v>
      </c>
      <c r="P168" s="47" t="n">
        <v>46129.8700115741</v>
      </c>
    </row>
    <row r="169" customFormat="false" ht="15" hidden="false" customHeight="false" outlineLevel="0" collapsed="false">
      <c r="A169" s="45" t="n">
        <v>374</v>
      </c>
      <c r="B169" s="46" t="n">
        <v>46129</v>
      </c>
      <c r="C169" s="45" t="s">
        <v>135</v>
      </c>
      <c r="D169" s="45" t="s">
        <v>136</v>
      </c>
      <c r="E169" s="45" t="s">
        <v>475</v>
      </c>
      <c r="F169" s="45" t="s">
        <v>622</v>
      </c>
      <c r="G169" s="46" t="n">
        <v>46127</v>
      </c>
      <c r="H169" s="45" t="s">
        <v>169</v>
      </c>
      <c r="I169" s="45"/>
      <c r="J169" s="45"/>
      <c r="K169" s="45" t="n">
        <v>1.2</v>
      </c>
      <c r="L169" s="45" t="s">
        <v>263</v>
      </c>
      <c r="M169" s="45" t="s">
        <v>259</v>
      </c>
      <c r="N169" s="45" t="s">
        <v>169</v>
      </c>
      <c r="O169" s="47" t="n">
        <v>46129.8700694444</v>
      </c>
      <c r="P169" s="47" t="n">
        <v>46129.8709143519</v>
      </c>
    </row>
    <row r="170" customFormat="false" ht="15" hidden="false" customHeight="false" outlineLevel="0" collapsed="false">
      <c r="A170" s="45" t="n">
        <v>375</v>
      </c>
      <c r="B170" s="46" t="n">
        <v>46129</v>
      </c>
      <c r="C170" s="45" t="s">
        <v>135</v>
      </c>
      <c r="D170" s="45" t="s">
        <v>136</v>
      </c>
      <c r="E170" s="45" t="s">
        <v>242</v>
      </c>
      <c r="F170" s="45" t="s">
        <v>623</v>
      </c>
      <c r="G170" s="46" t="n">
        <v>46127</v>
      </c>
      <c r="H170" s="45" t="s">
        <v>168</v>
      </c>
      <c r="I170" s="45" t="s">
        <v>192</v>
      </c>
      <c r="J170" s="45" t="s">
        <v>624</v>
      </c>
      <c r="K170" s="45" t="n">
        <v>4.7</v>
      </c>
      <c r="L170" s="45" t="s">
        <v>263</v>
      </c>
      <c r="M170" s="45" t="s">
        <v>259</v>
      </c>
      <c r="N170" s="45" t="s">
        <v>264</v>
      </c>
      <c r="O170" s="47" t="n">
        <v>46129.8713541667</v>
      </c>
      <c r="P170" s="47" t="n">
        <v>46129.8745833333</v>
      </c>
    </row>
    <row r="171" customFormat="false" ht="15" hidden="false" customHeight="false" outlineLevel="0" collapsed="false">
      <c r="A171" s="45" t="n">
        <v>378</v>
      </c>
      <c r="B171" s="46" t="n">
        <v>46129</v>
      </c>
      <c r="C171" s="45" t="s">
        <v>135</v>
      </c>
      <c r="D171" s="45" t="s">
        <v>136</v>
      </c>
      <c r="E171" s="45" t="s">
        <v>492</v>
      </c>
      <c r="F171" s="45" t="s">
        <v>625</v>
      </c>
      <c r="G171" s="46" t="n">
        <v>46127</v>
      </c>
      <c r="H171" s="45" t="s">
        <v>169</v>
      </c>
      <c r="I171" s="45"/>
      <c r="J171" s="45"/>
      <c r="K171" s="45" t="n">
        <v>8.2</v>
      </c>
      <c r="L171" s="45" t="s">
        <v>263</v>
      </c>
      <c r="M171" s="45" t="s">
        <v>259</v>
      </c>
      <c r="N171" s="45" t="s">
        <v>169</v>
      </c>
      <c r="O171" s="47" t="n">
        <v>46129.8746527778</v>
      </c>
      <c r="P171" s="47" t="n">
        <v>46129.8803125</v>
      </c>
    </row>
    <row r="172" customFormat="false" ht="15" hidden="false" customHeight="false" outlineLevel="0" collapsed="false">
      <c r="A172" s="45" t="n">
        <v>376</v>
      </c>
      <c r="B172" s="46" t="n">
        <v>46129</v>
      </c>
      <c r="C172" s="45" t="s">
        <v>137</v>
      </c>
      <c r="D172" s="45" t="s">
        <v>138</v>
      </c>
      <c r="E172" s="45" t="s">
        <v>449</v>
      </c>
      <c r="F172" s="45" t="s">
        <v>626</v>
      </c>
      <c r="G172" s="46" t="n">
        <v>46129</v>
      </c>
      <c r="H172" s="45" t="s">
        <v>168</v>
      </c>
      <c r="I172" s="45" t="s">
        <v>191</v>
      </c>
      <c r="J172" s="45" t="s">
        <v>627</v>
      </c>
      <c r="K172" s="45" t="n">
        <v>1.3</v>
      </c>
      <c r="L172" s="45" t="s">
        <v>263</v>
      </c>
      <c r="M172" s="45" t="s">
        <v>259</v>
      </c>
      <c r="N172" s="45" t="s">
        <v>264</v>
      </c>
      <c r="O172" s="47" t="n">
        <v>46129.8755787037</v>
      </c>
      <c r="P172" s="47" t="n">
        <v>46129.8765046296</v>
      </c>
    </row>
    <row r="173" customFormat="false" ht="15" hidden="false" customHeight="false" outlineLevel="0" collapsed="false">
      <c r="A173" s="45" t="n">
        <v>377</v>
      </c>
      <c r="B173" s="46" t="n">
        <v>46129</v>
      </c>
      <c r="C173" s="45" t="s">
        <v>137</v>
      </c>
      <c r="D173" s="45" t="s">
        <v>138</v>
      </c>
      <c r="E173" s="45" t="s">
        <v>453</v>
      </c>
      <c r="F173" s="45" t="s">
        <v>628</v>
      </c>
      <c r="G173" s="46" t="n">
        <v>46128</v>
      </c>
      <c r="H173" s="45" t="s">
        <v>57</v>
      </c>
      <c r="I173" s="45" t="s">
        <v>200</v>
      </c>
      <c r="J173" s="45" t="s">
        <v>445</v>
      </c>
      <c r="K173" s="45" t="n">
        <v>2.6</v>
      </c>
      <c r="L173" s="45" t="s">
        <v>263</v>
      </c>
      <c r="M173" s="45" t="s">
        <v>259</v>
      </c>
      <c r="N173" s="45" t="s">
        <v>57</v>
      </c>
      <c r="O173" s="47" t="n">
        <v>46129.8765393519</v>
      </c>
      <c r="P173" s="47" t="n">
        <v>46129.8783217593</v>
      </c>
    </row>
    <row r="174" customFormat="false" ht="15" hidden="false" customHeight="false" outlineLevel="0" collapsed="false">
      <c r="A174" s="45" t="n">
        <v>379</v>
      </c>
      <c r="B174" s="46" t="n">
        <v>46129</v>
      </c>
      <c r="C174" s="45" t="s">
        <v>135</v>
      </c>
      <c r="D174" s="45" t="s">
        <v>136</v>
      </c>
      <c r="E174" s="45" t="s">
        <v>242</v>
      </c>
      <c r="F174" s="45" t="s">
        <v>629</v>
      </c>
      <c r="G174" s="46" t="n">
        <v>46126</v>
      </c>
      <c r="H174" s="45" t="s">
        <v>57</v>
      </c>
      <c r="I174" s="45" t="s">
        <v>200</v>
      </c>
      <c r="J174" s="45" t="s">
        <v>630</v>
      </c>
      <c r="K174" s="45" t="n">
        <v>6.3</v>
      </c>
      <c r="L174" s="45" t="s">
        <v>263</v>
      </c>
      <c r="M174" s="45" t="s">
        <v>259</v>
      </c>
      <c r="N174" s="45" t="s">
        <v>57</v>
      </c>
      <c r="O174" s="47" t="n">
        <v>46129.9485185185</v>
      </c>
      <c r="P174" s="47" t="n">
        <v>46129.9528819445</v>
      </c>
    </row>
    <row r="175" customFormat="false" ht="15" hidden="false" customHeight="false" outlineLevel="0" collapsed="false">
      <c r="A175" s="45" t="n">
        <v>380</v>
      </c>
      <c r="B175" s="46" t="n">
        <v>46129</v>
      </c>
      <c r="C175" s="45" t="s">
        <v>135</v>
      </c>
      <c r="D175" s="45" t="s">
        <v>136</v>
      </c>
      <c r="E175" s="45" t="s">
        <v>242</v>
      </c>
      <c r="F175" s="45" t="s">
        <v>631</v>
      </c>
      <c r="G175" s="46" t="n">
        <v>46126</v>
      </c>
      <c r="H175" s="45" t="s">
        <v>167</v>
      </c>
      <c r="I175" s="45" t="s">
        <v>175</v>
      </c>
      <c r="J175" s="45" t="s">
        <v>632</v>
      </c>
      <c r="K175" s="45" t="n">
        <v>6.6</v>
      </c>
      <c r="L175" s="45" t="s">
        <v>263</v>
      </c>
      <c r="M175" s="45" t="s">
        <v>259</v>
      </c>
      <c r="N175" s="45" t="s">
        <v>167</v>
      </c>
      <c r="O175" s="47" t="n">
        <v>46129.953125</v>
      </c>
      <c r="P175" s="47" t="n">
        <v>46129.9576851852</v>
      </c>
    </row>
    <row r="176" customFormat="false" ht="15" hidden="false" customHeight="false" outlineLevel="0" collapsed="false">
      <c r="A176" s="45" t="n">
        <v>381</v>
      </c>
      <c r="B176" s="46" t="n">
        <v>46129</v>
      </c>
      <c r="C176" s="45" t="s">
        <v>143</v>
      </c>
      <c r="D176" s="45" t="s">
        <v>144</v>
      </c>
      <c r="E176" s="45" t="s">
        <v>234</v>
      </c>
      <c r="F176" s="45" t="s">
        <v>633</v>
      </c>
      <c r="G176" s="46" t="n">
        <v>46129</v>
      </c>
      <c r="H176" s="45" t="s">
        <v>168</v>
      </c>
      <c r="I176" s="45" t="s">
        <v>197</v>
      </c>
      <c r="J176" s="45" t="s">
        <v>634</v>
      </c>
      <c r="K176" s="45" t="n">
        <v>2.4</v>
      </c>
      <c r="L176" s="45" t="s">
        <v>263</v>
      </c>
      <c r="M176" s="45" t="s">
        <v>259</v>
      </c>
      <c r="N176" s="45" t="s">
        <v>264</v>
      </c>
      <c r="O176" s="47" t="n">
        <v>46129.9674189815</v>
      </c>
      <c r="P176" s="47" t="n">
        <v>46129.9691087963</v>
      </c>
    </row>
    <row r="177" customFormat="false" ht="15" hidden="false" customHeight="false" outlineLevel="0" collapsed="false">
      <c r="A177" s="45" t="n">
        <v>382</v>
      </c>
      <c r="B177" s="46" t="n">
        <v>46129</v>
      </c>
      <c r="C177" s="45" t="s">
        <v>143</v>
      </c>
      <c r="D177" s="45" t="s">
        <v>144</v>
      </c>
      <c r="E177" s="45" t="s">
        <v>230</v>
      </c>
      <c r="F177" s="45" t="s">
        <v>635</v>
      </c>
      <c r="G177" s="46" t="n">
        <v>46129</v>
      </c>
      <c r="H177" s="45" t="s">
        <v>167</v>
      </c>
      <c r="I177" s="45" t="s">
        <v>175</v>
      </c>
      <c r="J177" s="45" t="s">
        <v>636</v>
      </c>
      <c r="K177" s="45" t="n">
        <v>7.1</v>
      </c>
      <c r="L177" s="45" t="s">
        <v>263</v>
      </c>
      <c r="M177" s="45" t="s">
        <v>259</v>
      </c>
      <c r="N177" s="45" t="s">
        <v>167</v>
      </c>
      <c r="O177" s="47" t="n">
        <v>46129.9691435185</v>
      </c>
      <c r="P177" s="47" t="n">
        <v>46129.9740625</v>
      </c>
    </row>
    <row r="178" customFormat="false" ht="15" hidden="false" customHeight="false" outlineLevel="0" collapsed="false">
      <c r="A178" s="45" t="n">
        <v>383</v>
      </c>
      <c r="B178" s="46" t="n">
        <v>46129</v>
      </c>
      <c r="C178" s="45" t="s">
        <v>143</v>
      </c>
      <c r="D178" s="45" t="s">
        <v>144</v>
      </c>
      <c r="E178" s="45" t="s">
        <v>234</v>
      </c>
      <c r="F178" s="45" t="s">
        <v>637</v>
      </c>
      <c r="G178" s="46" t="n">
        <v>46129</v>
      </c>
      <c r="H178" s="45" t="s">
        <v>168</v>
      </c>
      <c r="I178" s="45" t="s">
        <v>197</v>
      </c>
      <c r="J178" s="45" t="s">
        <v>638</v>
      </c>
      <c r="K178" s="45" t="n">
        <v>3.5</v>
      </c>
      <c r="L178" s="45" t="s">
        <v>263</v>
      </c>
      <c r="M178" s="45" t="s">
        <v>259</v>
      </c>
      <c r="N178" s="45" t="s">
        <v>264</v>
      </c>
      <c r="O178" s="47" t="n">
        <v>46129.9740972222</v>
      </c>
      <c r="P178" s="47" t="n">
        <v>46129.9764930556</v>
      </c>
    </row>
    <row r="179" customFormat="false" ht="15" hidden="false" customHeight="false" outlineLevel="0" collapsed="false">
      <c r="A179" s="45" t="n">
        <v>384</v>
      </c>
      <c r="B179" s="46" t="n">
        <v>46129</v>
      </c>
      <c r="C179" s="45" t="s">
        <v>135</v>
      </c>
      <c r="D179" s="45" t="s">
        <v>136</v>
      </c>
      <c r="E179" s="45" t="s">
        <v>492</v>
      </c>
      <c r="F179" s="45" t="s">
        <v>639</v>
      </c>
      <c r="G179" s="46" t="n">
        <v>46126</v>
      </c>
      <c r="H179" s="45" t="s">
        <v>167</v>
      </c>
      <c r="I179" s="45" t="s">
        <v>175</v>
      </c>
      <c r="J179" s="45" t="s">
        <v>640</v>
      </c>
      <c r="K179" s="45" t="n">
        <v>0.8</v>
      </c>
      <c r="L179" s="45" t="s">
        <v>263</v>
      </c>
      <c r="M179" s="45" t="s">
        <v>259</v>
      </c>
      <c r="N179" s="45" t="s">
        <v>167</v>
      </c>
      <c r="O179" s="47" t="n">
        <v>46129.9806018519</v>
      </c>
      <c r="P179" s="47" t="n">
        <v>46129.9811342593</v>
      </c>
    </row>
    <row r="180" customFormat="false" ht="15" hidden="false" customHeight="false" outlineLevel="0" collapsed="false">
      <c r="A180" s="45" t="n">
        <v>385</v>
      </c>
      <c r="B180" s="46" t="n">
        <v>46132</v>
      </c>
      <c r="C180" s="45" t="s">
        <v>145</v>
      </c>
      <c r="D180" s="45" t="s">
        <v>146</v>
      </c>
      <c r="E180" s="45" t="s">
        <v>612</v>
      </c>
      <c r="F180" s="45" t="s">
        <v>641</v>
      </c>
      <c r="G180" s="46" t="n">
        <v>46129</v>
      </c>
      <c r="H180" s="45" t="s">
        <v>167</v>
      </c>
      <c r="I180" s="45" t="s">
        <v>176</v>
      </c>
      <c r="J180" s="45" t="s">
        <v>642</v>
      </c>
      <c r="K180" s="45" t="n">
        <v>29.2</v>
      </c>
      <c r="L180" s="45" t="s">
        <v>263</v>
      </c>
      <c r="M180" s="45" t="s">
        <v>259</v>
      </c>
      <c r="N180" s="45" t="s">
        <v>167</v>
      </c>
      <c r="O180" s="47" t="n">
        <v>46132.6012037037</v>
      </c>
      <c r="P180" s="47" t="n">
        <v>46132.6214814815</v>
      </c>
    </row>
    <row r="181" customFormat="false" ht="15" hidden="false" customHeight="false" outlineLevel="0" collapsed="false">
      <c r="A181" s="45" t="n">
        <v>386</v>
      </c>
      <c r="B181" s="46" t="n">
        <v>46132</v>
      </c>
      <c r="C181" s="45" t="s">
        <v>131</v>
      </c>
      <c r="D181" s="45" t="s">
        <v>132</v>
      </c>
      <c r="E181" s="45" t="s">
        <v>218</v>
      </c>
      <c r="F181" s="45" t="s">
        <v>643</v>
      </c>
      <c r="G181" s="46" t="n">
        <v>46129</v>
      </c>
      <c r="H181" s="45" t="s">
        <v>167</v>
      </c>
      <c r="I181" s="45" t="s">
        <v>175</v>
      </c>
      <c r="J181" s="45" t="s">
        <v>644</v>
      </c>
      <c r="K181" s="45" t="n">
        <v>1.1</v>
      </c>
      <c r="L181" s="45" t="s">
        <v>263</v>
      </c>
      <c r="M181" s="45" t="s">
        <v>259</v>
      </c>
      <c r="N181" s="45" t="s">
        <v>167</v>
      </c>
      <c r="O181" s="47" t="n">
        <v>46132.6243981482</v>
      </c>
      <c r="P181" s="47" t="n">
        <v>46132.625150463</v>
      </c>
    </row>
    <row r="182" customFormat="false" ht="15" hidden="false" customHeight="false" outlineLevel="0" collapsed="false">
      <c r="A182" s="45" t="n">
        <v>387</v>
      </c>
      <c r="B182" s="46" t="n">
        <v>46132</v>
      </c>
      <c r="C182" s="45" t="s">
        <v>131</v>
      </c>
      <c r="D182" s="45" t="s">
        <v>132</v>
      </c>
      <c r="E182" s="45" t="s">
        <v>218</v>
      </c>
      <c r="F182" s="45" t="s">
        <v>645</v>
      </c>
      <c r="G182" s="46" t="n">
        <v>46129</v>
      </c>
      <c r="H182" s="45" t="s">
        <v>167</v>
      </c>
      <c r="I182" s="45" t="s">
        <v>175</v>
      </c>
      <c r="J182" s="45" t="s">
        <v>646</v>
      </c>
      <c r="K182" s="45" t="n">
        <v>2.1</v>
      </c>
      <c r="L182" s="45" t="s">
        <v>263</v>
      </c>
      <c r="M182" s="45" t="s">
        <v>259</v>
      </c>
      <c r="N182" s="45" t="s">
        <v>167</v>
      </c>
      <c r="O182" s="47" t="n">
        <v>46132.625162037</v>
      </c>
      <c r="P182" s="47" t="n">
        <v>46132.6266087963</v>
      </c>
    </row>
    <row r="183" customFormat="false" ht="15" hidden="false" customHeight="false" outlineLevel="0" collapsed="false">
      <c r="A183" s="45" t="n">
        <v>388</v>
      </c>
      <c r="B183" s="46" t="n">
        <v>46132</v>
      </c>
      <c r="C183" s="45" t="s">
        <v>131</v>
      </c>
      <c r="D183" s="45" t="s">
        <v>132</v>
      </c>
      <c r="E183" s="45" t="s">
        <v>218</v>
      </c>
      <c r="F183" s="45" t="s">
        <v>647</v>
      </c>
      <c r="G183" s="46" t="n">
        <v>46129</v>
      </c>
      <c r="H183" s="45" t="s">
        <v>167</v>
      </c>
      <c r="I183" s="45" t="s">
        <v>175</v>
      </c>
      <c r="J183" s="45" t="s">
        <v>648</v>
      </c>
      <c r="K183" s="45" t="n">
        <v>4.2</v>
      </c>
      <c r="L183" s="45" t="s">
        <v>263</v>
      </c>
      <c r="M183" s="45" t="s">
        <v>259</v>
      </c>
      <c r="N183" s="45" t="s">
        <v>167</v>
      </c>
      <c r="O183" s="47" t="n">
        <v>46132.6266435185</v>
      </c>
      <c r="P183" s="47" t="n">
        <v>46132.629525463</v>
      </c>
    </row>
    <row r="184" customFormat="false" ht="15" hidden="false" customHeight="false" outlineLevel="0" collapsed="false">
      <c r="A184" s="45" t="n">
        <v>389</v>
      </c>
      <c r="B184" s="46" t="n">
        <v>46132</v>
      </c>
      <c r="C184" s="45" t="s">
        <v>133</v>
      </c>
      <c r="D184" s="45" t="s">
        <v>134</v>
      </c>
      <c r="E184" s="45" t="s">
        <v>219</v>
      </c>
      <c r="F184" s="45" t="s">
        <v>649</v>
      </c>
      <c r="G184" s="46" t="n">
        <v>46128</v>
      </c>
      <c r="H184" s="45" t="s">
        <v>57</v>
      </c>
      <c r="I184" s="45" t="s">
        <v>201</v>
      </c>
      <c r="J184" s="45" t="s">
        <v>650</v>
      </c>
      <c r="K184" s="45" t="n">
        <v>0</v>
      </c>
      <c r="L184" s="45" t="s">
        <v>263</v>
      </c>
      <c r="M184" s="45" t="s">
        <v>259</v>
      </c>
      <c r="N184" s="45" t="s">
        <v>57</v>
      </c>
      <c r="O184" s="47" t="n">
        <v>46132.711099537</v>
      </c>
      <c r="P184" s="47" t="n">
        <v>46132.7111226852</v>
      </c>
    </row>
    <row r="185" customFormat="false" ht="15" hidden="false" customHeight="false" outlineLevel="0" collapsed="false">
      <c r="A185" s="45" t="n">
        <v>390</v>
      </c>
      <c r="B185" s="46" t="n">
        <v>46132</v>
      </c>
      <c r="C185" s="45" t="s">
        <v>133</v>
      </c>
      <c r="D185" s="45" t="s">
        <v>134</v>
      </c>
      <c r="E185" s="45" t="s">
        <v>350</v>
      </c>
      <c r="F185" s="45" t="s">
        <v>651</v>
      </c>
      <c r="G185" s="46" t="n">
        <v>46128</v>
      </c>
      <c r="H185" s="45" t="s">
        <v>169</v>
      </c>
      <c r="I185" s="45"/>
      <c r="J185" s="45"/>
      <c r="K185" s="45" t="n">
        <v>54.2</v>
      </c>
      <c r="L185" s="45" t="s">
        <v>263</v>
      </c>
      <c r="M185" s="45" t="s">
        <v>259</v>
      </c>
      <c r="N185" s="45" t="s">
        <v>169</v>
      </c>
      <c r="O185" s="47" t="n">
        <v>46132.7111689815</v>
      </c>
      <c r="P185" s="47" t="n">
        <v>46132.7488194444</v>
      </c>
    </row>
    <row r="186" customFormat="false" ht="15" hidden="false" customHeight="false" outlineLevel="0" collapsed="false">
      <c r="A186" s="45" t="n">
        <v>391</v>
      </c>
      <c r="B186" s="46" t="n">
        <v>46132</v>
      </c>
      <c r="C186" s="45" t="s">
        <v>133</v>
      </c>
      <c r="D186" s="45" t="s">
        <v>134</v>
      </c>
      <c r="E186" s="45" t="s">
        <v>558</v>
      </c>
      <c r="F186" s="45" t="s">
        <v>652</v>
      </c>
      <c r="G186" s="46" t="n">
        <v>46128</v>
      </c>
      <c r="H186" s="45" t="s">
        <v>168</v>
      </c>
      <c r="I186" s="45" t="s">
        <v>191</v>
      </c>
      <c r="J186" s="45" t="s">
        <v>653</v>
      </c>
      <c r="K186" s="45" t="n">
        <v>155.7</v>
      </c>
      <c r="L186" s="45" t="s">
        <v>263</v>
      </c>
      <c r="M186" s="45" t="s">
        <v>259</v>
      </c>
      <c r="N186" s="45" t="s">
        <v>264</v>
      </c>
      <c r="O186" s="47" t="n">
        <v>46132.7488657407</v>
      </c>
      <c r="P186" s="47" t="n">
        <v>46132.8570023148</v>
      </c>
    </row>
    <row r="187" customFormat="false" ht="15" hidden="false" customHeight="false" outlineLevel="0" collapsed="false">
      <c r="A187" s="45" t="n">
        <v>392</v>
      </c>
      <c r="B187" s="46" t="n">
        <v>46132</v>
      </c>
      <c r="C187" s="45" t="s">
        <v>137</v>
      </c>
      <c r="D187" s="45" t="s">
        <v>138</v>
      </c>
      <c r="E187" s="45" t="s">
        <v>496</v>
      </c>
      <c r="F187" s="45" t="s">
        <v>654</v>
      </c>
      <c r="G187" s="46" t="n">
        <v>46129</v>
      </c>
      <c r="H187" s="45" t="s">
        <v>167</v>
      </c>
      <c r="I187" s="45" t="s">
        <v>175</v>
      </c>
      <c r="J187" s="45" t="s">
        <v>655</v>
      </c>
      <c r="K187" s="45" t="n">
        <v>0.9</v>
      </c>
      <c r="L187" s="45" t="s">
        <v>263</v>
      </c>
      <c r="M187" s="45" t="s">
        <v>259</v>
      </c>
      <c r="N187" s="45" t="s">
        <v>167</v>
      </c>
      <c r="O187" s="47" t="n">
        <v>46132.8684606482</v>
      </c>
      <c r="P187" s="47" t="n">
        <v>46132.8690740741</v>
      </c>
    </row>
    <row r="188" customFormat="false" ht="15" hidden="false" customHeight="false" outlineLevel="0" collapsed="false">
      <c r="A188" s="45" t="n">
        <v>393</v>
      </c>
      <c r="B188" s="46" t="n">
        <v>46132</v>
      </c>
      <c r="C188" s="45" t="s">
        <v>137</v>
      </c>
      <c r="D188" s="45" t="s">
        <v>138</v>
      </c>
      <c r="E188" s="45" t="s">
        <v>496</v>
      </c>
      <c r="F188" s="45" t="s">
        <v>656</v>
      </c>
      <c r="G188" s="46" t="n">
        <v>46129</v>
      </c>
      <c r="H188" s="45" t="s">
        <v>167</v>
      </c>
      <c r="I188" s="45" t="s">
        <v>177</v>
      </c>
      <c r="J188" s="45" t="s">
        <v>657</v>
      </c>
      <c r="K188" s="45" t="n">
        <v>2.7</v>
      </c>
      <c r="L188" s="45" t="s">
        <v>263</v>
      </c>
      <c r="M188" s="45" t="s">
        <v>259</v>
      </c>
      <c r="N188" s="45" t="s">
        <v>167</v>
      </c>
      <c r="O188" s="47" t="n">
        <v>46132.8697916667</v>
      </c>
      <c r="P188" s="47" t="n">
        <v>46132.8716666667</v>
      </c>
    </row>
    <row r="189" customFormat="false" ht="15" hidden="false" customHeight="false" outlineLevel="0" collapsed="false">
      <c r="A189" s="45" t="n">
        <v>394</v>
      </c>
      <c r="B189" s="46" t="n">
        <v>46132</v>
      </c>
      <c r="C189" s="45" t="s">
        <v>137</v>
      </c>
      <c r="D189" s="45" t="s">
        <v>138</v>
      </c>
      <c r="E189" s="45" t="s">
        <v>449</v>
      </c>
      <c r="F189" s="45" t="s">
        <v>658</v>
      </c>
      <c r="G189" s="46" t="n">
        <v>46129</v>
      </c>
      <c r="H189" s="45" t="s">
        <v>168</v>
      </c>
      <c r="I189" s="45" t="s">
        <v>194</v>
      </c>
      <c r="J189" s="45" t="s">
        <v>659</v>
      </c>
      <c r="K189" s="45" t="n">
        <v>0.9</v>
      </c>
      <c r="L189" s="45" t="s">
        <v>263</v>
      </c>
      <c r="M189" s="45" t="s">
        <v>259</v>
      </c>
      <c r="N189" s="45" t="s">
        <v>264</v>
      </c>
      <c r="O189" s="47" t="n">
        <v>46132.871724537</v>
      </c>
      <c r="P189" s="47" t="n">
        <v>46132.8723726852</v>
      </c>
    </row>
    <row r="190" customFormat="false" ht="15" hidden="false" customHeight="false" outlineLevel="0" collapsed="false">
      <c r="A190" s="45" t="n">
        <v>395</v>
      </c>
      <c r="B190" s="46" t="n">
        <v>46132</v>
      </c>
      <c r="C190" s="45" t="s">
        <v>137</v>
      </c>
      <c r="D190" s="45" t="s">
        <v>138</v>
      </c>
      <c r="E190" s="45" t="s">
        <v>449</v>
      </c>
      <c r="F190" s="45" t="s">
        <v>660</v>
      </c>
      <c r="G190" s="46" t="n">
        <v>46129</v>
      </c>
      <c r="H190" s="45" t="s">
        <v>167</v>
      </c>
      <c r="I190" s="45" t="s">
        <v>182</v>
      </c>
      <c r="J190" s="45" t="s">
        <v>661</v>
      </c>
      <c r="K190" s="45" t="n">
        <v>2.2</v>
      </c>
      <c r="L190" s="45" t="s">
        <v>263</v>
      </c>
      <c r="M190" s="45" t="s">
        <v>259</v>
      </c>
      <c r="N190" s="45" t="s">
        <v>167</v>
      </c>
      <c r="O190" s="47" t="n">
        <v>46132.8724305556</v>
      </c>
      <c r="P190" s="47" t="n">
        <v>46132.8739814815</v>
      </c>
    </row>
    <row r="191" customFormat="false" ht="15" hidden="false" customHeight="false" outlineLevel="0" collapsed="false">
      <c r="A191" s="45" t="n">
        <v>396</v>
      </c>
      <c r="B191" s="46" t="n">
        <v>46132</v>
      </c>
      <c r="C191" s="45" t="s">
        <v>137</v>
      </c>
      <c r="D191" s="45" t="s">
        <v>138</v>
      </c>
      <c r="E191" s="45" t="s">
        <v>453</v>
      </c>
      <c r="F191" s="45" t="s">
        <v>662</v>
      </c>
      <c r="G191" s="46" t="n">
        <v>46129</v>
      </c>
      <c r="H191" s="45" t="s">
        <v>169</v>
      </c>
      <c r="I191" s="45"/>
      <c r="J191" s="45"/>
      <c r="K191" s="45" t="n">
        <v>0.3</v>
      </c>
      <c r="L191" s="45" t="s">
        <v>263</v>
      </c>
      <c r="M191" s="45" t="s">
        <v>259</v>
      </c>
      <c r="N191" s="45" t="s">
        <v>169</v>
      </c>
      <c r="O191" s="47" t="n">
        <v>46132.8747685185</v>
      </c>
      <c r="P191" s="47" t="n">
        <v>46132.8749652778</v>
      </c>
    </row>
    <row r="192" customFormat="false" ht="15" hidden="false" customHeight="false" outlineLevel="0" collapsed="false">
      <c r="A192" s="45" t="n">
        <v>397</v>
      </c>
      <c r="B192" s="46" t="n">
        <v>46132</v>
      </c>
      <c r="C192" s="45" t="s">
        <v>143</v>
      </c>
      <c r="D192" s="45" t="s">
        <v>144</v>
      </c>
      <c r="E192" s="45" t="s">
        <v>605</v>
      </c>
      <c r="F192" s="45" t="s">
        <v>663</v>
      </c>
      <c r="G192" s="46" t="n">
        <v>46129</v>
      </c>
      <c r="H192" s="45" t="s">
        <v>57</v>
      </c>
      <c r="I192" s="45" t="s">
        <v>202</v>
      </c>
      <c r="J192" s="45" t="s">
        <v>664</v>
      </c>
      <c r="K192" s="45" t="n">
        <v>0.2</v>
      </c>
      <c r="L192" s="45" t="s">
        <v>263</v>
      </c>
      <c r="M192" s="45" t="s">
        <v>259</v>
      </c>
      <c r="N192" s="45" t="s">
        <v>57</v>
      </c>
      <c r="O192" s="47" t="n">
        <v>46132.9656018519</v>
      </c>
      <c r="P192" s="47" t="n">
        <v>46132.965775463</v>
      </c>
    </row>
    <row r="193" customFormat="false" ht="15" hidden="false" customHeight="false" outlineLevel="0" collapsed="false">
      <c r="A193" s="45" t="n">
        <v>398</v>
      </c>
      <c r="B193" s="46" t="n">
        <v>46132</v>
      </c>
      <c r="C193" s="45" t="s">
        <v>143</v>
      </c>
      <c r="D193" s="45" t="s">
        <v>144</v>
      </c>
      <c r="E193" s="45" t="s">
        <v>385</v>
      </c>
      <c r="F193" s="45" t="s">
        <v>665</v>
      </c>
      <c r="G193" s="46" t="n">
        <v>46129</v>
      </c>
      <c r="H193" s="45" t="s">
        <v>167</v>
      </c>
      <c r="I193" s="45" t="s">
        <v>175</v>
      </c>
      <c r="J193" s="45" t="s">
        <v>666</v>
      </c>
      <c r="K193" s="45" t="n">
        <v>13.7</v>
      </c>
      <c r="L193" s="45" t="s">
        <v>263</v>
      </c>
      <c r="M193" s="45" t="s">
        <v>259</v>
      </c>
      <c r="N193" s="45" t="s">
        <v>167</v>
      </c>
      <c r="O193" s="47" t="n">
        <v>46132.9658101852</v>
      </c>
      <c r="P193" s="47" t="n">
        <v>46132.9752893519</v>
      </c>
    </row>
    <row r="194" customFormat="false" ht="15" hidden="false" customHeight="false" outlineLevel="0" collapsed="false">
      <c r="A194" s="45" t="n">
        <v>399</v>
      </c>
      <c r="B194" s="46" t="n">
        <v>46132</v>
      </c>
      <c r="C194" s="45" t="s">
        <v>143</v>
      </c>
      <c r="D194" s="45" t="s">
        <v>144</v>
      </c>
      <c r="E194" s="45" t="s">
        <v>230</v>
      </c>
      <c r="F194" s="45" t="s">
        <v>667</v>
      </c>
      <c r="G194" s="46" t="n">
        <v>46129</v>
      </c>
      <c r="H194" s="45" t="s">
        <v>167</v>
      </c>
      <c r="I194" s="45" t="s">
        <v>175</v>
      </c>
      <c r="J194" s="45" t="s">
        <v>668</v>
      </c>
      <c r="K194" s="45" t="n">
        <v>5.8</v>
      </c>
      <c r="L194" s="45" t="s">
        <v>263</v>
      </c>
      <c r="M194" s="45" t="s">
        <v>259</v>
      </c>
      <c r="N194" s="45" t="s">
        <v>167</v>
      </c>
      <c r="O194" s="47" t="n">
        <v>46132.9753240741</v>
      </c>
      <c r="P194" s="47" t="n">
        <v>46132.9793402778</v>
      </c>
    </row>
    <row r="195" customFormat="false" ht="15" hidden="false" customHeight="false" outlineLevel="0" collapsed="false">
      <c r="A195" s="45" t="n">
        <v>403</v>
      </c>
      <c r="B195" s="46" t="n">
        <v>46132</v>
      </c>
      <c r="C195" s="45" t="s">
        <v>143</v>
      </c>
      <c r="D195" s="45" t="s">
        <v>144</v>
      </c>
      <c r="E195" s="45" t="s">
        <v>669</v>
      </c>
      <c r="F195" s="45" t="s">
        <v>670</v>
      </c>
      <c r="G195" s="46" t="n">
        <v>46129</v>
      </c>
      <c r="H195" s="45" t="s">
        <v>169</v>
      </c>
      <c r="I195" s="45"/>
      <c r="J195" s="45"/>
      <c r="K195" s="45" t="n">
        <v>21.2</v>
      </c>
      <c r="L195" s="45" t="s">
        <v>263</v>
      </c>
      <c r="M195" s="45" t="s">
        <v>259</v>
      </c>
      <c r="N195" s="45" t="s">
        <v>169</v>
      </c>
      <c r="O195" s="47" t="n">
        <v>46132.9833680556</v>
      </c>
      <c r="P195" s="47" t="n">
        <v>46132.9980671296</v>
      </c>
    </row>
    <row r="196" customFormat="false" ht="15" hidden="false" customHeight="false" outlineLevel="0" collapsed="false">
      <c r="A196" s="45" t="n">
        <v>400</v>
      </c>
      <c r="B196" s="46" t="n">
        <v>46132</v>
      </c>
      <c r="C196" s="45" t="s">
        <v>135</v>
      </c>
      <c r="D196" s="45" t="s">
        <v>136</v>
      </c>
      <c r="E196" s="45" t="s">
        <v>236</v>
      </c>
      <c r="F196" s="45" t="s">
        <v>671</v>
      </c>
      <c r="G196" s="46" t="n">
        <v>46129</v>
      </c>
      <c r="H196" s="45" t="s">
        <v>169</v>
      </c>
      <c r="I196" s="45"/>
      <c r="J196" s="45"/>
      <c r="K196" s="45" t="n">
        <v>2.1</v>
      </c>
      <c r="L196" s="45" t="s">
        <v>263</v>
      </c>
      <c r="M196" s="45" t="s">
        <v>259</v>
      </c>
      <c r="N196" s="45" t="s">
        <v>169</v>
      </c>
      <c r="O196" s="47" t="n">
        <v>46132.9907986111</v>
      </c>
      <c r="P196" s="47" t="n">
        <v>46132.9922916667</v>
      </c>
    </row>
    <row r="197" customFormat="false" ht="15" hidden="false" customHeight="false" outlineLevel="0" collapsed="false">
      <c r="A197" s="45" t="n">
        <v>401</v>
      </c>
      <c r="B197" s="46" t="n">
        <v>46132</v>
      </c>
      <c r="C197" s="45" t="s">
        <v>135</v>
      </c>
      <c r="D197" s="45" t="s">
        <v>136</v>
      </c>
      <c r="E197" s="45" t="s">
        <v>239</v>
      </c>
      <c r="F197" s="45" t="s">
        <v>672</v>
      </c>
      <c r="G197" s="46" t="n">
        <v>46129</v>
      </c>
      <c r="H197" s="45" t="s">
        <v>168</v>
      </c>
      <c r="I197" s="45" t="s">
        <v>193</v>
      </c>
      <c r="J197" s="45" t="s">
        <v>673</v>
      </c>
      <c r="K197" s="45" t="n">
        <v>4.5</v>
      </c>
      <c r="L197" s="45" t="s">
        <v>263</v>
      </c>
      <c r="M197" s="45" t="s">
        <v>259</v>
      </c>
      <c r="N197" s="45" t="s">
        <v>264</v>
      </c>
      <c r="O197" s="47" t="n">
        <v>46132.9931597222</v>
      </c>
      <c r="P197" s="47" t="n">
        <v>46132.9962615741</v>
      </c>
    </row>
    <row r="198" customFormat="false" ht="15" hidden="false" customHeight="false" outlineLevel="0" collapsed="false">
      <c r="A198" s="45" t="n">
        <v>402</v>
      </c>
      <c r="B198" s="46" t="n">
        <v>46132</v>
      </c>
      <c r="C198" s="45" t="s">
        <v>135</v>
      </c>
      <c r="D198" s="45" t="s">
        <v>136</v>
      </c>
      <c r="E198" s="45" t="s">
        <v>236</v>
      </c>
      <c r="F198" s="45" t="s">
        <v>674</v>
      </c>
      <c r="G198" s="46" t="n">
        <v>46128</v>
      </c>
      <c r="H198" s="45" t="s">
        <v>169</v>
      </c>
      <c r="I198" s="45"/>
      <c r="J198" s="45"/>
      <c r="K198" s="45" t="n">
        <v>1.2</v>
      </c>
      <c r="L198" s="45" t="s">
        <v>263</v>
      </c>
      <c r="M198" s="45" t="s">
        <v>259</v>
      </c>
      <c r="N198" s="45" t="s">
        <v>169</v>
      </c>
      <c r="O198" s="47" t="n">
        <v>46132.9963657407</v>
      </c>
      <c r="P198" s="47" t="n">
        <v>46132.9971759259</v>
      </c>
    </row>
    <row r="199" customFormat="false" ht="15" hidden="false" customHeight="false" outlineLevel="0" collapsed="false">
      <c r="A199" s="45" t="n">
        <v>404</v>
      </c>
      <c r="B199" s="46" t="n">
        <v>46132</v>
      </c>
      <c r="C199" s="45" t="s">
        <v>135</v>
      </c>
      <c r="D199" s="45" t="s">
        <v>136</v>
      </c>
      <c r="E199" s="45" t="s">
        <v>492</v>
      </c>
      <c r="F199" s="45" t="s">
        <v>675</v>
      </c>
      <c r="G199" s="46" t="n">
        <v>46132</v>
      </c>
      <c r="H199" s="45" t="s">
        <v>167</v>
      </c>
      <c r="I199" s="45" t="s">
        <v>177</v>
      </c>
      <c r="J199" s="45" t="s">
        <v>676</v>
      </c>
      <c r="K199" s="45" t="n">
        <v>8.2</v>
      </c>
      <c r="L199" s="45" t="s">
        <v>263</v>
      </c>
      <c r="M199" s="45" t="s">
        <v>259</v>
      </c>
      <c r="N199" s="45" t="s">
        <v>167</v>
      </c>
      <c r="O199" s="47" t="n">
        <v>46132.9974189815</v>
      </c>
      <c r="P199" s="47" t="n">
        <v>46133.0031134259</v>
      </c>
    </row>
    <row r="200" customFormat="false" ht="15" hidden="false" customHeight="false" outlineLevel="0" collapsed="false">
      <c r="A200" s="45" t="n">
        <v>405</v>
      </c>
      <c r="B200" s="46" t="n">
        <v>46133</v>
      </c>
      <c r="C200" s="45" t="s">
        <v>145</v>
      </c>
      <c r="D200" s="45" t="s">
        <v>146</v>
      </c>
      <c r="E200" s="45" t="s">
        <v>223</v>
      </c>
      <c r="F200" s="45" t="s">
        <v>677</v>
      </c>
      <c r="G200" s="46" t="n">
        <v>46132</v>
      </c>
      <c r="H200" s="45" t="s">
        <v>168</v>
      </c>
      <c r="I200" s="45" t="s">
        <v>192</v>
      </c>
      <c r="J200" s="45" t="s">
        <v>678</v>
      </c>
      <c r="K200" s="45" t="n">
        <v>13.7</v>
      </c>
      <c r="L200" s="45" t="s">
        <v>263</v>
      </c>
      <c r="M200" s="45" t="s">
        <v>259</v>
      </c>
      <c r="N200" s="45" t="s">
        <v>264</v>
      </c>
      <c r="O200" s="47" t="n">
        <v>46133.6563657407</v>
      </c>
      <c r="P200" s="47" t="n">
        <v>46133.6658680556</v>
      </c>
    </row>
    <row r="201" customFormat="false" ht="15" hidden="false" customHeight="false" outlineLevel="0" collapsed="false">
      <c r="A201" s="45" t="n">
        <v>406</v>
      </c>
      <c r="B201" s="46" t="n">
        <v>46133</v>
      </c>
      <c r="C201" s="45" t="s">
        <v>145</v>
      </c>
      <c r="D201" s="45" t="s">
        <v>146</v>
      </c>
      <c r="E201" s="45" t="s">
        <v>223</v>
      </c>
      <c r="F201" s="45" t="s">
        <v>679</v>
      </c>
      <c r="G201" s="46" t="n">
        <v>46132</v>
      </c>
      <c r="H201" s="45" t="s">
        <v>57</v>
      </c>
      <c r="I201" s="45" t="s">
        <v>200</v>
      </c>
      <c r="J201" s="45" t="s">
        <v>680</v>
      </c>
      <c r="K201" s="45" t="n">
        <v>17.2</v>
      </c>
      <c r="L201" s="45" t="s">
        <v>263</v>
      </c>
      <c r="M201" s="45" t="s">
        <v>259</v>
      </c>
      <c r="N201" s="45" t="s">
        <v>57</v>
      </c>
      <c r="O201" s="47" t="n">
        <v>46133.6659722222</v>
      </c>
      <c r="P201" s="47" t="n">
        <v>46133.6779282407</v>
      </c>
    </row>
    <row r="202" customFormat="false" ht="15" hidden="false" customHeight="false" outlineLevel="0" collapsed="false">
      <c r="A202" s="45" t="n">
        <v>407</v>
      </c>
      <c r="B202" s="46" t="n">
        <v>46133</v>
      </c>
      <c r="C202" s="45" t="s">
        <v>145</v>
      </c>
      <c r="D202" s="45" t="s">
        <v>146</v>
      </c>
      <c r="E202" s="45" t="s">
        <v>223</v>
      </c>
      <c r="F202" s="45" t="s">
        <v>681</v>
      </c>
      <c r="G202" s="46" t="n">
        <v>46132</v>
      </c>
      <c r="H202" s="45" t="s">
        <v>168</v>
      </c>
      <c r="I202" s="45" t="s">
        <v>192</v>
      </c>
      <c r="J202" s="45" t="s">
        <v>682</v>
      </c>
      <c r="K202" s="45" t="n">
        <v>4.3</v>
      </c>
      <c r="L202" s="45" t="s">
        <v>263</v>
      </c>
      <c r="M202" s="45" t="s">
        <v>259</v>
      </c>
      <c r="N202" s="45" t="s">
        <v>264</v>
      </c>
      <c r="O202" s="47" t="n">
        <v>46133.6791435185</v>
      </c>
      <c r="P202" s="47" t="n">
        <v>46133.6821527778</v>
      </c>
    </row>
    <row r="203" customFormat="false" ht="15" hidden="false" customHeight="false" outlineLevel="0" collapsed="false">
      <c r="A203" s="45" t="n">
        <v>408</v>
      </c>
      <c r="B203" s="46" t="n">
        <v>46133</v>
      </c>
      <c r="C203" s="45" t="s">
        <v>145</v>
      </c>
      <c r="D203" s="45" t="s">
        <v>146</v>
      </c>
      <c r="E203" s="45" t="s">
        <v>683</v>
      </c>
      <c r="F203" s="45" t="s">
        <v>684</v>
      </c>
      <c r="G203" s="46" t="n">
        <v>46132</v>
      </c>
      <c r="H203" s="45" t="s">
        <v>169</v>
      </c>
      <c r="I203" s="45"/>
      <c r="J203" s="45"/>
      <c r="K203" s="45" t="n">
        <v>6.7</v>
      </c>
      <c r="L203" s="45" t="s">
        <v>263</v>
      </c>
      <c r="M203" s="45" t="s">
        <v>259</v>
      </c>
      <c r="N203" s="45" t="s">
        <v>169</v>
      </c>
      <c r="O203" s="47" t="n">
        <v>46133.6821875</v>
      </c>
      <c r="P203" s="47" t="n">
        <v>46133.6868634259</v>
      </c>
    </row>
    <row r="204" customFormat="false" ht="15" hidden="false" customHeight="false" outlineLevel="0" collapsed="false">
      <c r="A204" s="45" t="n">
        <v>410</v>
      </c>
      <c r="B204" s="46" t="n">
        <v>46133</v>
      </c>
      <c r="C204" s="45" t="s">
        <v>145</v>
      </c>
      <c r="D204" s="45" t="s">
        <v>146</v>
      </c>
      <c r="E204" s="45" t="s">
        <v>223</v>
      </c>
      <c r="F204" s="45" t="s">
        <v>685</v>
      </c>
      <c r="G204" s="46" t="n">
        <v>46133</v>
      </c>
      <c r="H204" s="45" t="s">
        <v>168</v>
      </c>
      <c r="I204" s="45" t="s">
        <v>197</v>
      </c>
      <c r="J204" s="45" t="s">
        <v>686</v>
      </c>
      <c r="K204" s="45" t="n">
        <v>234.1</v>
      </c>
      <c r="L204" s="45" t="s">
        <v>263</v>
      </c>
      <c r="M204" s="45" t="s">
        <v>259</v>
      </c>
      <c r="N204" s="45" t="s">
        <v>264</v>
      </c>
      <c r="O204" s="47" t="n">
        <v>46133.6869097222</v>
      </c>
      <c r="P204" s="47" t="n">
        <v>46133.8494791667</v>
      </c>
    </row>
    <row r="205" customFormat="false" ht="15" hidden="false" customHeight="false" outlineLevel="0" collapsed="false">
      <c r="A205" s="45" t="n">
        <v>409</v>
      </c>
      <c r="B205" s="46" t="n">
        <v>46133</v>
      </c>
      <c r="C205" s="45" t="s">
        <v>131</v>
      </c>
      <c r="D205" s="45" t="s">
        <v>132</v>
      </c>
      <c r="E205" s="45" t="s">
        <v>577</v>
      </c>
      <c r="F205" s="45" t="s">
        <v>687</v>
      </c>
      <c r="G205" s="46" t="n">
        <v>46132</v>
      </c>
      <c r="H205" s="45" t="s">
        <v>167</v>
      </c>
      <c r="I205" s="45" t="s">
        <v>175</v>
      </c>
      <c r="J205" s="45" t="s">
        <v>688</v>
      </c>
      <c r="K205" s="45" t="n">
        <v>1.7</v>
      </c>
      <c r="L205" s="45" t="s">
        <v>263</v>
      </c>
      <c r="M205" s="45" t="s">
        <v>259</v>
      </c>
      <c r="N205" s="45" t="s">
        <v>167</v>
      </c>
      <c r="O205" s="47" t="n">
        <v>46133.8372222222</v>
      </c>
      <c r="P205" s="47" t="n">
        <v>46133.8383796296</v>
      </c>
    </row>
    <row r="206" customFormat="false" ht="15" hidden="false" customHeight="false" outlineLevel="0" collapsed="false">
      <c r="A206" s="45" t="n">
        <v>411</v>
      </c>
      <c r="B206" s="46" t="n">
        <v>46133</v>
      </c>
      <c r="C206" s="45" t="s">
        <v>135</v>
      </c>
      <c r="D206" s="45" t="s">
        <v>136</v>
      </c>
      <c r="E206" s="45" t="s">
        <v>242</v>
      </c>
      <c r="F206" s="45" t="s">
        <v>689</v>
      </c>
      <c r="G206" s="46" t="n">
        <v>46132</v>
      </c>
      <c r="H206" s="45" t="s">
        <v>168</v>
      </c>
      <c r="I206" s="45" t="s">
        <v>191</v>
      </c>
      <c r="J206" s="45" t="s">
        <v>690</v>
      </c>
      <c r="K206" s="45" t="n">
        <v>2.9</v>
      </c>
      <c r="L206" s="45" t="s">
        <v>263</v>
      </c>
      <c r="M206" s="45" t="s">
        <v>259</v>
      </c>
      <c r="N206" s="45" t="s">
        <v>264</v>
      </c>
      <c r="O206" s="47" t="n">
        <v>46133.8881712963</v>
      </c>
      <c r="P206" s="47" t="n">
        <v>46133.890150463</v>
      </c>
    </row>
    <row r="207" customFormat="false" ht="15" hidden="false" customHeight="false" outlineLevel="0" collapsed="false">
      <c r="A207" s="45" t="n">
        <v>412</v>
      </c>
      <c r="B207" s="46" t="n">
        <v>46133</v>
      </c>
      <c r="C207" s="45" t="s">
        <v>143</v>
      </c>
      <c r="D207" s="45" t="s">
        <v>144</v>
      </c>
      <c r="E207" s="45" t="s">
        <v>385</v>
      </c>
      <c r="F207" s="45" t="s">
        <v>691</v>
      </c>
      <c r="G207" s="46" t="n">
        <v>46132</v>
      </c>
      <c r="H207" s="45" t="s">
        <v>167</v>
      </c>
      <c r="I207" s="45" t="s">
        <v>175</v>
      </c>
      <c r="J207" s="45" t="s">
        <v>692</v>
      </c>
      <c r="K207" s="45" t="n">
        <v>11.1</v>
      </c>
      <c r="L207" s="45" t="s">
        <v>263</v>
      </c>
      <c r="M207" s="45" t="s">
        <v>259</v>
      </c>
      <c r="N207" s="45" t="s">
        <v>167</v>
      </c>
      <c r="O207" s="47" t="n">
        <v>46133.9525347222</v>
      </c>
      <c r="P207" s="47" t="n">
        <v>46133.9602083333</v>
      </c>
    </row>
    <row r="208" customFormat="false" ht="15" hidden="false" customHeight="false" outlineLevel="0" collapsed="false">
      <c r="A208" s="45" t="n">
        <v>413</v>
      </c>
      <c r="B208" s="46" t="n">
        <v>46133</v>
      </c>
      <c r="C208" s="45" t="s">
        <v>143</v>
      </c>
      <c r="D208" s="45" t="s">
        <v>144</v>
      </c>
      <c r="E208" s="45" t="s">
        <v>372</v>
      </c>
      <c r="F208" s="45" t="s">
        <v>693</v>
      </c>
      <c r="G208" s="46" t="n">
        <v>46132</v>
      </c>
      <c r="H208" s="45" t="s">
        <v>167</v>
      </c>
      <c r="I208" s="45" t="s">
        <v>175</v>
      </c>
      <c r="J208" s="45" t="s">
        <v>694</v>
      </c>
      <c r="K208" s="45" t="n">
        <v>8.2</v>
      </c>
      <c r="L208" s="45" t="s">
        <v>263</v>
      </c>
      <c r="M208" s="45" t="s">
        <v>259</v>
      </c>
      <c r="N208" s="45" t="s">
        <v>167</v>
      </c>
      <c r="O208" s="47" t="n">
        <v>46133.9602662037</v>
      </c>
      <c r="P208" s="47" t="n">
        <v>46133.9659259259</v>
      </c>
    </row>
    <row r="209" customFormat="false" ht="15" hidden="false" customHeight="false" outlineLevel="0" collapsed="false">
      <c r="A209" s="45" t="n">
        <v>414</v>
      </c>
      <c r="B209" s="46" t="n">
        <v>46133</v>
      </c>
      <c r="C209" s="45" t="s">
        <v>143</v>
      </c>
      <c r="D209" s="45" t="s">
        <v>144</v>
      </c>
      <c r="E209" s="45" t="s">
        <v>605</v>
      </c>
      <c r="F209" s="45" t="s">
        <v>695</v>
      </c>
      <c r="G209" s="46" t="n">
        <v>46132</v>
      </c>
      <c r="H209" s="45" t="s">
        <v>169</v>
      </c>
      <c r="I209" s="45"/>
      <c r="J209" s="45"/>
      <c r="K209" s="45" t="n">
        <v>3</v>
      </c>
      <c r="L209" s="45" t="s">
        <v>263</v>
      </c>
      <c r="M209" s="45" t="s">
        <v>259</v>
      </c>
      <c r="N209" s="45" t="s">
        <v>169</v>
      </c>
      <c r="O209" s="47" t="n">
        <v>46133.966099537</v>
      </c>
      <c r="P209" s="47" t="n">
        <v>46133.9681944445</v>
      </c>
    </row>
    <row r="210" customFormat="false" ht="15" hidden="false" customHeight="false" outlineLevel="0" collapsed="false">
      <c r="A210" s="45" t="n">
        <v>415</v>
      </c>
      <c r="B210" s="46" t="n">
        <v>46133</v>
      </c>
      <c r="C210" s="45" t="s">
        <v>143</v>
      </c>
      <c r="D210" s="45" t="s">
        <v>144</v>
      </c>
      <c r="E210" s="45" t="s">
        <v>338</v>
      </c>
      <c r="F210" s="45" t="s">
        <v>696</v>
      </c>
      <c r="G210" s="46" t="n">
        <v>46132</v>
      </c>
      <c r="H210" s="45" t="s">
        <v>169</v>
      </c>
      <c r="I210" s="45"/>
      <c r="J210" s="45"/>
      <c r="K210" s="45" t="n">
        <v>1.3</v>
      </c>
      <c r="L210" s="45" t="s">
        <v>263</v>
      </c>
      <c r="M210" s="45" t="s">
        <v>259</v>
      </c>
      <c r="N210" s="45" t="s">
        <v>169</v>
      </c>
      <c r="O210" s="47" t="n">
        <v>46133.9684837963</v>
      </c>
      <c r="P210" s="47" t="n">
        <v>46133.9694097222</v>
      </c>
    </row>
    <row r="211" customFormat="false" ht="15" hidden="false" customHeight="false" outlineLevel="0" collapsed="false">
      <c r="A211" s="45" t="n">
        <v>416</v>
      </c>
      <c r="B211" s="46" t="n">
        <v>46133</v>
      </c>
      <c r="C211" s="45" t="s">
        <v>143</v>
      </c>
      <c r="D211" s="45" t="s">
        <v>144</v>
      </c>
      <c r="E211" s="45" t="s">
        <v>234</v>
      </c>
      <c r="F211" s="45" t="s">
        <v>697</v>
      </c>
      <c r="G211" s="46" t="n">
        <v>46132</v>
      </c>
      <c r="H211" s="45" t="s">
        <v>167</v>
      </c>
      <c r="I211" s="45" t="s">
        <v>175</v>
      </c>
      <c r="J211" s="45" t="s">
        <v>698</v>
      </c>
      <c r="K211" s="45" t="n">
        <v>6.2</v>
      </c>
      <c r="L211" s="45" t="s">
        <v>263</v>
      </c>
      <c r="M211" s="45" t="s">
        <v>259</v>
      </c>
      <c r="N211" s="45" t="s">
        <v>167</v>
      </c>
      <c r="O211" s="47" t="n">
        <v>46133.9702314815</v>
      </c>
      <c r="P211" s="47" t="n">
        <v>46133.9745486111</v>
      </c>
    </row>
    <row r="212" customFormat="false" ht="15" hidden="false" customHeight="false" outlineLevel="0" collapsed="false">
      <c r="A212" s="45" t="n">
        <v>417</v>
      </c>
      <c r="B212" s="46" t="n">
        <v>46133</v>
      </c>
      <c r="C212" s="45" t="s">
        <v>143</v>
      </c>
      <c r="D212" s="45" t="s">
        <v>144</v>
      </c>
      <c r="E212" s="45" t="s">
        <v>385</v>
      </c>
      <c r="F212" s="45" t="s">
        <v>699</v>
      </c>
      <c r="G212" s="46" t="n">
        <v>46132</v>
      </c>
      <c r="H212" s="45" t="s">
        <v>167</v>
      </c>
      <c r="I212" s="45" t="s">
        <v>175</v>
      </c>
      <c r="J212" s="45" t="s">
        <v>700</v>
      </c>
      <c r="K212" s="45" t="n">
        <v>3.5</v>
      </c>
      <c r="L212" s="45" t="s">
        <v>263</v>
      </c>
      <c r="M212" s="45" t="s">
        <v>259</v>
      </c>
      <c r="N212" s="45" t="s">
        <v>167</v>
      </c>
      <c r="O212" s="47" t="n">
        <v>46133.9745833333</v>
      </c>
      <c r="P212" s="47" t="n">
        <v>46133.977025463</v>
      </c>
    </row>
    <row r="213" customFormat="false" ht="15" hidden="false" customHeight="false" outlineLevel="0" collapsed="false">
      <c r="A213" s="45" t="n">
        <v>418</v>
      </c>
      <c r="B213" s="46" t="n">
        <v>46133</v>
      </c>
      <c r="C213" s="45" t="s">
        <v>143</v>
      </c>
      <c r="D213" s="45" t="s">
        <v>144</v>
      </c>
      <c r="E213" s="45" t="s">
        <v>605</v>
      </c>
      <c r="F213" s="45" t="s">
        <v>701</v>
      </c>
      <c r="G213" s="46" t="n">
        <v>46132</v>
      </c>
      <c r="H213" s="45" t="s">
        <v>168</v>
      </c>
      <c r="I213" s="45" t="s">
        <v>192</v>
      </c>
      <c r="J213" s="45" t="s">
        <v>702</v>
      </c>
      <c r="K213" s="45" t="n">
        <v>5.3</v>
      </c>
      <c r="L213" s="45" t="s">
        <v>263</v>
      </c>
      <c r="M213" s="45" t="s">
        <v>259</v>
      </c>
      <c r="N213" s="45" t="s">
        <v>264</v>
      </c>
      <c r="O213" s="47" t="n">
        <v>46133.9772916667</v>
      </c>
      <c r="P213" s="47" t="n">
        <v>46133.9810069444</v>
      </c>
    </row>
    <row r="214" customFormat="false" ht="15" hidden="false" customHeight="false" outlineLevel="0" collapsed="false">
      <c r="A214" s="45" t="n">
        <v>419</v>
      </c>
      <c r="B214" s="46" t="n">
        <v>46134</v>
      </c>
      <c r="C214" s="45" t="s">
        <v>131</v>
      </c>
      <c r="D214" s="45" t="s">
        <v>132</v>
      </c>
      <c r="E214" s="45" t="s">
        <v>326</v>
      </c>
      <c r="F214" s="45" t="s">
        <v>703</v>
      </c>
      <c r="G214" s="46" t="n">
        <v>46133</v>
      </c>
      <c r="H214" s="45" t="s">
        <v>167</v>
      </c>
      <c r="I214" s="45" t="s">
        <v>175</v>
      </c>
      <c r="J214" s="45" t="s">
        <v>704</v>
      </c>
      <c r="K214" s="45" t="n">
        <v>203.4</v>
      </c>
      <c r="L214" s="45" t="s">
        <v>263</v>
      </c>
      <c r="M214" s="45" t="s">
        <v>259</v>
      </c>
      <c r="N214" s="45" t="s">
        <v>167</v>
      </c>
      <c r="O214" s="47" t="n">
        <v>46134.608599537</v>
      </c>
      <c r="P214" s="47" t="n">
        <v>46134.749837963</v>
      </c>
    </row>
    <row r="215" customFormat="false" ht="15" hidden="false" customHeight="false" outlineLevel="0" collapsed="false">
      <c r="A215" s="45" t="n">
        <v>420</v>
      </c>
      <c r="B215" s="46" t="n">
        <v>46134</v>
      </c>
      <c r="C215" s="45" t="s">
        <v>145</v>
      </c>
      <c r="D215" s="45" t="s">
        <v>146</v>
      </c>
      <c r="E215" s="45" t="s">
        <v>223</v>
      </c>
      <c r="F215" s="45" t="s">
        <v>705</v>
      </c>
      <c r="G215" s="46" t="n">
        <v>46134</v>
      </c>
      <c r="H215" s="45" t="s">
        <v>168</v>
      </c>
      <c r="I215" s="45" t="s">
        <v>191</v>
      </c>
      <c r="J215" s="45" t="s">
        <v>706</v>
      </c>
      <c r="K215" s="45" t="n">
        <v>45.9</v>
      </c>
      <c r="L215" s="45" t="s">
        <v>263</v>
      </c>
      <c r="M215" s="45" t="s">
        <v>259</v>
      </c>
      <c r="N215" s="45" t="s">
        <v>264</v>
      </c>
      <c r="O215" s="47" t="n">
        <v>46134.8368634259</v>
      </c>
      <c r="P215" s="47" t="n">
        <v>46134.8687384259</v>
      </c>
    </row>
    <row r="216" customFormat="false" ht="15" hidden="false" customHeight="false" outlineLevel="0" collapsed="false">
      <c r="A216" s="45" t="n">
        <v>421</v>
      </c>
      <c r="B216" s="46" t="n">
        <v>46134</v>
      </c>
      <c r="C216" s="45" t="s">
        <v>133</v>
      </c>
      <c r="D216" s="45" t="s">
        <v>134</v>
      </c>
      <c r="E216" s="45" t="s">
        <v>238</v>
      </c>
      <c r="F216" s="45" t="s">
        <v>707</v>
      </c>
      <c r="G216" s="46" t="n">
        <v>46134</v>
      </c>
      <c r="H216" s="45" t="s">
        <v>170</v>
      </c>
      <c r="I216" s="45" t="s">
        <v>209</v>
      </c>
      <c r="J216" s="45" t="s">
        <v>708</v>
      </c>
      <c r="K216" s="45" t="n">
        <v>0.1</v>
      </c>
      <c r="L216" s="45" t="s">
        <v>263</v>
      </c>
      <c r="M216" s="45" t="s">
        <v>259</v>
      </c>
      <c r="N216" s="45" t="s">
        <v>478</v>
      </c>
      <c r="O216" s="47" t="n">
        <v>46134.9160532407</v>
      </c>
      <c r="P216" s="47" t="n">
        <v>46134.9161111111</v>
      </c>
    </row>
    <row r="217" customFormat="false" ht="15" hidden="false" customHeight="false" outlineLevel="0" collapsed="false">
      <c r="A217" s="45" t="n">
        <v>422</v>
      </c>
      <c r="B217" s="46" t="n">
        <v>46134</v>
      </c>
      <c r="C217" s="45" t="s">
        <v>133</v>
      </c>
      <c r="D217" s="45" t="s">
        <v>134</v>
      </c>
      <c r="E217" s="45" t="s">
        <v>543</v>
      </c>
      <c r="F217" s="45" t="s">
        <v>709</v>
      </c>
      <c r="G217" s="46" t="n">
        <v>46134</v>
      </c>
      <c r="H217" s="45" t="s">
        <v>57</v>
      </c>
      <c r="I217" s="45" t="s">
        <v>200</v>
      </c>
      <c r="J217" s="45" t="s">
        <v>710</v>
      </c>
      <c r="K217" s="45" t="n">
        <v>15.4</v>
      </c>
      <c r="L217" s="45" t="s">
        <v>263</v>
      </c>
      <c r="M217" s="45" t="s">
        <v>259</v>
      </c>
      <c r="N217" s="45" t="s">
        <v>57</v>
      </c>
      <c r="O217" s="47" t="n">
        <v>46134.9161342593</v>
      </c>
      <c r="P217" s="47" t="n">
        <v>46134.9268402778</v>
      </c>
    </row>
    <row r="218" customFormat="false" ht="15" hidden="false" customHeight="false" outlineLevel="0" collapsed="false">
      <c r="A218" s="45" t="n">
        <v>423</v>
      </c>
      <c r="B218" s="46" t="n">
        <v>46134</v>
      </c>
      <c r="C218" s="45" t="s">
        <v>133</v>
      </c>
      <c r="D218" s="45" t="s">
        <v>134</v>
      </c>
      <c r="E218" s="45" t="s">
        <v>219</v>
      </c>
      <c r="F218" s="45" t="s">
        <v>711</v>
      </c>
      <c r="G218" s="46" t="n">
        <v>46134</v>
      </c>
      <c r="H218" s="45" t="s">
        <v>167</v>
      </c>
      <c r="I218" s="45" t="s">
        <v>175</v>
      </c>
      <c r="J218" s="45" t="s">
        <v>712</v>
      </c>
      <c r="K218" s="45" t="n">
        <v>14.7</v>
      </c>
      <c r="L218" s="45" t="s">
        <v>263</v>
      </c>
      <c r="M218" s="45" t="s">
        <v>259</v>
      </c>
      <c r="N218" s="45" t="s">
        <v>167</v>
      </c>
      <c r="O218" s="47" t="n">
        <v>46134.9269444444</v>
      </c>
      <c r="P218" s="47" t="n">
        <v>46134.9371759259</v>
      </c>
    </row>
    <row r="219" customFormat="false" ht="15" hidden="false" customHeight="false" outlineLevel="0" collapsed="false">
      <c r="A219" s="45" t="n">
        <v>424</v>
      </c>
      <c r="B219" s="46" t="n">
        <v>46134</v>
      </c>
      <c r="C219" s="45" t="s">
        <v>133</v>
      </c>
      <c r="D219" s="45" t="s">
        <v>134</v>
      </c>
      <c r="E219" s="45" t="s">
        <v>219</v>
      </c>
      <c r="F219" s="45" t="s">
        <v>713</v>
      </c>
      <c r="G219" s="46" t="n">
        <v>46134</v>
      </c>
      <c r="H219" s="45" t="s">
        <v>167</v>
      </c>
      <c r="I219" s="45" t="s">
        <v>175</v>
      </c>
      <c r="J219" s="45" t="s">
        <v>714</v>
      </c>
      <c r="K219" s="45" t="n">
        <v>5.3</v>
      </c>
      <c r="L219" s="45" t="s">
        <v>263</v>
      </c>
      <c r="M219" s="45" t="s">
        <v>259</v>
      </c>
      <c r="N219" s="45" t="s">
        <v>167</v>
      </c>
      <c r="O219" s="47" t="n">
        <v>46134.9372106482</v>
      </c>
      <c r="P219" s="47" t="n">
        <v>46134.9408680556</v>
      </c>
    </row>
    <row r="220" customFormat="false" ht="15" hidden="false" customHeight="false" outlineLevel="0" collapsed="false">
      <c r="A220" s="45" t="n">
        <v>425</v>
      </c>
      <c r="B220" s="46" t="n">
        <v>46134</v>
      </c>
      <c r="C220" s="45" t="s">
        <v>133</v>
      </c>
      <c r="D220" s="45" t="s">
        <v>134</v>
      </c>
      <c r="E220" s="45" t="s">
        <v>231</v>
      </c>
      <c r="F220" s="45" t="s">
        <v>715</v>
      </c>
      <c r="G220" s="46" t="n">
        <v>46134</v>
      </c>
      <c r="H220" s="45" t="s">
        <v>169</v>
      </c>
      <c r="I220" s="45"/>
      <c r="J220" s="45"/>
      <c r="K220" s="45" t="n">
        <v>3.2</v>
      </c>
      <c r="L220" s="45" t="s">
        <v>263</v>
      </c>
      <c r="M220" s="45" t="s">
        <v>259</v>
      </c>
      <c r="N220" s="45" t="s">
        <v>169</v>
      </c>
      <c r="O220" s="47" t="n">
        <v>46134.9417476852</v>
      </c>
      <c r="P220" s="47" t="n">
        <v>46134.9440046296</v>
      </c>
    </row>
    <row r="221" customFormat="false" ht="15" hidden="false" customHeight="false" outlineLevel="0" collapsed="false">
      <c r="A221" s="45" t="n">
        <v>426</v>
      </c>
      <c r="B221" s="46" t="n">
        <v>46134</v>
      </c>
      <c r="C221" s="45" t="s">
        <v>133</v>
      </c>
      <c r="D221" s="45" t="s">
        <v>134</v>
      </c>
      <c r="E221" s="45" t="s">
        <v>333</v>
      </c>
      <c r="F221" s="45" t="s">
        <v>716</v>
      </c>
      <c r="G221" s="46" t="n">
        <v>46134</v>
      </c>
      <c r="H221" s="45" t="s">
        <v>57</v>
      </c>
      <c r="I221" s="45" t="s">
        <v>200</v>
      </c>
      <c r="J221" s="45" t="s">
        <v>717</v>
      </c>
      <c r="K221" s="45" t="n">
        <v>17</v>
      </c>
      <c r="L221" s="45" t="s">
        <v>263</v>
      </c>
      <c r="M221" s="45" t="s">
        <v>259</v>
      </c>
      <c r="N221" s="45" t="s">
        <v>57</v>
      </c>
      <c r="O221" s="47" t="n">
        <v>46134.9440625</v>
      </c>
      <c r="P221" s="47" t="n">
        <v>46134.9558680556</v>
      </c>
    </row>
    <row r="222" customFormat="false" ht="15" hidden="false" customHeight="false" outlineLevel="0" collapsed="false">
      <c r="A222" s="45" t="n">
        <v>427</v>
      </c>
      <c r="B222" s="46" t="n">
        <v>46134</v>
      </c>
      <c r="C222" s="45" t="s">
        <v>143</v>
      </c>
      <c r="D222" s="45" t="s">
        <v>144</v>
      </c>
      <c r="E222" s="45" t="s">
        <v>381</v>
      </c>
      <c r="F222" s="45" t="s">
        <v>718</v>
      </c>
      <c r="G222" s="46" t="n">
        <v>46133</v>
      </c>
      <c r="H222" s="45" t="s">
        <v>167</v>
      </c>
      <c r="I222" s="45" t="s">
        <v>175</v>
      </c>
      <c r="J222" s="45" t="s">
        <v>719</v>
      </c>
      <c r="K222" s="45" t="n">
        <v>1.9</v>
      </c>
      <c r="L222" s="45" t="s">
        <v>263</v>
      </c>
      <c r="M222" s="45" t="s">
        <v>259</v>
      </c>
      <c r="N222" s="45" t="s">
        <v>167</v>
      </c>
      <c r="O222" s="47" t="n">
        <v>46134.9553587963</v>
      </c>
      <c r="P222" s="47" t="n">
        <v>46134.9566435185</v>
      </c>
    </row>
    <row r="223" customFormat="false" ht="15" hidden="false" customHeight="false" outlineLevel="0" collapsed="false">
      <c r="A223" s="45" t="n">
        <v>428</v>
      </c>
      <c r="B223" s="46" t="n">
        <v>46134</v>
      </c>
      <c r="C223" s="45" t="s">
        <v>143</v>
      </c>
      <c r="D223" s="45" t="s">
        <v>144</v>
      </c>
      <c r="E223" s="45" t="s">
        <v>234</v>
      </c>
      <c r="F223" s="45" t="s">
        <v>720</v>
      </c>
      <c r="G223" s="46" t="n">
        <v>46133</v>
      </c>
      <c r="H223" s="45" t="s">
        <v>167</v>
      </c>
      <c r="I223" s="45" t="s">
        <v>175</v>
      </c>
      <c r="J223" s="45" t="s">
        <v>721</v>
      </c>
      <c r="K223" s="45" t="n">
        <v>37.3</v>
      </c>
      <c r="L223" s="45" t="s">
        <v>263</v>
      </c>
      <c r="M223" s="45" t="s">
        <v>259</v>
      </c>
      <c r="N223" s="45" t="s">
        <v>167</v>
      </c>
      <c r="O223" s="47" t="n">
        <v>46134.9566782407</v>
      </c>
      <c r="P223" s="47" t="n">
        <v>46134.9825810185</v>
      </c>
    </row>
    <row r="224" customFormat="false" ht="15" hidden="false" customHeight="false" outlineLevel="0" collapsed="false">
      <c r="A224" s="45" t="n">
        <v>429</v>
      </c>
      <c r="B224" s="46" t="n">
        <v>46134</v>
      </c>
      <c r="C224" s="45" t="s">
        <v>143</v>
      </c>
      <c r="D224" s="45" t="s">
        <v>144</v>
      </c>
      <c r="E224" s="45" t="s">
        <v>385</v>
      </c>
      <c r="F224" s="45" t="s">
        <v>722</v>
      </c>
      <c r="G224" s="46" t="n">
        <v>46133</v>
      </c>
      <c r="H224" s="45" t="s">
        <v>167</v>
      </c>
      <c r="I224" s="45" t="s">
        <v>175</v>
      </c>
      <c r="J224" s="45" t="s">
        <v>723</v>
      </c>
      <c r="K224" s="45" t="n">
        <v>7.1</v>
      </c>
      <c r="L224" s="45" t="s">
        <v>263</v>
      </c>
      <c r="M224" s="45" t="s">
        <v>259</v>
      </c>
      <c r="N224" s="45" t="s">
        <v>167</v>
      </c>
      <c r="O224" s="47" t="n">
        <v>46134.9827199074</v>
      </c>
      <c r="P224" s="47" t="n">
        <v>46134.9876736111</v>
      </c>
    </row>
    <row r="225" customFormat="false" ht="15" hidden="false" customHeight="false" outlineLevel="0" collapsed="false">
      <c r="A225" s="45" t="n">
        <v>430</v>
      </c>
      <c r="B225" s="46" t="n">
        <v>46135</v>
      </c>
      <c r="C225" s="45" t="s">
        <v>131</v>
      </c>
      <c r="D225" s="45" t="s">
        <v>132</v>
      </c>
      <c r="E225" s="45" t="s">
        <v>218</v>
      </c>
      <c r="F225" s="45" t="s">
        <v>724</v>
      </c>
      <c r="G225" s="46" t="n">
        <v>46134</v>
      </c>
      <c r="H225" s="45" t="s">
        <v>167</v>
      </c>
      <c r="I225" s="45" t="s">
        <v>175</v>
      </c>
      <c r="J225" s="45" t="s">
        <v>725</v>
      </c>
      <c r="K225" s="45" t="n">
        <v>46.3</v>
      </c>
      <c r="L225" s="45" t="s">
        <v>263</v>
      </c>
      <c r="M225" s="45" t="s">
        <v>259</v>
      </c>
      <c r="N225" s="45" t="s">
        <v>167</v>
      </c>
      <c r="O225" s="47" t="n">
        <v>46135.6271990741</v>
      </c>
      <c r="P225" s="47" t="n">
        <v>46135.6593402778</v>
      </c>
    </row>
    <row r="226" customFormat="false" ht="15" hidden="false" customHeight="false" outlineLevel="0" collapsed="false">
      <c r="A226" s="45" t="n">
        <v>431</v>
      </c>
      <c r="B226" s="46" t="n">
        <v>46135</v>
      </c>
      <c r="C226" s="45" t="s">
        <v>133</v>
      </c>
      <c r="D226" s="45" t="s">
        <v>134</v>
      </c>
      <c r="E226" s="45" t="s">
        <v>333</v>
      </c>
      <c r="F226" s="45" t="s">
        <v>726</v>
      </c>
      <c r="G226" s="46" t="n">
        <v>46133</v>
      </c>
      <c r="H226" s="45" t="s">
        <v>57</v>
      </c>
      <c r="I226" s="45" t="s">
        <v>200</v>
      </c>
      <c r="J226" s="45" t="s">
        <v>727</v>
      </c>
      <c r="K226" s="45" t="n">
        <v>10.6</v>
      </c>
      <c r="L226" s="45" t="s">
        <v>263</v>
      </c>
      <c r="M226" s="45" t="s">
        <v>259</v>
      </c>
      <c r="N226" s="45" t="s">
        <v>57</v>
      </c>
      <c r="O226" s="47" t="n">
        <v>46135.7597569445</v>
      </c>
      <c r="P226" s="47" t="n">
        <v>46135.7671180556</v>
      </c>
    </row>
    <row r="227" customFormat="false" ht="15" hidden="false" customHeight="false" outlineLevel="0" collapsed="false">
      <c r="A227" s="45" t="n">
        <v>432</v>
      </c>
      <c r="B227" s="46" t="n">
        <v>46135</v>
      </c>
      <c r="C227" s="45" t="s">
        <v>133</v>
      </c>
      <c r="D227" s="45" t="s">
        <v>134</v>
      </c>
      <c r="E227" s="45" t="s">
        <v>405</v>
      </c>
      <c r="F227" s="45" t="s">
        <v>728</v>
      </c>
      <c r="G227" s="46" t="n">
        <v>46133</v>
      </c>
      <c r="H227" s="45" t="s">
        <v>167</v>
      </c>
      <c r="I227" s="45" t="s">
        <v>175</v>
      </c>
      <c r="J227" s="45" t="s">
        <v>729</v>
      </c>
      <c r="K227" s="45" t="n">
        <v>38.1</v>
      </c>
      <c r="L227" s="45" t="s">
        <v>263</v>
      </c>
      <c r="M227" s="45" t="s">
        <v>259</v>
      </c>
      <c r="N227" s="45" t="s">
        <v>167</v>
      </c>
      <c r="O227" s="47" t="n">
        <v>46135.7672106482</v>
      </c>
      <c r="P227" s="47" t="n">
        <v>46135.7937037037</v>
      </c>
    </row>
    <row r="228" customFormat="false" ht="15" hidden="false" customHeight="false" outlineLevel="0" collapsed="false">
      <c r="A228" s="45" t="n">
        <v>433</v>
      </c>
      <c r="B228" s="46" t="n">
        <v>46135</v>
      </c>
      <c r="C228" s="45" t="s">
        <v>133</v>
      </c>
      <c r="D228" s="45" t="s">
        <v>134</v>
      </c>
      <c r="E228" s="45" t="s">
        <v>219</v>
      </c>
      <c r="F228" s="45" t="s">
        <v>730</v>
      </c>
      <c r="G228" s="46" t="n">
        <v>46132</v>
      </c>
      <c r="H228" s="45" t="s">
        <v>57</v>
      </c>
      <c r="I228" s="45" t="s">
        <v>200</v>
      </c>
      <c r="J228" s="45" t="s">
        <v>731</v>
      </c>
      <c r="K228" s="45" t="n">
        <v>7.2</v>
      </c>
      <c r="L228" s="45" t="s">
        <v>263</v>
      </c>
      <c r="M228" s="45" t="s">
        <v>259</v>
      </c>
      <c r="N228" s="45" t="s">
        <v>57</v>
      </c>
      <c r="O228" s="47" t="n">
        <v>46135.7937384259</v>
      </c>
      <c r="P228" s="47" t="n">
        <v>46135.7987384259</v>
      </c>
    </row>
    <row r="229" customFormat="false" ht="15" hidden="false" customHeight="false" outlineLevel="0" collapsed="false">
      <c r="A229" s="45" t="n">
        <v>434</v>
      </c>
      <c r="B229" s="46" t="n">
        <v>46135</v>
      </c>
      <c r="C229" s="45" t="s">
        <v>133</v>
      </c>
      <c r="D229" s="45" t="s">
        <v>134</v>
      </c>
      <c r="E229" s="45" t="s">
        <v>231</v>
      </c>
      <c r="F229" s="45" t="s">
        <v>732</v>
      </c>
      <c r="G229" s="46" t="n">
        <v>46129</v>
      </c>
      <c r="H229" s="45" t="s">
        <v>168</v>
      </c>
      <c r="I229" s="45" t="s">
        <v>192</v>
      </c>
      <c r="J229" s="45" t="s">
        <v>733</v>
      </c>
      <c r="K229" s="45" t="n">
        <v>36</v>
      </c>
      <c r="L229" s="45" t="s">
        <v>263</v>
      </c>
      <c r="M229" s="45" t="s">
        <v>259</v>
      </c>
      <c r="N229" s="45" t="s">
        <v>264</v>
      </c>
      <c r="O229" s="47" t="n">
        <v>46135.7987962963</v>
      </c>
      <c r="P229" s="47" t="n">
        <v>46135.8237847222</v>
      </c>
    </row>
    <row r="230" customFormat="false" ht="15" hidden="false" customHeight="false" outlineLevel="0" collapsed="false">
      <c r="A230" s="45" t="n">
        <v>438</v>
      </c>
      <c r="B230" s="46" t="n">
        <v>46135</v>
      </c>
      <c r="C230" s="45" t="s">
        <v>133</v>
      </c>
      <c r="D230" s="45" t="s">
        <v>134</v>
      </c>
      <c r="E230" s="45" t="s">
        <v>734</v>
      </c>
      <c r="F230" s="45" t="s">
        <v>735</v>
      </c>
      <c r="G230" s="46" t="n">
        <v>46132</v>
      </c>
      <c r="H230" s="45" t="s">
        <v>167</v>
      </c>
      <c r="I230" s="45" t="s">
        <v>175</v>
      </c>
      <c r="J230" s="45" t="s">
        <v>736</v>
      </c>
      <c r="K230" s="45" t="n">
        <v>1307.2</v>
      </c>
      <c r="L230" s="45" t="s">
        <v>263</v>
      </c>
      <c r="M230" s="45" t="s">
        <v>259</v>
      </c>
      <c r="N230" s="45" t="s">
        <v>167</v>
      </c>
      <c r="O230" s="47" t="n">
        <v>46135.8245717593</v>
      </c>
      <c r="P230" s="47" t="n">
        <v>46136.732337963</v>
      </c>
    </row>
    <row r="231" customFormat="false" ht="15" hidden="false" customHeight="false" outlineLevel="0" collapsed="false">
      <c r="A231" s="45" t="n">
        <v>435</v>
      </c>
      <c r="B231" s="46" t="n">
        <v>46135</v>
      </c>
      <c r="C231" s="45" t="s">
        <v>143</v>
      </c>
      <c r="D231" s="45" t="s">
        <v>144</v>
      </c>
      <c r="E231" s="45" t="s">
        <v>338</v>
      </c>
      <c r="F231" s="45" t="s">
        <v>737</v>
      </c>
      <c r="G231" s="46" t="n">
        <v>46134</v>
      </c>
      <c r="H231" s="45" t="s">
        <v>167</v>
      </c>
      <c r="I231" s="45" t="s">
        <v>175</v>
      </c>
      <c r="J231" s="45" t="s">
        <v>738</v>
      </c>
      <c r="K231" s="45" t="n">
        <v>10.6</v>
      </c>
      <c r="L231" s="45" t="s">
        <v>263</v>
      </c>
      <c r="M231" s="45" t="s">
        <v>259</v>
      </c>
      <c r="N231" s="45" t="s">
        <v>167</v>
      </c>
      <c r="O231" s="47" t="n">
        <v>46135.9651273148</v>
      </c>
      <c r="P231" s="47" t="n">
        <v>46135.9724884259</v>
      </c>
    </row>
    <row r="232" customFormat="false" ht="15" hidden="false" customHeight="false" outlineLevel="0" collapsed="false">
      <c r="A232" s="45" t="n">
        <v>436</v>
      </c>
      <c r="B232" s="46" t="n">
        <v>46135</v>
      </c>
      <c r="C232" s="45" t="s">
        <v>143</v>
      </c>
      <c r="D232" s="45" t="s">
        <v>144</v>
      </c>
      <c r="E232" s="45" t="s">
        <v>605</v>
      </c>
      <c r="F232" s="45" t="s">
        <v>739</v>
      </c>
      <c r="G232" s="46" t="n">
        <v>46134</v>
      </c>
      <c r="H232" s="45" t="s">
        <v>167</v>
      </c>
      <c r="I232" s="45" t="s">
        <v>175</v>
      </c>
      <c r="J232" s="45" t="s">
        <v>740</v>
      </c>
      <c r="K232" s="45" t="n">
        <v>5.7</v>
      </c>
      <c r="L232" s="45" t="s">
        <v>263</v>
      </c>
      <c r="M232" s="45" t="s">
        <v>259</v>
      </c>
      <c r="N232" s="45" t="s">
        <v>167</v>
      </c>
      <c r="O232" s="47" t="n">
        <v>46135.9738310185</v>
      </c>
      <c r="P232" s="47" t="n">
        <v>46135.9777662037</v>
      </c>
    </row>
    <row r="233" customFormat="false" ht="15" hidden="false" customHeight="false" outlineLevel="0" collapsed="false">
      <c r="A233" s="45" t="n">
        <v>437</v>
      </c>
      <c r="B233" s="46" t="n">
        <v>46135</v>
      </c>
      <c r="C233" s="45" t="s">
        <v>143</v>
      </c>
      <c r="D233" s="45" t="s">
        <v>144</v>
      </c>
      <c r="E233" s="45" t="s">
        <v>669</v>
      </c>
      <c r="F233" s="45" t="s">
        <v>741</v>
      </c>
      <c r="G233" s="46" t="n">
        <v>46134</v>
      </c>
      <c r="H233" s="45" t="s">
        <v>168</v>
      </c>
      <c r="I233" s="45" t="s">
        <v>192</v>
      </c>
      <c r="J233" s="45" t="s">
        <v>742</v>
      </c>
      <c r="K233" s="45" t="n">
        <v>4.9</v>
      </c>
      <c r="L233" s="45" t="s">
        <v>263</v>
      </c>
      <c r="M233" s="45" t="s">
        <v>259</v>
      </c>
      <c r="N233" s="45" t="s">
        <v>264</v>
      </c>
      <c r="O233" s="47" t="n">
        <v>46135.9778009259</v>
      </c>
      <c r="P233" s="47" t="n">
        <v>46135.9812152778</v>
      </c>
    </row>
    <row r="234" customFormat="false" ht="15" hidden="false" customHeight="false" outlineLevel="0" collapsed="false">
      <c r="A234" s="45" t="n">
        <v>439</v>
      </c>
      <c r="B234" s="46" t="n">
        <v>46139</v>
      </c>
      <c r="C234" s="45" t="s">
        <v>131</v>
      </c>
      <c r="D234" s="45" t="s">
        <v>132</v>
      </c>
      <c r="E234" s="45" t="s">
        <v>326</v>
      </c>
      <c r="F234" s="45" t="s">
        <v>743</v>
      </c>
      <c r="G234" s="46" t="n">
        <v>46135</v>
      </c>
      <c r="H234" s="45" t="s">
        <v>167</v>
      </c>
      <c r="I234" s="45" t="s">
        <v>176</v>
      </c>
      <c r="J234" s="45" t="s">
        <v>744</v>
      </c>
      <c r="K234" s="45" t="n">
        <v>29.4</v>
      </c>
      <c r="L234" s="45" t="s">
        <v>263</v>
      </c>
      <c r="M234" s="45" t="s">
        <v>259</v>
      </c>
      <c r="N234" s="45" t="s">
        <v>167</v>
      </c>
      <c r="O234" s="47" t="n">
        <v>46139.7578819445</v>
      </c>
      <c r="P234" s="47" t="n">
        <v>46139.7782986111</v>
      </c>
    </row>
    <row r="235" customFormat="false" ht="15" hidden="false" customHeight="false" outlineLevel="0" collapsed="false">
      <c r="A235" s="45" t="n">
        <v>440</v>
      </c>
      <c r="B235" s="46" t="n">
        <v>46139</v>
      </c>
      <c r="C235" s="45" t="s">
        <v>131</v>
      </c>
      <c r="D235" s="45" t="s">
        <v>132</v>
      </c>
      <c r="E235" s="45" t="s">
        <v>220</v>
      </c>
      <c r="F235" s="45" t="s">
        <v>745</v>
      </c>
      <c r="G235" s="46" t="n">
        <v>46136</v>
      </c>
      <c r="H235" s="45" t="s">
        <v>167</v>
      </c>
      <c r="I235" s="45" t="s">
        <v>175</v>
      </c>
      <c r="J235" s="45" t="s">
        <v>746</v>
      </c>
      <c r="K235" s="45" t="n">
        <v>0.5</v>
      </c>
      <c r="L235" s="45" t="s">
        <v>263</v>
      </c>
      <c r="M235" s="45" t="s">
        <v>259</v>
      </c>
      <c r="N235" s="45" t="s">
        <v>167</v>
      </c>
      <c r="O235" s="47" t="n">
        <v>46139.7827662037</v>
      </c>
      <c r="P235" s="47" t="n">
        <v>46139.7830787037</v>
      </c>
    </row>
    <row r="236" customFormat="false" ht="15" hidden="false" customHeight="false" outlineLevel="0" collapsed="false">
      <c r="A236" s="45" t="n">
        <v>441</v>
      </c>
      <c r="B236" s="46" t="n">
        <v>46139</v>
      </c>
      <c r="C236" s="45" t="s">
        <v>145</v>
      </c>
      <c r="D236" s="45" t="s">
        <v>146</v>
      </c>
      <c r="E236" s="45" t="s">
        <v>747</v>
      </c>
      <c r="F236" s="45" t="s">
        <v>748</v>
      </c>
      <c r="G236" s="46" t="n">
        <v>46136</v>
      </c>
      <c r="H236" s="45" t="s">
        <v>169</v>
      </c>
      <c r="I236" s="45"/>
      <c r="J236" s="45"/>
      <c r="K236" s="45" t="n">
        <v>4.4</v>
      </c>
      <c r="L236" s="45" t="s">
        <v>263</v>
      </c>
      <c r="M236" s="45" t="s">
        <v>263</v>
      </c>
      <c r="N236" s="45" t="s">
        <v>169</v>
      </c>
      <c r="O236" s="47" t="n">
        <v>46139.8676041667</v>
      </c>
      <c r="P236" s="47" t="n">
        <v>46139.8706481482</v>
      </c>
    </row>
    <row r="237" customFormat="false" ht="15" hidden="false" customHeight="false" outlineLevel="0" collapsed="false">
      <c r="A237" s="45" t="n">
        <v>442</v>
      </c>
      <c r="B237" s="46" t="n">
        <v>46139</v>
      </c>
      <c r="C237" s="45" t="s">
        <v>145</v>
      </c>
      <c r="D237" s="45" t="s">
        <v>146</v>
      </c>
      <c r="E237" s="45" t="s">
        <v>427</v>
      </c>
      <c r="F237" s="45" t="s">
        <v>749</v>
      </c>
      <c r="G237" s="46" t="n">
        <v>46136</v>
      </c>
      <c r="H237" s="45" t="s">
        <v>167</v>
      </c>
      <c r="I237" s="45" t="s">
        <v>175</v>
      </c>
      <c r="J237" s="45" t="s">
        <v>750</v>
      </c>
      <c r="K237" s="45" t="n">
        <v>6.8</v>
      </c>
      <c r="L237" s="45" t="s">
        <v>263</v>
      </c>
      <c r="M237" s="45" t="s">
        <v>259</v>
      </c>
      <c r="N237" s="45" t="s">
        <v>167</v>
      </c>
      <c r="O237" s="47" t="n">
        <v>46139.8707175926</v>
      </c>
      <c r="P237" s="47" t="n">
        <v>46139.8754050926</v>
      </c>
    </row>
    <row r="238" customFormat="false" ht="15" hidden="false" customHeight="false" outlineLevel="0" collapsed="false">
      <c r="A238" s="45" t="n">
        <v>443</v>
      </c>
      <c r="B238" s="46" t="n">
        <v>46139</v>
      </c>
      <c r="C238" s="45" t="s">
        <v>145</v>
      </c>
      <c r="D238" s="45" t="s">
        <v>146</v>
      </c>
      <c r="E238" s="45" t="s">
        <v>284</v>
      </c>
      <c r="F238" s="45" t="s">
        <v>751</v>
      </c>
      <c r="G238" s="46" t="n">
        <v>46136</v>
      </c>
      <c r="H238" s="45" t="s">
        <v>168</v>
      </c>
      <c r="I238" s="45" t="s">
        <v>191</v>
      </c>
      <c r="J238" s="45" t="s">
        <v>752</v>
      </c>
      <c r="K238" s="45" t="n">
        <v>4.3</v>
      </c>
      <c r="L238" s="45" t="s">
        <v>263</v>
      </c>
      <c r="M238" s="45" t="s">
        <v>259</v>
      </c>
      <c r="N238" s="45" t="s">
        <v>264</v>
      </c>
      <c r="O238" s="47" t="n">
        <v>46139.8754398148</v>
      </c>
      <c r="P238" s="47" t="n">
        <v>46139.8784375</v>
      </c>
    </row>
    <row r="239" customFormat="false" ht="15" hidden="false" customHeight="false" outlineLevel="0" collapsed="false">
      <c r="A239" s="45" t="n">
        <v>444</v>
      </c>
      <c r="B239" s="46" t="n">
        <v>46139</v>
      </c>
      <c r="C239" s="45" t="s">
        <v>145</v>
      </c>
      <c r="D239" s="45" t="s">
        <v>146</v>
      </c>
      <c r="E239" s="45" t="s">
        <v>223</v>
      </c>
      <c r="F239" s="45" t="s">
        <v>753</v>
      </c>
      <c r="G239" s="46" t="n">
        <v>46136</v>
      </c>
      <c r="H239" s="45" t="s">
        <v>167</v>
      </c>
      <c r="I239" s="45" t="s">
        <v>175</v>
      </c>
      <c r="J239" s="45" t="s">
        <v>754</v>
      </c>
      <c r="K239" s="45" t="n">
        <v>14.8</v>
      </c>
      <c r="L239" s="45" t="s">
        <v>263</v>
      </c>
      <c r="M239" s="45" t="s">
        <v>259</v>
      </c>
      <c r="N239" s="45" t="s">
        <v>167</v>
      </c>
      <c r="O239" s="47" t="n">
        <v>46139.8787731482</v>
      </c>
      <c r="P239" s="47" t="n">
        <v>46139.8890740741</v>
      </c>
    </row>
    <row r="240" customFormat="false" ht="15" hidden="false" customHeight="false" outlineLevel="0" collapsed="false">
      <c r="A240" s="45" t="n">
        <v>445</v>
      </c>
      <c r="B240" s="46" t="n">
        <v>46139</v>
      </c>
      <c r="C240" s="45" t="s">
        <v>145</v>
      </c>
      <c r="D240" s="45" t="s">
        <v>146</v>
      </c>
      <c r="E240" s="45" t="s">
        <v>683</v>
      </c>
      <c r="F240" s="45" t="s">
        <v>755</v>
      </c>
      <c r="G240" s="46" t="n">
        <v>46139</v>
      </c>
      <c r="H240" s="45" t="s">
        <v>168</v>
      </c>
      <c r="I240" s="45" t="s">
        <v>191</v>
      </c>
      <c r="J240" s="45" t="s">
        <v>756</v>
      </c>
      <c r="K240" s="45" t="n">
        <v>123.3</v>
      </c>
      <c r="L240" s="45" t="s">
        <v>263</v>
      </c>
      <c r="M240" s="45" t="s">
        <v>259</v>
      </c>
      <c r="N240" s="45" t="s">
        <v>264</v>
      </c>
      <c r="O240" s="47" t="n">
        <v>46139.8891435185</v>
      </c>
      <c r="P240" s="47" t="n">
        <v>46139.9747685185</v>
      </c>
    </row>
    <row r="241" customFormat="false" ht="15" hidden="false" customHeight="false" outlineLevel="0" collapsed="false">
      <c r="A241" s="45" t="n">
        <v>446</v>
      </c>
      <c r="B241" s="46" t="n">
        <v>46139</v>
      </c>
      <c r="C241" s="45" t="s">
        <v>145</v>
      </c>
      <c r="D241" s="45" t="s">
        <v>146</v>
      </c>
      <c r="E241" s="45" t="s">
        <v>284</v>
      </c>
      <c r="F241" s="45" t="s">
        <v>757</v>
      </c>
      <c r="G241" s="46" t="n">
        <v>46139</v>
      </c>
      <c r="H241" s="45" t="s">
        <v>169</v>
      </c>
      <c r="I241" s="45"/>
      <c r="J241" s="45"/>
      <c r="K241" s="45" t="n">
        <v>1278.3</v>
      </c>
      <c r="L241" s="45" t="s">
        <v>263</v>
      </c>
      <c r="M241" s="45" t="s">
        <v>259</v>
      </c>
      <c r="N241" s="45" t="s">
        <v>169</v>
      </c>
      <c r="O241" s="47" t="n">
        <v>46139.9748726852</v>
      </c>
      <c r="P241" s="47" t="n">
        <v>46140.8625810185</v>
      </c>
    </row>
    <row r="242" customFormat="false" ht="15" hidden="false" customHeight="false" outlineLevel="0" collapsed="false">
      <c r="A242" s="45" t="n">
        <v>447</v>
      </c>
      <c r="B242" s="46" t="n">
        <v>46140</v>
      </c>
      <c r="C242" s="45" t="s">
        <v>145</v>
      </c>
      <c r="D242" s="45" t="s">
        <v>146</v>
      </c>
      <c r="E242" s="45" t="s">
        <v>421</v>
      </c>
      <c r="F242" s="45" t="s">
        <v>758</v>
      </c>
      <c r="G242" s="46" t="n">
        <v>46139</v>
      </c>
      <c r="H242" s="45" t="s">
        <v>169</v>
      </c>
      <c r="I242" s="45"/>
      <c r="J242" s="45"/>
      <c r="K242" s="45" t="n">
        <v>80</v>
      </c>
      <c r="L242" s="45" t="s">
        <v>263</v>
      </c>
      <c r="M242" s="45" t="s">
        <v>259</v>
      </c>
      <c r="N242" s="45" t="s">
        <v>169</v>
      </c>
      <c r="O242" s="47" t="n">
        <v>46140.8629282407</v>
      </c>
      <c r="P242" s="47" t="n">
        <v>46140.9184722222</v>
      </c>
    </row>
    <row r="243" customFormat="false" ht="15" hidden="false" customHeight="false" outlineLevel="0" collapsed="false">
      <c r="A243" s="45" t="n">
        <v>448</v>
      </c>
      <c r="B243" s="46" t="n">
        <v>46140</v>
      </c>
      <c r="C243" s="45" t="s">
        <v>131</v>
      </c>
      <c r="D243" s="45" t="s">
        <v>132</v>
      </c>
      <c r="E243" s="45" t="s">
        <v>326</v>
      </c>
      <c r="F243" s="45" t="s">
        <v>759</v>
      </c>
      <c r="G243" s="46" t="n">
        <v>46139</v>
      </c>
      <c r="H243" s="45" t="s">
        <v>167</v>
      </c>
      <c r="I243" s="45" t="s">
        <v>175</v>
      </c>
      <c r="J243" s="45" t="s">
        <v>760</v>
      </c>
      <c r="K243" s="45" t="n">
        <v>2.9</v>
      </c>
      <c r="L243" s="45" t="s">
        <v>263</v>
      </c>
      <c r="M243" s="45" t="s">
        <v>259</v>
      </c>
      <c r="N243" s="45" t="s">
        <v>167</v>
      </c>
      <c r="O243" s="47" t="n">
        <v>46140.9342592593</v>
      </c>
      <c r="P243" s="47" t="n">
        <v>46140.93625</v>
      </c>
    </row>
    <row r="244" customFormat="false" ht="15" hidden="false" customHeight="false" outlineLevel="0" collapsed="false">
      <c r="A244" s="45" t="n">
        <v>449</v>
      </c>
      <c r="B244" s="46" t="n">
        <v>46140</v>
      </c>
      <c r="C244" s="45" t="s">
        <v>131</v>
      </c>
      <c r="D244" s="45" t="s">
        <v>132</v>
      </c>
      <c r="E244" s="45" t="s">
        <v>218</v>
      </c>
      <c r="F244" s="45" t="s">
        <v>761</v>
      </c>
      <c r="G244" s="46" t="n">
        <v>46139</v>
      </c>
      <c r="H244" s="45" t="s">
        <v>167</v>
      </c>
      <c r="I244" s="45" t="s">
        <v>175</v>
      </c>
      <c r="J244" s="45" t="s">
        <v>762</v>
      </c>
      <c r="K244" s="45" t="n">
        <v>2.2</v>
      </c>
      <c r="L244" s="45" t="s">
        <v>263</v>
      </c>
      <c r="M244" s="45" t="s">
        <v>259</v>
      </c>
      <c r="N244" s="45" t="s">
        <v>167</v>
      </c>
      <c r="O244" s="47" t="n">
        <v>46140.9364930556</v>
      </c>
      <c r="P244" s="47" t="n">
        <v>46140.9380324074</v>
      </c>
    </row>
    <row r="245" customFormat="false" ht="15" hidden="false" customHeight="false" outlineLevel="0" collapsed="false">
      <c r="A245" s="45" t="n">
        <v>450</v>
      </c>
      <c r="B245" s="46" t="n">
        <v>46140</v>
      </c>
      <c r="C245" s="45" t="s">
        <v>131</v>
      </c>
      <c r="D245" s="45" t="s">
        <v>132</v>
      </c>
      <c r="E245" s="45" t="s">
        <v>222</v>
      </c>
      <c r="F245" s="45" t="s">
        <v>763</v>
      </c>
      <c r="G245" s="46" t="n">
        <v>46139</v>
      </c>
      <c r="H245" s="45" t="s">
        <v>167</v>
      </c>
      <c r="I245" s="45" t="s">
        <v>175</v>
      </c>
      <c r="J245" s="45" t="s">
        <v>764</v>
      </c>
      <c r="K245" s="45" t="n">
        <v>4.5</v>
      </c>
      <c r="L245" s="45" t="s">
        <v>263</v>
      </c>
      <c r="M245" s="45" t="s">
        <v>259</v>
      </c>
      <c r="N245" s="45" t="s">
        <v>167</v>
      </c>
      <c r="O245" s="47" t="n">
        <v>46140.9418634259</v>
      </c>
      <c r="P245" s="47" t="n">
        <v>46140.9449537037</v>
      </c>
    </row>
    <row r="246" customFormat="false" ht="15" hidden="false" customHeight="false" outlineLevel="0" collapsed="false">
      <c r="A246" s="45" t="n">
        <v>451</v>
      </c>
      <c r="B246" s="46" t="n">
        <v>46141</v>
      </c>
      <c r="C246" s="45" t="s">
        <v>143</v>
      </c>
      <c r="D246" s="45" t="s">
        <v>144</v>
      </c>
      <c r="E246" s="45" t="s">
        <v>385</v>
      </c>
      <c r="F246" s="45" t="s">
        <v>765</v>
      </c>
      <c r="G246" s="46" t="n">
        <v>46136</v>
      </c>
      <c r="H246" s="45" t="s">
        <v>167</v>
      </c>
      <c r="I246" s="45" t="s">
        <v>175</v>
      </c>
      <c r="J246" s="45" t="s">
        <v>766</v>
      </c>
      <c r="K246" s="45" t="n">
        <v>34.9</v>
      </c>
      <c r="L246" s="45" t="s">
        <v>263</v>
      </c>
      <c r="M246" s="45" t="s">
        <v>259</v>
      </c>
      <c r="N246" s="45" t="s">
        <v>167</v>
      </c>
      <c r="O246" s="47" t="n">
        <v>46141.0172222222</v>
      </c>
      <c r="P246" s="47" t="n">
        <v>46141.0414467593</v>
      </c>
    </row>
    <row r="247" customFormat="false" ht="15" hidden="false" customHeight="false" outlineLevel="0" collapsed="false">
      <c r="A247" s="45" t="n">
        <v>452</v>
      </c>
      <c r="B247" s="46" t="n">
        <v>46142</v>
      </c>
      <c r="C247" s="45" t="s">
        <v>131</v>
      </c>
      <c r="D247" s="45" t="s">
        <v>132</v>
      </c>
      <c r="E247" s="45" t="s">
        <v>326</v>
      </c>
      <c r="F247" s="45" t="s">
        <v>767</v>
      </c>
      <c r="G247" s="46" t="n">
        <v>46139</v>
      </c>
      <c r="H247" s="45" t="s">
        <v>167</v>
      </c>
      <c r="I247" s="45" t="s">
        <v>175</v>
      </c>
      <c r="J247" s="45" t="s">
        <v>768</v>
      </c>
      <c r="K247" s="45" t="n">
        <v>0.5</v>
      </c>
      <c r="L247" s="45" t="s">
        <v>263</v>
      </c>
      <c r="M247" s="45" t="s">
        <v>259</v>
      </c>
      <c r="N247" s="45" t="s">
        <v>167</v>
      </c>
      <c r="O247" s="47" t="n">
        <v>46142.8857407407</v>
      </c>
      <c r="P247" s="47" t="n">
        <v>46142.8861111111</v>
      </c>
    </row>
    <row r="248" customFormat="false" ht="15" hidden="false" customHeight="false" outlineLevel="0" collapsed="false">
      <c r="A248" s="45" t="n">
        <v>453</v>
      </c>
      <c r="B248" s="46" t="n">
        <v>46142</v>
      </c>
      <c r="C248" s="45" t="s">
        <v>131</v>
      </c>
      <c r="D248" s="45" t="s">
        <v>132</v>
      </c>
      <c r="E248" s="45" t="s">
        <v>222</v>
      </c>
      <c r="F248" s="45" t="s">
        <v>769</v>
      </c>
      <c r="G248" s="46" t="n">
        <v>46139</v>
      </c>
      <c r="H248" s="45" t="s">
        <v>167</v>
      </c>
      <c r="I248" s="45" t="s">
        <v>175</v>
      </c>
      <c r="J248" s="45" t="s">
        <v>770</v>
      </c>
      <c r="K248" s="45" t="n">
        <v>12.9</v>
      </c>
      <c r="L248" s="45" t="s">
        <v>263</v>
      </c>
      <c r="M248" s="45" t="s">
        <v>259</v>
      </c>
      <c r="N248" s="45" t="s">
        <v>167</v>
      </c>
      <c r="O248" s="47" t="n">
        <v>46142.8861574074</v>
      </c>
      <c r="P248" s="47" t="n">
        <v>46142.8950925926</v>
      </c>
    </row>
    <row r="249" customFormat="false" ht="15" hidden="false" customHeight="false" outlineLevel="0" collapsed="false">
      <c r="A249" s="45" t="n">
        <v>454</v>
      </c>
      <c r="B249" s="46" t="n">
        <v>46143</v>
      </c>
      <c r="C249" s="45" t="s">
        <v>131</v>
      </c>
      <c r="D249" s="45" t="s">
        <v>132</v>
      </c>
      <c r="E249" s="45" t="s">
        <v>222</v>
      </c>
      <c r="F249" s="45" t="s">
        <v>771</v>
      </c>
      <c r="G249" s="46" t="n">
        <v>46139</v>
      </c>
      <c r="H249" s="45" t="s">
        <v>167</v>
      </c>
      <c r="I249" s="45" t="s">
        <v>175</v>
      </c>
      <c r="J249" s="45" t="s">
        <v>772</v>
      </c>
      <c r="K249" s="45" t="n">
        <v>1.9</v>
      </c>
      <c r="L249" s="45" t="s">
        <v>259</v>
      </c>
      <c r="M249" s="45" t="s">
        <v>259</v>
      </c>
      <c r="N249" s="45" t="s">
        <v>167</v>
      </c>
      <c r="O249" s="47" t="n">
        <v>46143.8700231482</v>
      </c>
      <c r="P249" s="47" t="n">
        <v>46143.8713194444</v>
      </c>
    </row>
    <row r="250" customFormat="false" ht="15" hidden="false" customHeight="false" outlineLevel="0" collapsed="false">
      <c r="A250" s="45" t="n">
        <v>455</v>
      </c>
      <c r="B250" s="46" t="n">
        <v>46143</v>
      </c>
      <c r="C250" s="45" t="s">
        <v>131</v>
      </c>
      <c r="D250" s="45" t="s">
        <v>132</v>
      </c>
      <c r="E250" s="45" t="s">
        <v>773</v>
      </c>
      <c r="F250" s="45" t="s">
        <v>771</v>
      </c>
      <c r="G250" s="46" t="n">
        <v>46142</v>
      </c>
      <c r="H250" s="45" t="s">
        <v>57</v>
      </c>
      <c r="I250" s="45" t="s">
        <v>200</v>
      </c>
      <c r="J250" s="45" t="s">
        <v>774</v>
      </c>
      <c r="K250" s="45" t="n">
        <v>2.5</v>
      </c>
      <c r="L250" s="45" t="s">
        <v>259</v>
      </c>
      <c r="M250" s="45" t="s">
        <v>263</v>
      </c>
      <c r="N250" s="45" t="s">
        <v>57</v>
      </c>
      <c r="O250" s="47" t="n">
        <v>46143.8713888889</v>
      </c>
      <c r="P250" s="47" t="n">
        <v>46143.8731481481</v>
      </c>
    </row>
    <row r="251" customFormat="false" ht="15" hidden="false" customHeight="false" outlineLevel="0" collapsed="false">
      <c r="A251" s="45" t="n">
        <v>456</v>
      </c>
      <c r="B251" s="46" t="n">
        <v>46146</v>
      </c>
      <c r="C251" s="45" t="s">
        <v>131</v>
      </c>
      <c r="D251" s="45" t="s">
        <v>132</v>
      </c>
      <c r="E251" s="45" t="s">
        <v>577</v>
      </c>
      <c r="F251" s="45" t="s">
        <v>775</v>
      </c>
      <c r="G251" s="46" t="n">
        <v>46143</v>
      </c>
      <c r="H251" s="45" t="s">
        <v>167</v>
      </c>
      <c r="I251" s="45" t="s">
        <v>175</v>
      </c>
      <c r="J251" s="45" t="s">
        <v>776</v>
      </c>
      <c r="K251" s="45" t="n">
        <v>4.3</v>
      </c>
      <c r="L251" s="45" t="s">
        <v>263</v>
      </c>
      <c r="M251" s="45" t="s">
        <v>259</v>
      </c>
      <c r="N251" s="45" t="s">
        <v>167</v>
      </c>
      <c r="O251" s="47" t="n">
        <v>46146.6392361111</v>
      </c>
      <c r="P251" s="47" t="n">
        <v>46146.6422453704</v>
      </c>
    </row>
    <row r="252" customFormat="false" ht="15" hidden="false" customHeight="false" outlineLevel="0" collapsed="false">
      <c r="A252" s="45" t="n">
        <v>457</v>
      </c>
      <c r="B252" s="46" t="n">
        <v>46146</v>
      </c>
      <c r="C252" s="45" t="s">
        <v>131</v>
      </c>
      <c r="D252" s="45" t="s">
        <v>132</v>
      </c>
      <c r="E252" s="45" t="s">
        <v>239</v>
      </c>
      <c r="F252" s="45" t="s">
        <v>777</v>
      </c>
      <c r="G252" s="46" t="n">
        <v>46143</v>
      </c>
      <c r="H252" s="45" t="s">
        <v>167</v>
      </c>
      <c r="I252" s="45" t="s">
        <v>175</v>
      </c>
      <c r="J252" s="45" t="s">
        <v>778</v>
      </c>
      <c r="K252" s="45" t="n">
        <v>5.7</v>
      </c>
      <c r="L252" s="45" t="s">
        <v>263</v>
      </c>
      <c r="M252" s="45" t="s">
        <v>259</v>
      </c>
      <c r="N252" s="45" t="s">
        <v>167</v>
      </c>
      <c r="O252" s="47" t="n">
        <v>46146.6423032407</v>
      </c>
      <c r="P252" s="47" t="n">
        <v>46146.6462847222</v>
      </c>
    </row>
    <row r="253" customFormat="false" ht="15" hidden="false" customHeight="false" outlineLevel="0" collapsed="false">
      <c r="A253" s="45" t="n">
        <v>458</v>
      </c>
      <c r="B253" s="46" t="n">
        <v>46146</v>
      </c>
      <c r="C253" s="45" t="s">
        <v>131</v>
      </c>
      <c r="D253" s="45" t="s">
        <v>132</v>
      </c>
      <c r="E253" s="45" t="s">
        <v>218</v>
      </c>
      <c r="F253" s="45" t="s">
        <v>779</v>
      </c>
      <c r="G253" s="46" t="n">
        <v>46143</v>
      </c>
      <c r="H253" s="45" t="s">
        <v>167</v>
      </c>
      <c r="I253" s="45" t="s">
        <v>175</v>
      </c>
      <c r="J253" s="45" t="s">
        <v>780</v>
      </c>
      <c r="K253" s="45" t="n">
        <v>2</v>
      </c>
      <c r="L253" s="45" t="s">
        <v>263</v>
      </c>
      <c r="M253" s="45" t="s">
        <v>259</v>
      </c>
      <c r="N253" s="45" t="s">
        <v>167</v>
      </c>
      <c r="O253" s="47" t="n">
        <v>46146.6571990741</v>
      </c>
      <c r="P253" s="47" t="n">
        <v>46146.6586226852</v>
      </c>
    </row>
    <row r="254" customFormat="false" ht="15" hidden="false" customHeight="false" outlineLevel="0" collapsed="false">
      <c r="A254" s="45" t="n">
        <v>459</v>
      </c>
      <c r="B254" s="46" t="n">
        <v>46146</v>
      </c>
      <c r="C254" s="45" t="s">
        <v>131</v>
      </c>
      <c r="D254" s="45" t="s">
        <v>132</v>
      </c>
      <c r="E254" s="45" t="s">
        <v>487</v>
      </c>
      <c r="F254" s="45" t="s">
        <v>781</v>
      </c>
      <c r="G254" s="46" t="n">
        <v>46143</v>
      </c>
      <c r="H254" s="45" t="s">
        <v>167</v>
      </c>
      <c r="I254" s="45" t="s">
        <v>175</v>
      </c>
      <c r="J254" s="45" t="s">
        <v>782</v>
      </c>
      <c r="K254" s="45" t="n">
        <v>2.1</v>
      </c>
      <c r="L254" s="45" t="s">
        <v>263</v>
      </c>
      <c r="M254" s="45" t="s">
        <v>259</v>
      </c>
      <c r="N254" s="45" t="s">
        <v>167</v>
      </c>
      <c r="O254" s="47" t="n">
        <v>46146.6587962963</v>
      </c>
      <c r="P254" s="47" t="n">
        <v>46146.6602777778</v>
      </c>
    </row>
    <row r="255" customFormat="false" ht="15" hidden="false" customHeight="false" outlineLevel="0" collapsed="false">
      <c r="A255" s="45" t="n">
        <v>460</v>
      </c>
      <c r="B255" s="46" t="n">
        <v>46146</v>
      </c>
      <c r="C255" s="45" t="s">
        <v>131</v>
      </c>
      <c r="D255" s="45" t="s">
        <v>132</v>
      </c>
      <c r="E255" s="45" t="s">
        <v>242</v>
      </c>
      <c r="F255" s="45" t="s">
        <v>783</v>
      </c>
      <c r="G255" s="46" t="n">
        <v>46143</v>
      </c>
      <c r="H255" s="45" t="s">
        <v>167</v>
      </c>
      <c r="I255" s="45" t="s">
        <v>175</v>
      </c>
      <c r="J255" s="45" t="s">
        <v>784</v>
      </c>
      <c r="K255" s="45" t="n">
        <v>109.8</v>
      </c>
      <c r="L255" s="45" t="s">
        <v>263</v>
      </c>
      <c r="M255" s="45" t="s">
        <v>259</v>
      </c>
      <c r="N255" s="45" t="s">
        <v>167</v>
      </c>
      <c r="O255" s="47" t="n">
        <v>46146.6608217593</v>
      </c>
      <c r="P255" s="47" t="n">
        <v>46146.737037037</v>
      </c>
    </row>
    <row r="256" customFormat="false" ht="15" hidden="false" customHeight="false" outlineLevel="0" collapsed="false">
      <c r="A256" s="45" t="n">
        <v>461</v>
      </c>
      <c r="B256" s="46" t="n">
        <v>46147</v>
      </c>
      <c r="C256" s="45" t="s">
        <v>131</v>
      </c>
      <c r="D256" s="45" t="s">
        <v>132</v>
      </c>
      <c r="E256" s="45" t="s">
        <v>415</v>
      </c>
      <c r="F256" s="45" t="s">
        <v>785</v>
      </c>
      <c r="G256" s="46" t="n">
        <v>46146</v>
      </c>
      <c r="H256" s="45" t="s">
        <v>167</v>
      </c>
      <c r="I256" s="45" t="s">
        <v>175</v>
      </c>
      <c r="J256" s="45" t="s">
        <v>786</v>
      </c>
      <c r="K256" s="45" t="n">
        <v>2.9</v>
      </c>
      <c r="L256" s="45" t="s">
        <v>263</v>
      </c>
      <c r="M256" s="45" t="s">
        <v>259</v>
      </c>
      <c r="N256" s="45" t="s">
        <v>167</v>
      </c>
      <c r="O256" s="47" t="n">
        <v>46147.6562268519</v>
      </c>
      <c r="P256" s="47" t="n">
        <v>46147.6582407407</v>
      </c>
    </row>
    <row r="257" customFormat="false" ht="15" hidden="false" customHeight="false" outlineLevel="0" collapsed="false">
      <c r="A257" s="45" t="n">
        <v>462</v>
      </c>
      <c r="B257" s="46" t="n">
        <v>46147</v>
      </c>
      <c r="C257" s="45" t="s">
        <v>131</v>
      </c>
      <c r="D257" s="45" t="s">
        <v>132</v>
      </c>
      <c r="E257" s="45" t="s">
        <v>220</v>
      </c>
      <c r="F257" s="45" t="s">
        <v>787</v>
      </c>
      <c r="G257" s="46" t="n">
        <v>46146</v>
      </c>
      <c r="H257" s="45" t="s">
        <v>167</v>
      </c>
      <c r="I257" s="45" t="s">
        <v>176</v>
      </c>
      <c r="J257" s="45" t="s">
        <v>788</v>
      </c>
      <c r="K257" s="45" t="n">
        <v>2.5</v>
      </c>
      <c r="L257" s="45" t="s">
        <v>263</v>
      </c>
      <c r="M257" s="45" t="s">
        <v>259</v>
      </c>
      <c r="N257" s="45" t="s">
        <v>167</v>
      </c>
      <c r="O257" s="47" t="n">
        <v>46147.6582638889</v>
      </c>
      <c r="P257" s="47" t="n">
        <v>46147.6599884259</v>
      </c>
    </row>
    <row r="258" customFormat="false" ht="15" hidden="false" customHeight="false" outlineLevel="0" collapsed="false">
      <c r="A258" s="45" t="n">
        <v>463</v>
      </c>
      <c r="B258" s="46" t="n">
        <v>46147</v>
      </c>
      <c r="C258" s="45" t="s">
        <v>131</v>
      </c>
      <c r="D258" s="45" t="s">
        <v>132</v>
      </c>
      <c r="E258" s="45" t="s">
        <v>220</v>
      </c>
      <c r="F258" s="45" t="s">
        <v>789</v>
      </c>
      <c r="G258" s="46" t="n">
        <v>46146</v>
      </c>
      <c r="H258" s="45" t="s">
        <v>168</v>
      </c>
      <c r="I258" s="45" t="s">
        <v>197</v>
      </c>
      <c r="J258" s="45" t="s">
        <v>790</v>
      </c>
      <c r="K258" s="45" t="n">
        <v>1.6</v>
      </c>
      <c r="L258" s="45" t="s">
        <v>263</v>
      </c>
      <c r="M258" s="45" t="s">
        <v>259</v>
      </c>
      <c r="N258" s="45" t="s">
        <v>264</v>
      </c>
      <c r="O258" s="47" t="n">
        <v>46147.6600231482</v>
      </c>
      <c r="P258" s="47" t="n">
        <v>46147.6611574074</v>
      </c>
    </row>
    <row r="259" customFormat="false" ht="15" hidden="false" customHeight="false" outlineLevel="0" collapsed="false">
      <c r="A259" s="45" t="n">
        <v>464</v>
      </c>
      <c r="B259" s="46" t="n">
        <v>46147</v>
      </c>
      <c r="C259" s="45" t="s">
        <v>145</v>
      </c>
      <c r="D259" s="45" t="s">
        <v>146</v>
      </c>
      <c r="E259" s="45" t="s">
        <v>421</v>
      </c>
      <c r="F259" s="45" t="s">
        <v>791</v>
      </c>
      <c r="G259" s="46" t="n">
        <v>46147</v>
      </c>
      <c r="H259" s="45" t="s">
        <v>167</v>
      </c>
      <c r="I259" s="45" t="s">
        <v>176</v>
      </c>
      <c r="J259" s="45" t="s">
        <v>792</v>
      </c>
      <c r="K259" s="45" t="n">
        <v>59.9</v>
      </c>
      <c r="L259" s="45" t="s">
        <v>263</v>
      </c>
      <c r="M259" s="45" t="s">
        <v>259</v>
      </c>
      <c r="N259" s="45" t="s">
        <v>167</v>
      </c>
      <c r="O259" s="47" t="n">
        <v>46147.7096759259</v>
      </c>
      <c r="P259" s="47" t="n">
        <v>46147.7512847222</v>
      </c>
    </row>
    <row r="260" customFormat="false" ht="15" hidden="false" customHeight="false" outlineLevel="0" collapsed="false">
      <c r="A260" s="45" t="n">
        <v>465</v>
      </c>
      <c r="B260" s="46" t="n">
        <v>46147</v>
      </c>
      <c r="C260" s="45" t="s">
        <v>145</v>
      </c>
      <c r="D260" s="45" t="s">
        <v>146</v>
      </c>
      <c r="E260" s="45" t="s">
        <v>683</v>
      </c>
      <c r="F260" s="45" t="s">
        <v>793</v>
      </c>
      <c r="G260" s="46" t="n">
        <v>46146</v>
      </c>
      <c r="H260" s="45" t="s">
        <v>168</v>
      </c>
      <c r="I260" s="45" t="s">
        <v>194</v>
      </c>
      <c r="J260" s="45" t="s">
        <v>794</v>
      </c>
      <c r="K260" s="45" t="n">
        <v>7.1</v>
      </c>
      <c r="L260" s="45" t="s">
        <v>263</v>
      </c>
      <c r="M260" s="45" t="s">
        <v>259</v>
      </c>
      <c r="N260" s="45" t="s">
        <v>264</v>
      </c>
      <c r="O260" s="47" t="n">
        <v>46147.7514814815</v>
      </c>
      <c r="P260" s="47" t="n">
        <v>46147.756412037</v>
      </c>
    </row>
    <row r="261" customFormat="false" ht="15" hidden="false" customHeight="false" outlineLevel="0" collapsed="false">
      <c r="A261" s="45" t="n">
        <v>466</v>
      </c>
      <c r="B261" s="46" t="n">
        <v>46147</v>
      </c>
      <c r="C261" s="45" t="s">
        <v>145</v>
      </c>
      <c r="D261" s="45" t="s">
        <v>146</v>
      </c>
      <c r="E261" s="45" t="s">
        <v>795</v>
      </c>
      <c r="F261" s="45" t="s">
        <v>796</v>
      </c>
      <c r="G261" s="46" t="n">
        <v>46146</v>
      </c>
      <c r="H261" s="45" t="s">
        <v>170</v>
      </c>
      <c r="I261" s="45" t="s">
        <v>207</v>
      </c>
      <c r="J261" s="45" t="s">
        <v>797</v>
      </c>
      <c r="K261" s="45" t="n">
        <v>1.3</v>
      </c>
      <c r="L261" s="45" t="s">
        <v>263</v>
      </c>
      <c r="M261" s="45" t="s">
        <v>259</v>
      </c>
      <c r="N261" s="45" t="s">
        <v>478</v>
      </c>
      <c r="O261" s="47" t="n">
        <v>46147.7577199074</v>
      </c>
      <c r="P261" s="47" t="n">
        <v>46147.7586226852</v>
      </c>
    </row>
    <row r="262" customFormat="false" ht="15" hidden="false" customHeight="false" outlineLevel="0" collapsed="false">
      <c r="A262" s="45" t="n">
        <v>467</v>
      </c>
      <c r="B262" s="46" t="n">
        <v>46147</v>
      </c>
      <c r="C262" s="45" t="s">
        <v>145</v>
      </c>
      <c r="D262" s="45" t="s">
        <v>146</v>
      </c>
      <c r="E262" s="45" t="s">
        <v>284</v>
      </c>
      <c r="F262" s="45" t="s">
        <v>798</v>
      </c>
      <c r="G262" s="46" t="n">
        <v>46146</v>
      </c>
      <c r="H262" s="45" t="s">
        <v>167</v>
      </c>
      <c r="I262" s="45" t="s">
        <v>177</v>
      </c>
      <c r="J262" s="45" t="s">
        <v>799</v>
      </c>
      <c r="K262" s="45" t="n">
        <v>22.8</v>
      </c>
      <c r="L262" s="45" t="s">
        <v>263</v>
      </c>
      <c r="M262" s="45" t="s">
        <v>259</v>
      </c>
      <c r="N262" s="45" t="s">
        <v>167</v>
      </c>
      <c r="O262" s="47" t="n">
        <v>46147.7587731482</v>
      </c>
      <c r="P262" s="47" t="n">
        <v>46147.7745949074</v>
      </c>
    </row>
    <row r="263" customFormat="false" ht="15" hidden="false" customHeight="false" outlineLevel="0" collapsed="false">
      <c r="A263" s="45" t="n">
        <v>468</v>
      </c>
      <c r="B263" s="46" t="n">
        <v>46147</v>
      </c>
      <c r="C263" s="45" t="s">
        <v>133</v>
      </c>
      <c r="D263" s="45" t="s">
        <v>134</v>
      </c>
      <c r="E263" s="45" t="s">
        <v>219</v>
      </c>
      <c r="F263" s="45" t="s">
        <v>800</v>
      </c>
      <c r="G263" s="46" t="n">
        <v>46146</v>
      </c>
      <c r="H263" s="45" t="s">
        <v>57</v>
      </c>
      <c r="I263" s="45" t="s">
        <v>200</v>
      </c>
      <c r="J263" s="45" t="s">
        <v>801</v>
      </c>
      <c r="K263" s="45" t="n">
        <v>13</v>
      </c>
      <c r="L263" s="45" t="s">
        <v>263</v>
      </c>
      <c r="M263" s="45" t="s">
        <v>259</v>
      </c>
      <c r="N263" s="45" t="s">
        <v>57</v>
      </c>
      <c r="O263" s="47" t="n">
        <v>46147.7680902778</v>
      </c>
      <c r="P263" s="47" t="n">
        <v>46147.7771412037</v>
      </c>
    </row>
    <row r="264" customFormat="false" ht="15" hidden="false" customHeight="false" outlineLevel="0" collapsed="false">
      <c r="A264" s="45" t="n">
        <v>471</v>
      </c>
      <c r="B264" s="46" t="n">
        <v>46147</v>
      </c>
      <c r="C264" s="45" t="s">
        <v>133</v>
      </c>
      <c r="D264" s="45" t="s">
        <v>134</v>
      </c>
      <c r="E264" s="45" t="s">
        <v>219</v>
      </c>
      <c r="F264" s="45" t="s">
        <v>802</v>
      </c>
      <c r="G264" s="46" t="n">
        <v>46146</v>
      </c>
      <c r="H264" s="45" t="s">
        <v>168</v>
      </c>
      <c r="I264" s="45" t="s">
        <v>192</v>
      </c>
      <c r="J264" s="45" t="s">
        <v>803</v>
      </c>
      <c r="K264" s="45" t="n">
        <v>89.7</v>
      </c>
      <c r="L264" s="45" t="s">
        <v>263</v>
      </c>
      <c r="M264" s="45" t="s">
        <v>259</v>
      </c>
      <c r="N264" s="45" t="s">
        <v>264</v>
      </c>
      <c r="O264" s="47" t="n">
        <v>46147.8782986111</v>
      </c>
      <c r="P264" s="47" t="n">
        <v>46147.9405555556</v>
      </c>
    </row>
    <row r="265" customFormat="false" ht="15" hidden="false" customHeight="false" outlineLevel="0" collapsed="false">
      <c r="A265" s="45" t="n">
        <v>469</v>
      </c>
      <c r="B265" s="46" t="n">
        <v>46147</v>
      </c>
      <c r="C265" s="45" t="s">
        <v>143</v>
      </c>
      <c r="D265" s="45" t="s">
        <v>144</v>
      </c>
      <c r="E265" s="45" t="s">
        <v>230</v>
      </c>
      <c r="F265" s="45" t="s">
        <v>804</v>
      </c>
      <c r="G265" s="46" t="n">
        <v>46147</v>
      </c>
      <c r="H265" s="45" t="s">
        <v>167</v>
      </c>
      <c r="I265" s="45" t="s">
        <v>175</v>
      </c>
      <c r="J265" s="45" t="s">
        <v>805</v>
      </c>
      <c r="K265" s="45" t="n">
        <v>2</v>
      </c>
      <c r="L265" s="45" t="s">
        <v>263</v>
      </c>
      <c r="M265" s="45" t="s">
        <v>259</v>
      </c>
      <c r="N265" s="45" t="s">
        <v>167</v>
      </c>
      <c r="O265" s="47" t="n">
        <v>46147.9053703704</v>
      </c>
      <c r="P265" s="47" t="n">
        <v>46147.9067361111</v>
      </c>
    </row>
    <row r="266" customFormat="false" ht="15" hidden="false" customHeight="false" outlineLevel="0" collapsed="false">
      <c r="A266" s="45" t="n">
        <v>470</v>
      </c>
      <c r="B266" s="46" t="n">
        <v>46147</v>
      </c>
      <c r="C266" s="45" t="s">
        <v>145</v>
      </c>
      <c r="D266" s="45" t="s">
        <v>146</v>
      </c>
      <c r="E266" s="45" t="s">
        <v>683</v>
      </c>
      <c r="F266" s="45" t="s">
        <v>806</v>
      </c>
      <c r="G266" s="46" t="n">
        <v>46147</v>
      </c>
      <c r="H266" s="45" t="s">
        <v>57</v>
      </c>
      <c r="I266" s="45" t="s">
        <v>202</v>
      </c>
      <c r="J266" s="45" t="s">
        <v>807</v>
      </c>
      <c r="K266" s="45" t="n">
        <v>5.2</v>
      </c>
      <c r="L266" s="45" t="s">
        <v>263</v>
      </c>
      <c r="M266" s="45" t="s">
        <v>259</v>
      </c>
      <c r="N266" s="45" t="s">
        <v>57</v>
      </c>
      <c r="O266" s="47" t="n">
        <v>46147.922337963</v>
      </c>
      <c r="P266" s="47" t="n">
        <v>46147.9259490741</v>
      </c>
    </row>
    <row r="267" customFormat="false" ht="15" hidden="false" customHeight="false" outlineLevel="0" collapsed="false">
      <c r="A267" s="45" t="n">
        <v>472</v>
      </c>
      <c r="B267" s="46" t="n">
        <v>46147</v>
      </c>
      <c r="C267" s="45" t="s">
        <v>145</v>
      </c>
      <c r="D267" s="45" t="s">
        <v>146</v>
      </c>
      <c r="E267" s="45" t="s">
        <v>795</v>
      </c>
      <c r="F267" s="45" t="s">
        <v>808</v>
      </c>
      <c r="G267" s="46" t="n">
        <v>46147</v>
      </c>
      <c r="H267" s="45" t="s">
        <v>169</v>
      </c>
      <c r="I267" s="45"/>
      <c r="J267" s="45"/>
      <c r="K267" s="45" t="n">
        <v>0.5</v>
      </c>
      <c r="L267" s="45" t="s">
        <v>263</v>
      </c>
      <c r="M267" s="45" t="s">
        <v>259</v>
      </c>
      <c r="N267" s="45" t="s">
        <v>169</v>
      </c>
      <c r="O267" s="47" t="n">
        <v>46147.9533101852</v>
      </c>
      <c r="P267" s="47" t="n">
        <v>46147.9536458333</v>
      </c>
    </row>
    <row r="268" customFormat="false" ht="15" hidden="false" customHeight="false" outlineLevel="0" collapsed="false">
      <c r="A268" s="45" t="n">
        <v>473</v>
      </c>
      <c r="B268" s="46" t="n">
        <v>46147</v>
      </c>
      <c r="C268" s="45" t="s">
        <v>133</v>
      </c>
      <c r="D268" s="45" t="s">
        <v>134</v>
      </c>
      <c r="E268" s="45" t="s">
        <v>219</v>
      </c>
      <c r="F268" s="45" t="s">
        <v>809</v>
      </c>
      <c r="G268" s="46" t="n">
        <v>46146</v>
      </c>
      <c r="H268" s="45" t="s">
        <v>167</v>
      </c>
      <c r="I268" s="45" t="s">
        <v>175</v>
      </c>
      <c r="J268" s="45" t="s">
        <v>810</v>
      </c>
      <c r="K268" s="45" t="n">
        <v>831.6</v>
      </c>
      <c r="L268" s="45" t="s">
        <v>263</v>
      </c>
      <c r="M268" s="45" t="s">
        <v>259</v>
      </c>
      <c r="N268" s="45" t="s">
        <v>167</v>
      </c>
      <c r="O268" s="47" t="n">
        <v>46147.9739699074</v>
      </c>
      <c r="P268" s="47" t="n">
        <v>46148.5514699074</v>
      </c>
    </row>
    <row r="269" customFormat="false" ht="15" hidden="false" customHeight="false" outlineLevel="0" collapsed="false">
      <c r="A269" s="45" t="n">
        <v>474</v>
      </c>
      <c r="B269" s="46" t="n">
        <v>46148</v>
      </c>
      <c r="C269" s="45" t="s">
        <v>133</v>
      </c>
      <c r="D269" s="45" t="s">
        <v>134</v>
      </c>
      <c r="E269" s="45" t="s">
        <v>238</v>
      </c>
      <c r="F269" s="45" t="s">
        <v>811</v>
      </c>
      <c r="G269" s="46" t="n">
        <v>46146</v>
      </c>
      <c r="H269" s="45" t="s">
        <v>167</v>
      </c>
      <c r="I269" s="45" t="s">
        <v>175</v>
      </c>
      <c r="J269" s="45" t="s">
        <v>812</v>
      </c>
      <c r="K269" s="45" t="n">
        <v>9.8</v>
      </c>
      <c r="L269" s="45" t="s">
        <v>263</v>
      </c>
      <c r="M269" s="45" t="s">
        <v>259</v>
      </c>
      <c r="N269" s="45" t="s">
        <v>167</v>
      </c>
      <c r="O269" s="47" t="n">
        <v>46148.5521527778</v>
      </c>
      <c r="P269" s="47" t="n">
        <v>46148.5589583333</v>
      </c>
    </row>
    <row r="270" customFormat="false" ht="15" hidden="false" customHeight="false" outlineLevel="0" collapsed="false">
      <c r="A270" s="45" t="n">
        <v>475</v>
      </c>
      <c r="B270" s="46" t="n">
        <v>46148</v>
      </c>
      <c r="C270" s="45" t="s">
        <v>133</v>
      </c>
      <c r="D270" s="45" t="s">
        <v>134</v>
      </c>
      <c r="E270" s="45" t="s">
        <v>734</v>
      </c>
      <c r="F270" s="45" t="s">
        <v>813</v>
      </c>
      <c r="G270" s="46" t="n">
        <v>46146</v>
      </c>
      <c r="H270" s="45" t="s">
        <v>168</v>
      </c>
      <c r="I270" s="45" t="s">
        <v>191</v>
      </c>
      <c r="J270" s="45" t="s">
        <v>814</v>
      </c>
      <c r="K270" s="45" t="n">
        <v>35.6</v>
      </c>
      <c r="L270" s="45" t="s">
        <v>263</v>
      </c>
      <c r="M270" s="45" t="s">
        <v>259</v>
      </c>
      <c r="N270" s="45" t="s">
        <v>264</v>
      </c>
      <c r="O270" s="47" t="n">
        <v>46148.5600347222</v>
      </c>
      <c r="P270" s="47" t="n">
        <v>46148.5847685185</v>
      </c>
    </row>
    <row r="271" customFormat="false" ht="15" hidden="false" customHeight="false" outlineLevel="0" collapsed="false">
      <c r="A271" s="45" t="n">
        <v>476</v>
      </c>
      <c r="B271" s="46" t="n">
        <v>46148</v>
      </c>
      <c r="C271" s="45" t="s">
        <v>133</v>
      </c>
      <c r="D271" s="45" t="s">
        <v>134</v>
      </c>
      <c r="E271" s="45" t="s">
        <v>582</v>
      </c>
      <c r="F271" s="45" t="s">
        <v>815</v>
      </c>
      <c r="G271" s="46" t="n">
        <v>46146</v>
      </c>
      <c r="H271" s="45" t="s">
        <v>167</v>
      </c>
      <c r="I271" s="45" t="s">
        <v>175</v>
      </c>
      <c r="J271" s="45" t="s">
        <v>816</v>
      </c>
      <c r="K271" s="45" t="n">
        <v>13.2</v>
      </c>
      <c r="L271" s="45" t="s">
        <v>263</v>
      </c>
      <c r="M271" s="45" t="s">
        <v>259</v>
      </c>
      <c r="N271" s="45" t="s">
        <v>167</v>
      </c>
      <c r="O271" s="47" t="n">
        <v>46148.5849652778</v>
      </c>
      <c r="P271" s="47" t="n">
        <v>46148.5941435185</v>
      </c>
    </row>
    <row r="272" customFormat="false" ht="15" hidden="false" customHeight="false" outlineLevel="0" collapsed="false">
      <c r="A272" s="45" t="n">
        <v>485</v>
      </c>
      <c r="B272" s="46" t="n">
        <v>46148</v>
      </c>
      <c r="C272" s="45" t="s">
        <v>133</v>
      </c>
      <c r="D272" s="45" t="s">
        <v>134</v>
      </c>
      <c r="E272" s="45" t="s">
        <v>543</v>
      </c>
      <c r="F272" s="45" t="s">
        <v>817</v>
      </c>
      <c r="G272" s="46" t="n">
        <v>46147</v>
      </c>
      <c r="H272" s="45" t="s">
        <v>167</v>
      </c>
      <c r="I272" s="45" t="s">
        <v>175</v>
      </c>
      <c r="J272" s="45" t="s">
        <v>818</v>
      </c>
      <c r="K272" s="45" t="n">
        <v>421</v>
      </c>
      <c r="L272" s="45" t="s">
        <v>263</v>
      </c>
      <c r="M272" s="45" t="s">
        <v>259</v>
      </c>
      <c r="N272" s="45" t="s">
        <v>167</v>
      </c>
      <c r="O272" s="47" t="n">
        <v>46148.5942013889</v>
      </c>
      <c r="P272" s="47" t="n">
        <v>46148.8865740741</v>
      </c>
    </row>
    <row r="273" customFormat="false" ht="15" hidden="false" customHeight="false" outlineLevel="0" collapsed="false">
      <c r="A273" s="45" t="n">
        <v>477</v>
      </c>
      <c r="B273" s="46" t="n">
        <v>46148</v>
      </c>
      <c r="C273" s="45" t="s">
        <v>135</v>
      </c>
      <c r="D273" s="45" t="s">
        <v>136</v>
      </c>
      <c r="E273" s="45" t="s">
        <v>819</v>
      </c>
      <c r="F273" s="45" t="s">
        <v>820</v>
      </c>
      <c r="G273" s="46" t="n">
        <v>46143</v>
      </c>
      <c r="H273" s="45" t="s">
        <v>167</v>
      </c>
      <c r="I273" s="45" t="s">
        <v>176</v>
      </c>
      <c r="J273" s="45" t="s">
        <v>821</v>
      </c>
      <c r="K273" s="45" t="n">
        <v>3.7</v>
      </c>
      <c r="L273" s="45" t="s">
        <v>263</v>
      </c>
      <c r="M273" s="45" t="s">
        <v>259</v>
      </c>
      <c r="N273" s="45" t="s">
        <v>167</v>
      </c>
      <c r="O273" s="47" t="n">
        <v>46148.6493287037</v>
      </c>
      <c r="P273" s="47" t="n">
        <v>46148.6519097222</v>
      </c>
    </row>
    <row r="274" customFormat="false" ht="15" hidden="false" customHeight="false" outlineLevel="0" collapsed="false">
      <c r="A274" s="45" t="n">
        <v>478</v>
      </c>
      <c r="B274" s="46" t="n">
        <v>46148</v>
      </c>
      <c r="C274" s="45" t="s">
        <v>135</v>
      </c>
      <c r="D274" s="45" t="s">
        <v>136</v>
      </c>
      <c r="E274" s="45" t="s">
        <v>475</v>
      </c>
      <c r="F274" s="45" t="s">
        <v>822</v>
      </c>
      <c r="G274" s="46" t="n">
        <v>46143</v>
      </c>
      <c r="H274" s="45" t="s">
        <v>168</v>
      </c>
      <c r="I274" s="45" t="s">
        <v>191</v>
      </c>
      <c r="J274" s="45" t="s">
        <v>823</v>
      </c>
      <c r="K274" s="45" t="n">
        <v>2.1</v>
      </c>
      <c r="L274" s="45" t="s">
        <v>263</v>
      </c>
      <c r="M274" s="45" t="s">
        <v>259</v>
      </c>
      <c r="N274" s="45" t="s">
        <v>264</v>
      </c>
      <c r="O274" s="47" t="n">
        <v>46148.6519444444</v>
      </c>
      <c r="P274" s="47" t="n">
        <v>46148.6534375</v>
      </c>
    </row>
    <row r="275" customFormat="false" ht="15" hidden="false" customHeight="false" outlineLevel="0" collapsed="false">
      <c r="A275" s="45" t="n">
        <v>479</v>
      </c>
      <c r="B275" s="46" t="n">
        <v>46148</v>
      </c>
      <c r="C275" s="45" t="s">
        <v>135</v>
      </c>
      <c r="D275" s="45" t="s">
        <v>136</v>
      </c>
      <c r="E275" s="45" t="s">
        <v>819</v>
      </c>
      <c r="F275" s="45" t="s">
        <v>824</v>
      </c>
      <c r="G275" s="46" t="n">
        <v>46143</v>
      </c>
      <c r="H275" s="45" t="s">
        <v>167</v>
      </c>
      <c r="I275" s="45" t="s">
        <v>175</v>
      </c>
      <c r="J275" s="45" t="s">
        <v>825</v>
      </c>
      <c r="K275" s="45" t="n">
        <v>8.2</v>
      </c>
      <c r="L275" s="45" t="s">
        <v>263</v>
      </c>
      <c r="M275" s="45" t="s">
        <v>259</v>
      </c>
      <c r="N275" s="45" t="s">
        <v>167</v>
      </c>
      <c r="O275" s="47" t="n">
        <v>46148.6534953704</v>
      </c>
      <c r="P275" s="47" t="n">
        <v>46148.6591550926</v>
      </c>
    </row>
    <row r="276" customFormat="false" ht="15" hidden="false" customHeight="false" outlineLevel="0" collapsed="false">
      <c r="A276" s="45" t="n">
        <v>480</v>
      </c>
      <c r="B276" s="46" t="n">
        <v>46148</v>
      </c>
      <c r="C276" s="45" t="s">
        <v>135</v>
      </c>
      <c r="D276" s="45" t="s">
        <v>136</v>
      </c>
      <c r="E276" s="45" t="s">
        <v>227</v>
      </c>
      <c r="F276" s="45" t="s">
        <v>826</v>
      </c>
      <c r="G276" s="46" t="n">
        <v>46143</v>
      </c>
      <c r="H276" s="45" t="s">
        <v>167</v>
      </c>
      <c r="I276" s="45" t="s">
        <v>175</v>
      </c>
      <c r="J276" s="45" t="s">
        <v>827</v>
      </c>
      <c r="K276" s="45" t="n">
        <v>4</v>
      </c>
      <c r="L276" s="45" t="s">
        <v>263</v>
      </c>
      <c r="M276" s="45" t="s">
        <v>259</v>
      </c>
      <c r="N276" s="45" t="s">
        <v>167</v>
      </c>
      <c r="O276" s="47" t="n">
        <v>46148.6591898148</v>
      </c>
      <c r="P276" s="47" t="n">
        <v>46148.6619791667</v>
      </c>
    </row>
    <row r="277" customFormat="false" ht="15" hidden="false" customHeight="false" outlineLevel="0" collapsed="false">
      <c r="A277" s="45" t="n">
        <v>481</v>
      </c>
      <c r="B277" s="46" t="n">
        <v>46148</v>
      </c>
      <c r="C277" s="45" t="s">
        <v>135</v>
      </c>
      <c r="D277" s="45" t="s">
        <v>136</v>
      </c>
      <c r="E277" s="45" t="s">
        <v>226</v>
      </c>
      <c r="F277" s="45" t="s">
        <v>828</v>
      </c>
      <c r="G277" s="46" t="n">
        <v>46143</v>
      </c>
      <c r="H277" s="45" t="s">
        <v>167</v>
      </c>
      <c r="I277" s="45" t="s">
        <v>175</v>
      </c>
      <c r="J277" s="45" t="s">
        <v>829</v>
      </c>
      <c r="K277" s="45" t="n">
        <v>2</v>
      </c>
      <c r="L277" s="45" t="s">
        <v>263</v>
      </c>
      <c r="M277" s="45" t="s">
        <v>259</v>
      </c>
      <c r="N277" s="45" t="s">
        <v>167</v>
      </c>
      <c r="O277" s="47" t="n">
        <v>46148.6620023148</v>
      </c>
      <c r="P277" s="47" t="n">
        <v>46148.6633680556</v>
      </c>
    </row>
    <row r="278" customFormat="false" ht="15" hidden="false" customHeight="false" outlineLevel="0" collapsed="false">
      <c r="A278" s="45" t="n">
        <v>482</v>
      </c>
      <c r="B278" s="46" t="n">
        <v>46148</v>
      </c>
      <c r="C278" s="45" t="s">
        <v>135</v>
      </c>
      <c r="D278" s="45" t="s">
        <v>136</v>
      </c>
      <c r="E278" s="45" t="s">
        <v>512</v>
      </c>
      <c r="F278" s="45" t="s">
        <v>830</v>
      </c>
      <c r="G278" s="46" t="n">
        <v>46143</v>
      </c>
      <c r="H278" s="45" t="s">
        <v>167</v>
      </c>
      <c r="I278" s="45" t="s">
        <v>175</v>
      </c>
      <c r="J278" s="45" t="s">
        <v>831</v>
      </c>
      <c r="K278" s="45" t="n">
        <v>3.6</v>
      </c>
      <c r="L278" s="45" t="s">
        <v>263</v>
      </c>
      <c r="M278" s="45" t="s">
        <v>259</v>
      </c>
      <c r="N278" s="45" t="s">
        <v>167</v>
      </c>
      <c r="O278" s="47" t="n">
        <v>46148.6648263889</v>
      </c>
      <c r="P278" s="47" t="n">
        <v>46148.667349537</v>
      </c>
    </row>
    <row r="279" customFormat="false" ht="15" hidden="false" customHeight="false" outlineLevel="0" collapsed="false">
      <c r="A279" s="45" t="n">
        <v>483</v>
      </c>
      <c r="B279" s="46" t="n">
        <v>46148</v>
      </c>
      <c r="C279" s="45" t="s">
        <v>135</v>
      </c>
      <c r="D279" s="45" t="s">
        <v>136</v>
      </c>
      <c r="E279" s="45" t="s">
        <v>512</v>
      </c>
      <c r="F279" s="45" t="s">
        <v>832</v>
      </c>
      <c r="G279" s="46" t="n">
        <v>46143</v>
      </c>
      <c r="H279" s="45" t="s">
        <v>168</v>
      </c>
      <c r="I279" s="45" t="s">
        <v>191</v>
      </c>
      <c r="J279" s="45" t="s">
        <v>833</v>
      </c>
      <c r="K279" s="45" t="n">
        <v>2.7</v>
      </c>
      <c r="L279" s="45" t="s">
        <v>263</v>
      </c>
      <c r="M279" s="45" t="s">
        <v>259</v>
      </c>
      <c r="N279" s="45" t="s">
        <v>264</v>
      </c>
      <c r="O279" s="47" t="n">
        <v>46148.6689583333</v>
      </c>
      <c r="P279" s="47" t="n">
        <v>46148.6708564815</v>
      </c>
    </row>
    <row r="280" customFormat="false" ht="15" hidden="false" customHeight="false" outlineLevel="0" collapsed="false">
      <c r="A280" s="45" t="n">
        <v>486</v>
      </c>
      <c r="B280" s="46" t="n">
        <v>46148</v>
      </c>
      <c r="C280" s="45" t="s">
        <v>135</v>
      </c>
      <c r="D280" s="45" t="s">
        <v>136</v>
      </c>
      <c r="E280" s="45" t="s">
        <v>408</v>
      </c>
      <c r="F280" s="45" t="s">
        <v>834</v>
      </c>
      <c r="G280" s="46" t="n">
        <v>46147</v>
      </c>
      <c r="H280" s="45" t="s">
        <v>167</v>
      </c>
      <c r="I280" s="45" t="s">
        <v>182</v>
      </c>
      <c r="J280" s="45" t="s">
        <v>835</v>
      </c>
      <c r="K280" s="45" t="n">
        <v>324.7</v>
      </c>
      <c r="L280" s="45" t="s">
        <v>263</v>
      </c>
      <c r="M280" s="45" t="s">
        <v>259</v>
      </c>
      <c r="N280" s="45" t="s">
        <v>167</v>
      </c>
      <c r="O280" s="47" t="n">
        <v>46148.6880324074</v>
      </c>
      <c r="P280" s="47" t="n">
        <v>46148.9135069445</v>
      </c>
    </row>
    <row r="281" customFormat="false" ht="15" hidden="false" customHeight="false" outlineLevel="0" collapsed="false">
      <c r="A281" s="45" t="n">
        <v>484</v>
      </c>
      <c r="B281" s="46" t="n">
        <v>46148</v>
      </c>
      <c r="C281" s="45" t="s">
        <v>131</v>
      </c>
      <c r="D281" s="45" t="s">
        <v>132</v>
      </c>
      <c r="E281" s="45" t="s">
        <v>220</v>
      </c>
      <c r="F281" s="45" t="s">
        <v>836</v>
      </c>
      <c r="G281" s="46" t="n">
        <v>46147</v>
      </c>
      <c r="H281" s="45" t="s">
        <v>167</v>
      </c>
      <c r="I281" s="45" t="s">
        <v>175</v>
      </c>
      <c r="J281" s="45" t="s">
        <v>837</v>
      </c>
      <c r="K281" s="45" t="n">
        <v>2.9</v>
      </c>
      <c r="L281" s="45" t="s">
        <v>263</v>
      </c>
      <c r="M281" s="45" t="s">
        <v>259</v>
      </c>
      <c r="N281" s="45" t="s">
        <v>167</v>
      </c>
      <c r="O281" s="47" t="n">
        <v>46148.6938194444</v>
      </c>
      <c r="P281" s="47" t="n">
        <v>46148.6958101852</v>
      </c>
    </row>
    <row r="282" customFormat="false" ht="15" hidden="false" customHeight="false" outlineLevel="0" collapsed="false">
      <c r="A282" s="45" t="n">
        <v>487</v>
      </c>
      <c r="B282" s="46" t="n">
        <v>46148</v>
      </c>
      <c r="C282" s="45" t="s">
        <v>135</v>
      </c>
      <c r="D282" s="45" t="s">
        <v>136</v>
      </c>
      <c r="E282" s="45" t="s">
        <v>381</v>
      </c>
      <c r="F282" s="45" t="s">
        <v>838</v>
      </c>
      <c r="G282" s="46" t="n">
        <v>46147</v>
      </c>
      <c r="H282" s="45" t="s">
        <v>167</v>
      </c>
      <c r="I282" s="45" t="s">
        <v>175</v>
      </c>
      <c r="J282" s="45" t="s">
        <v>839</v>
      </c>
      <c r="K282" s="45" t="n">
        <v>16.4</v>
      </c>
      <c r="L282" s="45" t="s">
        <v>263</v>
      </c>
      <c r="M282" s="45" t="s">
        <v>259</v>
      </c>
      <c r="N282" s="45" t="s">
        <v>167</v>
      </c>
      <c r="O282" s="47" t="n">
        <v>46148.9136689815</v>
      </c>
      <c r="P282" s="47" t="n">
        <v>46148.9250347222</v>
      </c>
    </row>
    <row r="283" customFormat="false" ht="15" hidden="false" customHeight="false" outlineLevel="0" collapsed="false">
      <c r="A283" s="45" t="n">
        <v>488</v>
      </c>
      <c r="B283" s="46" t="n">
        <v>46148</v>
      </c>
      <c r="C283" s="45" t="s">
        <v>135</v>
      </c>
      <c r="D283" s="45" t="s">
        <v>136</v>
      </c>
      <c r="E283" s="45" t="s">
        <v>512</v>
      </c>
      <c r="F283" s="45" t="s">
        <v>840</v>
      </c>
      <c r="G283" s="46" t="n">
        <v>46147</v>
      </c>
      <c r="H283" s="45" t="s">
        <v>167</v>
      </c>
      <c r="I283" s="45" t="s">
        <v>175</v>
      </c>
      <c r="J283" s="45" t="s">
        <v>841</v>
      </c>
      <c r="K283" s="45" t="n">
        <v>0.8</v>
      </c>
      <c r="L283" s="45" t="s">
        <v>263</v>
      </c>
      <c r="M283" s="45" t="s">
        <v>259</v>
      </c>
      <c r="N283" s="45" t="s">
        <v>167</v>
      </c>
      <c r="O283" s="47" t="n">
        <v>46148.9273842593</v>
      </c>
      <c r="P283" s="47" t="n">
        <v>46148.9279513889</v>
      </c>
    </row>
    <row r="284" customFormat="false" ht="15" hidden="false" customHeight="false" outlineLevel="0" collapsed="false">
      <c r="A284" s="45" t="n">
        <v>489</v>
      </c>
      <c r="B284" s="46" t="n">
        <v>46148</v>
      </c>
      <c r="C284" s="45" t="s">
        <v>135</v>
      </c>
      <c r="D284" s="45" t="s">
        <v>136</v>
      </c>
      <c r="E284" s="45" t="s">
        <v>492</v>
      </c>
      <c r="F284" s="45" t="s">
        <v>842</v>
      </c>
      <c r="G284" s="46" t="n">
        <v>46147</v>
      </c>
      <c r="H284" s="45" t="s">
        <v>169</v>
      </c>
      <c r="I284" s="45"/>
      <c r="J284" s="45"/>
      <c r="K284" s="45" t="n">
        <v>2.3</v>
      </c>
      <c r="L284" s="45" t="s">
        <v>263</v>
      </c>
      <c r="M284" s="45" t="s">
        <v>259</v>
      </c>
      <c r="N284" s="45" t="s">
        <v>169</v>
      </c>
      <c r="O284" s="47" t="n">
        <v>46148.9282523148</v>
      </c>
      <c r="P284" s="47" t="n">
        <v>46148.929849537</v>
      </c>
    </row>
    <row r="285" customFormat="false" ht="15" hidden="false" customHeight="false" outlineLevel="0" collapsed="false">
      <c r="A285" s="45" t="n">
        <v>490</v>
      </c>
      <c r="B285" s="46" t="n">
        <v>46148</v>
      </c>
      <c r="C285" s="45" t="s">
        <v>135</v>
      </c>
      <c r="D285" s="45" t="s">
        <v>136</v>
      </c>
      <c r="E285" s="45" t="s">
        <v>512</v>
      </c>
      <c r="F285" s="45" t="s">
        <v>843</v>
      </c>
      <c r="G285" s="46" t="n">
        <v>46147</v>
      </c>
      <c r="H285" s="45" t="s">
        <v>168</v>
      </c>
      <c r="I285" s="45" t="s">
        <v>191</v>
      </c>
      <c r="J285" s="45" t="s">
        <v>844</v>
      </c>
      <c r="K285" s="45" t="n">
        <v>2</v>
      </c>
      <c r="L285" s="45" t="s">
        <v>263</v>
      </c>
      <c r="M285" s="45" t="s">
        <v>259</v>
      </c>
      <c r="N285" s="45" t="s">
        <v>264</v>
      </c>
      <c r="O285" s="47" t="n">
        <v>46148.9298958333</v>
      </c>
      <c r="P285" s="47" t="n">
        <v>46148.9312962963</v>
      </c>
    </row>
    <row r="286" customFormat="false" ht="15" hidden="false" customHeight="false" outlineLevel="0" collapsed="false">
      <c r="A286" s="45" t="n">
        <v>491</v>
      </c>
      <c r="B286" s="46" t="n">
        <v>46148</v>
      </c>
      <c r="C286" s="45" t="s">
        <v>133</v>
      </c>
      <c r="D286" s="45" t="s">
        <v>134</v>
      </c>
      <c r="E286" s="45" t="s">
        <v>238</v>
      </c>
      <c r="F286" s="45" t="s">
        <v>845</v>
      </c>
      <c r="G286" s="46" t="n">
        <v>46147</v>
      </c>
      <c r="H286" s="45" t="s">
        <v>167</v>
      </c>
      <c r="I286" s="45" t="s">
        <v>175</v>
      </c>
      <c r="J286" s="45" t="s">
        <v>846</v>
      </c>
      <c r="K286" s="45" t="n">
        <v>3.5</v>
      </c>
      <c r="L286" s="45" t="s">
        <v>263</v>
      </c>
      <c r="M286" s="45" t="s">
        <v>259</v>
      </c>
      <c r="N286" s="45" t="s">
        <v>167</v>
      </c>
      <c r="O286" s="47" t="n">
        <v>46148.9386574074</v>
      </c>
      <c r="P286" s="47" t="n">
        <v>46148.9411226852</v>
      </c>
    </row>
    <row r="287" customFormat="false" ht="15" hidden="false" customHeight="false" outlineLevel="0" collapsed="false">
      <c r="A287" s="45" t="n">
        <v>492</v>
      </c>
      <c r="B287" s="46" t="n">
        <v>46148</v>
      </c>
      <c r="C287" s="45" t="s">
        <v>133</v>
      </c>
      <c r="D287" s="45" t="s">
        <v>134</v>
      </c>
      <c r="E287" s="45" t="s">
        <v>543</v>
      </c>
      <c r="F287" s="45" t="s">
        <v>847</v>
      </c>
      <c r="G287" s="46" t="n">
        <v>46147</v>
      </c>
      <c r="H287" s="45" t="s">
        <v>167</v>
      </c>
      <c r="I287" s="45" t="s">
        <v>175</v>
      </c>
      <c r="J287" s="45" t="s">
        <v>848</v>
      </c>
      <c r="K287" s="45" t="n">
        <v>52.1</v>
      </c>
      <c r="L287" s="45" t="s">
        <v>263</v>
      </c>
      <c r="M287" s="45" t="s">
        <v>259</v>
      </c>
      <c r="N287" s="45" t="s">
        <v>167</v>
      </c>
      <c r="O287" s="47" t="n">
        <v>46148.9411689815</v>
      </c>
      <c r="P287" s="47" t="n">
        <v>46148.9773842593</v>
      </c>
    </row>
    <row r="288" customFormat="false" ht="15" hidden="false" customHeight="false" outlineLevel="0" collapsed="false">
      <c r="A288" s="45" t="n">
        <v>493</v>
      </c>
      <c r="B288" s="46" t="n">
        <v>46148</v>
      </c>
      <c r="C288" s="45" t="s">
        <v>133</v>
      </c>
      <c r="D288" s="45" t="s">
        <v>134</v>
      </c>
      <c r="E288" s="45" t="s">
        <v>231</v>
      </c>
      <c r="F288" s="45" t="s">
        <v>849</v>
      </c>
      <c r="G288" s="46" t="n">
        <v>46147</v>
      </c>
      <c r="H288" s="45" t="s">
        <v>167</v>
      </c>
      <c r="I288" s="45" t="s">
        <v>175</v>
      </c>
      <c r="J288" s="45" t="s">
        <v>850</v>
      </c>
      <c r="K288" s="45" t="n">
        <v>4.3</v>
      </c>
      <c r="L288" s="45" t="s">
        <v>263</v>
      </c>
      <c r="M288" s="45" t="s">
        <v>259</v>
      </c>
      <c r="N288" s="45" t="s">
        <v>167</v>
      </c>
      <c r="O288" s="47" t="n">
        <v>46148.980474537</v>
      </c>
      <c r="P288" s="47" t="n">
        <v>46148.9834722222</v>
      </c>
    </row>
    <row r="289" customFormat="false" ht="15" hidden="false" customHeight="false" outlineLevel="0" collapsed="false">
      <c r="A289" s="45" t="n">
        <v>494</v>
      </c>
      <c r="B289" s="46" t="n">
        <v>46148</v>
      </c>
      <c r="C289" s="45" t="s">
        <v>133</v>
      </c>
      <c r="D289" s="45" t="s">
        <v>134</v>
      </c>
      <c r="E289" s="45" t="s">
        <v>238</v>
      </c>
      <c r="F289" s="45" t="s">
        <v>851</v>
      </c>
      <c r="G289" s="46" t="n">
        <v>46147</v>
      </c>
      <c r="H289" s="45" t="s">
        <v>167</v>
      </c>
      <c r="I289" s="45" t="s">
        <v>175</v>
      </c>
      <c r="J289" s="45" t="s">
        <v>852</v>
      </c>
      <c r="K289" s="45" t="n">
        <v>10.7</v>
      </c>
      <c r="L289" s="45" t="s">
        <v>263</v>
      </c>
      <c r="M289" s="45" t="s">
        <v>259</v>
      </c>
      <c r="N289" s="45" t="s">
        <v>167</v>
      </c>
      <c r="O289" s="47" t="n">
        <v>46148.9835185185</v>
      </c>
      <c r="P289" s="47" t="n">
        <v>46148.9909143519</v>
      </c>
    </row>
    <row r="290" customFormat="false" ht="15" hidden="false" customHeight="false" outlineLevel="0" collapsed="false">
      <c r="A290" s="45" t="n">
        <v>495</v>
      </c>
      <c r="B290" s="46" t="n">
        <v>46148</v>
      </c>
      <c r="C290" s="45" t="s">
        <v>133</v>
      </c>
      <c r="D290" s="45" t="s">
        <v>134</v>
      </c>
      <c r="E290" s="45" t="s">
        <v>219</v>
      </c>
      <c r="F290" s="45" t="s">
        <v>853</v>
      </c>
      <c r="G290" s="46" t="n">
        <v>46147</v>
      </c>
      <c r="H290" s="45" t="s">
        <v>57</v>
      </c>
      <c r="I290" s="45" t="s">
        <v>200</v>
      </c>
      <c r="J290" s="45" t="s">
        <v>854</v>
      </c>
      <c r="K290" s="45" t="n">
        <v>6.7</v>
      </c>
      <c r="L290" s="45" t="s">
        <v>263</v>
      </c>
      <c r="M290" s="45" t="s">
        <v>259</v>
      </c>
      <c r="N290" s="45" t="s">
        <v>57</v>
      </c>
      <c r="O290" s="47" t="n">
        <v>46148.9909606482</v>
      </c>
      <c r="P290" s="47" t="n">
        <v>46148.9956365741</v>
      </c>
    </row>
    <row r="291" customFormat="false" ht="15" hidden="false" customHeight="false" outlineLevel="0" collapsed="false">
      <c r="A291" s="45" t="n">
        <v>496</v>
      </c>
      <c r="B291" s="46" t="n">
        <v>46148</v>
      </c>
      <c r="C291" s="45" t="s">
        <v>133</v>
      </c>
      <c r="D291" s="45" t="s">
        <v>134</v>
      </c>
      <c r="E291" s="45" t="s">
        <v>734</v>
      </c>
      <c r="F291" s="45" t="s">
        <v>855</v>
      </c>
      <c r="G291" s="46" t="n">
        <v>46148</v>
      </c>
      <c r="H291" s="45" t="s">
        <v>167</v>
      </c>
      <c r="I291" s="45" t="s">
        <v>175</v>
      </c>
      <c r="J291" s="45" t="s">
        <v>856</v>
      </c>
      <c r="K291" s="45" t="n">
        <v>22</v>
      </c>
      <c r="L291" s="45" t="s">
        <v>263</v>
      </c>
      <c r="M291" s="45" t="s">
        <v>259</v>
      </c>
      <c r="N291" s="45" t="s">
        <v>167</v>
      </c>
      <c r="O291" s="47" t="n">
        <v>46148.9956712963</v>
      </c>
      <c r="P291" s="47" t="n">
        <v>46149.0109606482</v>
      </c>
    </row>
    <row r="292" customFormat="false" ht="15" hidden="false" customHeight="false" outlineLevel="0" collapsed="false">
      <c r="A292" s="45" t="n">
        <v>497</v>
      </c>
      <c r="B292" s="46" t="n">
        <v>46149</v>
      </c>
      <c r="C292" s="45" t="s">
        <v>133</v>
      </c>
      <c r="D292" s="45" t="s">
        <v>134</v>
      </c>
      <c r="E292" s="45" t="s">
        <v>558</v>
      </c>
      <c r="F292" s="45" t="s">
        <v>857</v>
      </c>
      <c r="G292" s="46" t="n">
        <v>46147</v>
      </c>
      <c r="H292" s="45" t="s">
        <v>167</v>
      </c>
      <c r="I292" s="45" t="s">
        <v>175</v>
      </c>
      <c r="J292" s="45" t="s">
        <v>858</v>
      </c>
      <c r="K292" s="45" t="n">
        <v>6.5</v>
      </c>
      <c r="L292" s="45" t="s">
        <v>263</v>
      </c>
      <c r="M292" s="45" t="s">
        <v>259</v>
      </c>
      <c r="N292" s="45" t="s">
        <v>167</v>
      </c>
      <c r="O292" s="47" t="n">
        <v>46149.0114351852</v>
      </c>
      <c r="P292" s="47" t="n">
        <v>46149.0159722222</v>
      </c>
    </row>
    <row r="293" customFormat="false" ht="15" hidden="false" customHeight="false" outlineLevel="0" collapsed="false">
      <c r="A293" s="45" t="n">
        <v>498</v>
      </c>
      <c r="B293" s="46" t="n">
        <v>46149</v>
      </c>
      <c r="C293" s="45" t="s">
        <v>143</v>
      </c>
      <c r="D293" s="45" t="s">
        <v>144</v>
      </c>
      <c r="E293" s="45" t="s">
        <v>385</v>
      </c>
      <c r="F293" s="45" t="s">
        <v>859</v>
      </c>
      <c r="G293" s="46" t="n">
        <v>46148</v>
      </c>
      <c r="H293" s="45" t="s">
        <v>167</v>
      </c>
      <c r="I293" s="45" t="s">
        <v>175</v>
      </c>
      <c r="J293" s="45" t="s">
        <v>860</v>
      </c>
      <c r="K293" s="45" t="n">
        <v>2.3</v>
      </c>
      <c r="L293" s="45" t="s">
        <v>263</v>
      </c>
      <c r="M293" s="45" t="s">
        <v>259</v>
      </c>
      <c r="N293" s="45" t="s">
        <v>167</v>
      </c>
      <c r="O293" s="47" t="n">
        <v>46149.0250578704</v>
      </c>
      <c r="P293" s="47" t="n">
        <v>46149.0266435185</v>
      </c>
    </row>
    <row r="294" customFormat="false" ht="15" hidden="false" customHeight="false" outlineLevel="0" collapsed="false">
      <c r="A294" s="45" t="n">
        <v>499</v>
      </c>
      <c r="B294" s="46" t="n">
        <v>46149</v>
      </c>
      <c r="C294" s="45" t="s">
        <v>143</v>
      </c>
      <c r="D294" s="45" t="s">
        <v>144</v>
      </c>
      <c r="E294" s="45" t="s">
        <v>230</v>
      </c>
      <c r="F294" s="45" t="s">
        <v>861</v>
      </c>
      <c r="G294" s="46" t="n">
        <v>46147</v>
      </c>
      <c r="H294" s="45" t="s">
        <v>167</v>
      </c>
      <c r="I294" s="45" t="s">
        <v>175</v>
      </c>
      <c r="J294" s="45" t="s">
        <v>862</v>
      </c>
      <c r="K294" s="45" t="n">
        <v>6.1</v>
      </c>
      <c r="L294" s="45" t="s">
        <v>263</v>
      </c>
      <c r="M294" s="45" t="s">
        <v>259</v>
      </c>
      <c r="N294" s="45" t="s">
        <v>167</v>
      </c>
      <c r="O294" s="47" t="n">
        <v>46149.026712963</v>
      </c>
      <c r="P294" s="47" t="n">
        <v>46149.0309259259</v>
      </c>
    </row>
    <row r="295" customFormat="false" ht="15" hidden="false" customHeight="false" outlineLevel="0" collapsed="false">
      <c r="A295" s="45" t="n">
        <v>526</v>
      </c>
      <c r="B295" s="46" t="n">
        <v>46149</v>
      </c>
      <c r="C295" s="45" t="s">
        <v>133</v>
      </c>
      <c r="D295" s="45" t="s">
        <v>134</v>
      </c>
      <c r="E295" s="45" t="s">
        <v>219</v>
      </c>
      <c r="F295" s="45" t="s">
        <v>863</v>
      </c>
      <c r="G295" s="46" t="n">
        <v>46148</v>
      </c>
      <c r="H295" s="45" t="s">
        <v>168</v>
      </c>
      <c r="I295" s="45" t="s">
        <v>191</v>
      </c>
      <c r="J295" s="45" t="s">
        <v>864</v>
      </c>
      <c r="K295" s="45" t="n">
        <v>1112.4</v>
      </c>
      <c r="L295" s="45" t="s">
        <v>263</v>
      </c>
      <c r="M295" s="45" t="s">
        <v>259</v>
      </c>
      <c r="N295" s="45" t="s">
        <v>264</v>
      </c>
      <c r="O295" s="47" t="n">
        <v>46149.036099537</v>
      </c>
      <c r="P295" s="47" t="n">
        <v>46149.8085763889</v>
      </c>
    </row>
    <row r="296" customFormat="false" ht="15" hidden="false" customHeight="false" outlineLevel="0" collapsed="false">
      <c r="A296" s="45" t="n">
        <v>500</v>
      </c>
      <c r="B296" s="46" t="n">
        <v>46149</v>
      </c>
      <c r="C296" s="45" t="s">
        <v>137</v>
      </c>
      <c r="D296" s="45" t="s">
        <v>138</v>
      </c>
      <c r="E296" s="45" t="s">
        <v>496</v>
      </c>
      <c r="F296" s="45" t="s">
        <v>865</v>
      </c>
      <c r="G296" s="46" t="n">
        <v>46146</v>
      </c>
      <c r="H296" s="45" t="s">
        <v>167</v>
      </c>
      <c r="I296" s="45" t="s">
        <v>175</v>
      </c>
      <c r="J296" s="45" t="s">
        <v>445</v>
      </c>
      <c r="K296" s="45" t="n">
        <v>10.3</v>
      </c>
      <c r="L296" s="45" t="s">
        <v>263</v>
      </c>
      <c r="M296" s="45" t="s">
        <v>259</v>
      </c>
      <c r="N296" s="45" t="s">
        <v>167</v>
      </c>
      <c r="O296" s="47" t="n">
        <v>46149.5920833333</v>
      </c>
      <c r="P296" s="47" t="n">
        <v>46149.599212963</v>
      </c>
    </row>
    <row r="297" customFormat="false" ht="15" hidden="false" customHeight="false" outlineLevel="0" collapsed="false">
      <c r="A297" s="45" t="n">
        <v>501</v>
      </c>
      <c r="B297" s="46" t="n">
        <v>46149</v>
      </c>
      <c r="C297" s="45" t="s">
        <v>137</v>
      </c>
      <c r="D297" s="45" t="s">
        <v>138</v>
      </c>
      <c r="E297" s="45" t="s">
        <v>496</v>
      </c>
      <c r="F297" s="45" t="s">
        <v>866</v>
      </c>
      <c r="G297" s="46" t="n">
        <v>46147</v>
      </c>
      <c r="H297" s="45" t="s">
        <v>167</v>
      </c>
      <c r="I297" s="45" t="s">
        <v>176</v>
      </c>
      <c r="J297" s="45" t="s">
        <v>867</v>
      </c>
      <c r="K297" s="45" t="n">
        <v>4.4</v>
      </c>
      <c r="L297" s="45" t="s">
        <v>263</v>
      </c>
      <c r="M297" s="45" t="s">
        <v>259</v>
      </c>
      <c r="N297" s="45" t="s">
        <v>167</v>
      </c>
      <c r="O297" s="47" t="n">
        <v>46149.5994097222</v>
      </c>
      <c r="P297" s="47" t="n">
        <v>46149.6024421296</v>
      </c>
    </row>
    <row r="298" customFormat="false" ht="15" hidden="false" customHeight="false" outlineLevel="0" collapsed="false">
      <c r="A298" s="45" t="n">
        <v>502</v>
      </c>
      <c r="B298" s="46" t="n">
        <v>46149</v>
      </c>
      <c r="C298" s="45" t="s">
        <v>137</v>
      </c>
      <c r="D298" s="45" t="s">
        <v>138</v>
      </c>
      <c r="E298" s="45" t="s">
        <v>449</v>
      </c>
      <c r="F298" s="45" t="s">
        <v>868</v>
      </c>
      <c r="G298" s="46" t="n">
        <v>46147</v>
      </c>
      <c r="H298" s="45" t="s">
        <v>168</v>
      </c>
      <c r="I298" s="45" t="s">
        <v>191</v>
      </c>
      <c r="J298" s="45" t="s">
        <v>869</v>
      </c>
      <c r="K298" s="45" t="n">
        <v>18.6</v>
      </c>
      <c r="L298" s="45" t="s">
        <v>263</v>
      </c>
      <c r="M298" s="45" t="s">
        <v>259</v>
      </c>
      <c r="N298" s="45" t="s">
        <v>264</v>
      </c>
      <c r="O298" s="47" t="n">
        <v>46149.6057523148</v>
      </c>
      <c r="P298" s="47" t="n">
        <v>46149.6186342593</v>
      </c>
    </row>
    <row r="299" customFormat="false" ht="15" hidden="false" customHeight="false" outlineLevel="0" collapsed="false">
      <c r="A299" s="45" t="n">
        <v>503</v>
      </c>
      <c r="B299" s="46" t="n">
        <v>46149</v>
      </c>
      <c r="C299" s="45" t="s">
        <v>137</v>
      </c>
      <c r="D299" s="45" t="s">
        <v>138</v>
      </c>
      <c r="E299" s="45" t="s">
        <v>309</v>
      </c>
      <c r="F299" s="45" t="s">
        <v>870</v>
      </c>
      <c r="G299" s="46" t="n">
        <v>46147</v>
      </c>
      <c r="H299" s="45" t="s">
        <v>167</v>
      </c>
      <c r="I299" s="45" t="s">
        <v>182</v>
      </c>
      <c r="J299" s="45" t="s">
        <v>445</v>
      </c>
      <c r="K299" s="45" t="n">
        <v>0.8</v>
      </c>
      <c r="L299" s="45" t="s">
        <v>263</v>
      </c>
      <c r="M299" s="45" t="s">
        <v>259</v>
      </c>
      <c r="N299" s="45" t="s">
        <v>167</v>
      </c>
      <c r="O299" s="47" t="n">
        <v>46149.6187268519</v>
      </c>
      <c r="P299" s="47" t="n">
        <v>46149.6192708333</v>
      </c>
    </row>
    <row r="300" customFormat="false" ht="15" hidden="false" customHeight="false" outlineLevel="0" collapsed="false">
      <c r="A300" s="45" t="n">
        <v>504</v>
      </c>
      <c r="B300" s="46" t="n">
        <v>46149</v>
      </c>
      <c r="C300" s="45" t="s">
        <v>137</v>
      </c>
      <c r="D300" s="45" t="s">
        <v>138</v>
      </c>
      <c r="E300" s="45" t="s">
        <v>449</v>
      </c>
      <c r="F300" s="45" t="s">
        <v>871</v>
      </c>
      <c r="G300" s="46" t="n">
        <v>46146</v>
      </c>
      <c r="H300" s="45" t="s">
        <v>170</v>
      </c>
      <c r="I300" s="45" t="s">
        <v>207</v>
      </c>
      <c r="J300" s="45" t="s">
        <v>445</v>
      </c>
      <c r="K300" s="45" t="n">
        <v>0.2</v>
      </c>
      <c r="L300" s="45" t="s">
        <v>263</v>
      </c>
      <c r="M300" s="45" t="s">
        <v>259</v>
      </c>
      <c r="N300" s="45" t="s">
        <v>478</v>
      </c>
      <c r="O300" s="47" t="n">
        <v>46149.6199189815</v>
      </c>
      <c r="P300" s="47" t="n">
        <v>46149.6200578704</v>
      </c>
    </row>
    <row r="301" customFormat="false" ht="15" hidden="false" customHeight="false" outlineLevel="0" collapsed="false">
      <c r="A301" s="45" t="n">
        <v>505</v>
      </c>
      <c r="B301" s="46" t="n">
        <v>46149</v>
      </c>
      <c r="C301" s="45" t="s">
        <v>137</v>
      </c>
      <c r="D301" s="45" t="s">
        <v>138</v>
      </c>
      <c r="E301" s="45" t="s">
        <v>453</v>
      </c>
      <c r="F301" s="45" t="s">
        <v>872</v>
      </c>
      <c r="G301" s="46" t="n">
        <v>46146</v>
      </c>
      <c r="H301" s="45" t="s">
        <v>170</v>
      </c>
      <c r="I301" s="45" t="s">
        <v>207</v>
      </c>
      <c r="J301" s="45" t="s">
        <v>445</v>
      </c>
      <c r="K301" s="45" t="n">
        <v>0.3</v>
      </c>
      <c r="L301" s="45" t="s">
        <v>263</v>
      </c>
      <c r="M301" s="45" t="s">
        <v>259</v>
      </c>
      <c r="N301" s="45" t="s">
        <v>478</v>
      </c>
      <c r="O301" s="47" t="n">
        <v>46149.6201851852</v>
      </c>
      <c r="P301" s="47" t="n">
        <v>46149.6204166667</v>
      </c>
    </row>
    <row r="302" customFormat="false" ht="15" hidden="false" customHeight="false" outlineLevel="0" collapsed="false">
      <c r="A302" s="45" t="n">
        <v>506</v>
      </c>
      <c r="B302" s="46" t="n">
        <v>46149</v>
      </c>
      <c r="C302" s="45" t="s">
        <v>137</v>
      </c>
      <c r="D302" s="45" t="s">
        <v>138</v>
      </c>
      <c r="E302" s="45" t="s">
        <v>312</v>
      </c>
      <c r="F302" s="45" t="s">
        <v>873</v>
      </c>
      <c r="G302" s="46" t="n">
        <v>46147</v>
      </c>
      <c r="H302" s="45" t="s">
        <v>167</v>
      </c>
      <c r="I302" s="45" t="s">
        <v>175</v>
      </c>
      <c r="J302" s="45" t="s">
        <v>874</v>
      </c>
      <c r="K302" s="45" t="n">
        <v>0.3</v>
      </c>
      <c r="L302" s="45" t="s">
        <v>263</v>
      </c>
      <c r="M302" s="45" t="s">
        <v>259</v>
      </c>
      <c r="N302" s="45" t="s">
        <v>167</v>
      </c>
      <c r="O302" s="47" t="n">
        <v>46149.6221064815</v>
      </c>
      <c r="P302" s="47" t="n">
        <v>46149.622337963</v>
      </c>
    </row>
    <row r="303" customFormat="false" ht="15" hidden="false" customHeight="false" outlineLevel="0" collapsed="false">
      <c r="A303" s="45" t="n">
        <v>507</v>
      </c>
      <c r="B303" s="46" t="n">
        <v>46149</v>
      </c>
      <c r="C303" s="45" t="s">
        <v>137</v>
      </c>
      <c r="D303" s="45" t="s">
        <v>138</v>
      </c>
      <c r="E303" s="45" t="s">
        <v>875</v>
      </c>
      <c r="F303" s="45" t="s">
        <v>876</v>
      </c>
      <c r="G303" s="46" t="n">
        <v>46147</v>
      </c>
      <c r="H303" s="45" t="s">
        <v>168</v>
      </c>
      <c r="I303" s="45" t="s">
        <v>195</v>
      </c>
      <c r="J303" s="45" t="s">
        <v>877</v>
      </c>
      <c r="K303" s="45" t="n">
        <v>0.5</v>
      </c>
      <c r="L303" s="45" t="s">
        <v>263</v>
      </c>
      <c r="M303" s="45" t="s">
        <v>259</v>
      </c>
      <c r="N303" s="45" t="s">
        <v>264</v>
      </c>
      <c r="O303" s="47" t="n">
        <v>46149.6224305556</v>
      </c>
      <c r="P303" s="47" t="n">
        <v>46149.6227777778</v>
      </c>
    </row>
    <row r="304" customFormat="false" ht="15" hidden="false" customHeight="false" outlineLevel="0" collapsed="false">
      <c r="A304" s="45" t="n">
        <v>508</v>
      </c>
      <c r="B304" s="46" t="n">
        <v>46149</v>
      </c>
      <c r="C304" s="45" t="s">
        <v>137</v>
      </c>
      <c r="D304" s="45" t="s">
        <v>138</v>
      </c>
      <c r="E304" s="45" t="s">
        <v>235</v>
      </c>
      <c r="F304" s="45" t="s">
        <v>878</v>
      </c>
      <c r="G304" s="46" t="n">
        <v>46146</v>
      </c>
      <c r="H304" s="45" t="s">
        <v>170</v>
      </c>
      <c r="I304" s="45" t="s">
        <v>207</v>
      </c>
      <c r="J304" s="45" t="s">
        <v>879</v>
      </c>
      <c r="K304" s="45" t="n">
        <v>0.5</v>
      </c>
      <c r="L304" s="45" t="s">
        <v>263</v>
      </c>
      <c r="M304" s="45" t="s">
        <v>259</v>
      </c>
      <c r="N304" s="45" t="s">
        <v>478</v>
      </c>
      <c r="O304" s="47" t="n">
        <v>46149.6228009259</v>
      </c>
      <c r="P304" s="47" t="n">
        <v>46149.623125</v>
      </c>
    </row>
    <row r="305" customFormat="false" ht="15" hidden="false" customHeight="false" outlineLevel="0" collapsed="false">
      <c r="A305" s="45" t="n">
        <v>509</v>
      </c>
      <c r="B305" s="46" t="n">
        <v>46149</v>
      </c>
      <c r="C305" s="45" t="s">
        <v>137</v>
      </c>
      <c r="D305" s="45" t="s">
        <v>138</v>
      </c>
      <c r="E305" s="45" t="s">
        <v>235</v>
      </c>
      <c r="F305" s="45" t="s">
        <v>880</v>
      </c>
      <c r="G305" s="46" t="n">
        <v>46146</v>
      </c>
      <c r="H305" s="45" t="s">
        <v>167</v>
      </c>
      <c r="I305" s="45" t="s">
        <v>182</v>
      </c>
      <c r="J305" s="45" t="s">
        <v>445</v>
      </c>
      <c r="K305" s="45" t="n">
        <v>0.2</v>
      </c>
      <c r="L305" s="45" t="s">
        <v>263</v>
      </c>
      <c r="M305" s="45" t="s">
        <v>259</v>
      </c>
      <c r="N305" s="45" t="s">
        <v>167</v>
      </c>
      <c r="O305" s="47" t="n">
        <v>46149.623275463</v>
      </c>
      <c r="P305" s="47" t="n">
        <v>46149.6234490741</v>
      </c>
    </row>
    <row r="306" customFormat="false" ht="15" hidden="false" customHeight="false" outlineLevel="0" collapsed="false">
      <c r="A306" s="45" t="n">
        <v>510</v>
      </c>
      <c r="B306" s="46" t="n">
        <v>46149</v>
      </c>
      <c r="C306" s="45" t="s">
        <v>137</v>
      </c>
      <c r="D306" s="45" t="s">
        <v>138</v>
      </c>
      <c r="E306" s="45" t="s">
        <v>453</v>
      </c>
      <c r="F306" s="45" t="s">
        <v>881</v>
      </c>
      <c r="G306" s="46" t="n">
        <v>46147</v>
      </c>
      <c r="H306" s="45" t="s">
        <v>169</v>
      </c>
      <c r="I306" s="45"/>
      <c r="J306" s="45"/>
      <c r="K306" s="45" t="n">
        <v>21.4</v>
      </c>
      <c r="L306" s="45" t="s">
        <v>263</v>
      </c>
      <c r="M306" s="45" t="s">
        <v>259</v>
      </c>
      <c r="N306" s="45" t="s">
        <v>169</v>
      </c>
      <c r="O306" s="47" t="n">
        <v>46149.6235416667</v>
      </c>
      <c r="P306" s="47" t="n">
        <v>46149.6384143519</v>
      </c>
    </row>
    <row r="307" customFormat="false" ht="15" hidden="false" customHeight="false" outlineLevel="0" collapsed="false">
      <c r="A307" s="45" t="n">
        <v>515</v>
      </c>
      <c r="B307" s="46" t="n">
        <v>46149</v>
      </c>
      <c r="C307" s="45" t="s">
        <v>137</v>
      </c>
      <c r="D307" s="45" t="s">
        <v>138</v>
      </c>
      <c r="E307" s="45" t="s">
        <v>229</v>
      </c>
      <c r="F307" s="45" t="s">
        <v>882</v>
      </c>
      <c r="G307" s="46" t="n">
        <v>46146</v>
      </c>
      <c r="H307" s="45" t="s">
        <v>170</v>
      </c>
      <c r="I307" s="45" t="s">
        <v>207</v>
      </c>
      <c r="J307" s="45" t="s">
        <v>445</v>
      </c>
      <c r="K307" s="45" t="n">
        <v>55</v>
      </c>
      <c r="L307" s="45" t="s">
        <v>263</v>
      </c>
      <c r="M307" s="45" t="s">
        <v>259</v>
      </c>
      <c r="N307" s="45" t="s">
        <v>478</v>
      </c>
      <c r="O307" s="47" t="n">
        <v>46149.6384837963</v>
      </c>
      <c r="P307" s="47" t="n">
        <v>46149.6766782407</v>
      </c>
    </row>
    <row r="308" customFormat="false" ht="15" hidden="false" customHeight="false" outlineLevel="0" collapsed="false">
      <c r="A308" s="45" t="n">
        <v>511</v>
      </c>
      <c r="B308" s="46" t="n">
        <v>46149</v>
      </c>
      <c r="C308" s="45" t="s">
        <v>131</v>
      </c>
      <c r="D308" s="45" t="s">
        <v>132</v>
      </c>
      <c r="E308" s="45" t="s">
        <v>326</v>
      </c>
      <c r="F308" s="45" t="s">
        <v>883</v>
      </c>
      <c r="G308" s="46" t="n">
        <v>46148</v>
      </c>
      <c r="H308" s="45" t="s">
        <v>168</v>
      </c>
      <c r="I308" s="45" t="s">
        <v>192</v>
      </c>
      <c r="J308" s="45" t="s">
        <v>884</v>
      </c>
      <c r="K308" s="45" t="n">
        <v>4.4</v>
      </c>
      <c r="L308" s="45" t="s">
        <v>259</v>
      </c>
      <c r="M308" s="45" t="s">
        <v>259</v>
      </c>
      <c r="N308" s="45" t="s">
        <v>264</v>
      </c>
      <c r="O308" s="47" t="n">
        <v>46149.6569097222</v>
      </c>
      <c r="P308" s="47" t="n">
        <v>46149.6599421296</v>
      </c>
    </row>
    <row r="309" customFormat="false" ht="15" hidden="false" customHeight="false" outlineLevel="0" collapsed="false">
      <c r="A309" s="45" t="n">
        <v>512</v>
      </c>
      <c r="B309" s="46" t="n">
        <v>46149</v>
      </c>
      <c r="C309" s="45" t="s">
        <v>131</v>
      </c>
      <c r="D309" s="45" t="s">
        <v>132</v>
      </c>
      <c r="E309" s="45" t="s">
        <v>218</v>
      </c>
      <c r="F309" s="45" t="s">
        <v>885</v>
      </c>
      <c r="G309" s="46" t="n">
        <v>46148</v>
      </c>
      <c r="H309" s="45" t="s">
        <v>167</v>
      </c>
      <c r="I309" s="45" t="s">
        <v>175</v>
      </c>
      <c r="J309" s="45" t="s">
        <v>886</v>
      </c>
      <c r="K309" s="45" t="n">
        <v>1.4</v>
      </c>
      <c r="L309" s="45" t="s">
        <v>263</v>
      </c>
      <c r="M309" s="45" t="s">
        <v>259</v>
      </c>
      <c r="N309" s="45" t="s">
        <v>167</v>
      </c>
      <c r="O309" s="47" t="n">
        <v>46149.6601967593</v>
      </c>
      <c r="P309" s="47" t="n">
        <v>46149.6611805556</v>
      </c>
    </row>
    <row r="310" customFormat="false" ht="15" hidden="false" customHeight="false" outlineLevel="0" collapsed="false">
      <c r="A310" s="45" t="n">
        <v>513</v>
      </c>
      <c r="B310" s="46" t="n">
        <v>46149</v>
      </c>
      <c r="C310" s="45" t="s">
        <v>131</v>
      </c>
      <c r="D310" s="45" t="s">
        <v>132</v>
      </c>
      <c r="E310" s="45" t="s">
        <v>218</v>
      </c>
      <c r="F310" s="45" t="s">
        <v>887</v>
      </c>
      <c r="G310" s="46" t="n">
        <v>46148</v>
      </c>
      <c r="H310" s="45" t="s">
        <v>167</v>
      </c>
      <c r="I310" s="45" t="s">
        <v>175</v>
      </c>
      <c r="J310" s="45" t="s">
        <v>888</v>
      </c>
      <c r="K310" s="45" t="n">
        <v>1.2</v>
      </c>
      <c r="L310" s="45" t="s">
        <v>263</v>
      </c>
      <c r="M310" s="45" t="s">
        <v>259</v>
      </c>
      <c r="N310" s="45" t="s">
        <v>167</v>
      </c>
      <c r="O310" s="47" t="n">
        <v>46149.6645833333</v>
      </c>
      <c r="P310" s="47" t="n">
        <v>46149.6654050926</v>
      </c>
    </row>
    <row r="311" customFormat="false" ht="15" hidden="false" customHeight="false" outlineLevel="0" collapsed="false">
      <c r="A311" s="45" t="n">
        <v>514</v>
      </c>
      <c r="B311" s="46" t="n">
        <v>46149</v>
      </c>
      <c r="C311" s="45" t="s">
        <v>145</v>
      </c>
      <c r="D311" s="45" t="s">
        <v>146</v>
      </c>
      <c r="E311" s="45" t="s">
        <v>256</v>
      </c>
      <c r="F311" s="45" t="s">
        <v>889</v>
      </c>
      <c r="G311" s="46" t="n">
        <v>46148</v>
      </c>
      <c r="H311" s="45" t="s">
        <v>167</v>
      </c>
      <c r="I311" s="45" t="s">
        <v>175</v>
      </c>
      <c r="J311" s="45" t="s">
        <v>890</v>
      </c>
      <c r="K311" s="45" t="n">
        <v>0.1</v>
      </c>
      <c r="L311" s="45" t="s">
        <v>263</v>
      </c>
      <c r="M311" s="45" t="s">
        <v>259</v>
      </c>
      <c r="N311" s="45" t="s">
        <v>167</v>
      </c>
      <c r="O311" s="47" t="n">
        <v>46149.6661689815</v>
      </c>
      <c r="P311" s="47" t="n">
        <v>46149.6662384259</v>
      </c>
    </row>
    <row r="312" customFormat="false" ht="15" hidden="false" customHeight="false" outlineLevel="0" collapsed="false">
      <c r="A312" s="45" t="n">
        <v>521</v>
      </c>
      <c r="B312" s="46" t="n">
        <v>46149</v>
      </c>
      <c r="C312" s="45" t="s">
        <v>145</v>
      </c>
      <c r="D312" s="45" t="s">
        <v>146</v>
      </c>
      <c r="E312" s="45" t="s">
        <v>256</v>
      </c>
      <c r="F312" s="45" t="s">
        <v>891</v>
      </c>
      <c r="G312" s="46" t="n">
        <v>46148</v>
      </c>
      <c r="H312" s="45" t="s">
        <v>167</v>
      </c>
      <c r="I312" s="45" t="s">
        <v>175</v>
      </c>
      <c r="J312" s="45" t="s">
        <v>892</v>
      </c>
      <c r="K312" s="45" t="n">
        <v>24.8</v>
      </c>
      <c r="L312" s="45" t="s">
        <v>263</v>
      </c>
      <c r="M312" s="45" t="s">
        <v>259</v>
      </c>
      <c r="N312" s="45" t="s">
        <v>167</v>
      </c>
      <c r="O312" s="47" t="n">
        <v>46149.6662731482</v>
      </c>
      <c r="P312" s="47" t="n">
        <v>46149.6834953704</v>
      </c>
    </row>
    <row r="313" customFormat="false" ht="15" hidden="false" customHeight="false" outlineLevel="0" collapsed="false">
      <c r="A313" s="45" t="n">
        <v>516</v>
      </c>
      <c r="B313" s="46" t="n">
        <v>46149</v>
      </c>
      <c r="C313" s="45" t="s">
        <v>137</v>
      </c>
      <c r="D313" s="45" t="s">
        <v>138</v>
      </c>
      <c r="E313" s="45" t="s">
        <v>229</v>
      </c>
      <c r="F313" s="45" t="s">
        <v>893</v>
      </c>
      <c r="G313" s="46" t="n">
        <v>46147</v>
      </c>
      <c r="H313" s="45" t="s">
        <v>167</v>
      </c>
      <c r="I313" s="45" t="s">
        <v>176</v>
      </c>
      <c r="J313" s="45" t="s">
        <v>894</v>
      </c>
      <c r="K313" s="45" t="n">
        <v>0.5</v>
      </c>
      <c r="L313" s="45" t="s">
        <v>263</v>
      </c>
      <c r="M313" s="45" t="s">
        <v>259</v>
      </c>
      <c r="N313" s="45" t="s">
        <v>167</v>
      </c>
      <c r="O313" s="47" t="n">
        <v>46149.676712963</v>
      </c>
      <c r="P313" s="47" t="n">
        <v>46149.677025463</v>
      </c>
    </row>
    <row r="314" customFormat="false" ht="15" hidden="false" customHeight="false" outlineLevel="0" collapsed="false">
      <c r="A314" s="45" t="n">
        <v>517</v>
      </c>
      <c r="B314" s="46" t="n">
        <v>46149</v>
      </c>
      <c r="C314" s="45" t="s">
        <v>137</v>
      </c>
      <c r="D314" s="45" t="s">
        <v>138</v>
      </c>
      <c r="E314" s="45" t="s">
        <v>229</v>
      </c>
      <c r="F314" s="45" t="s">
        <v>895</v>
      </c>
      <c r="G314" s="46" t="n">
        <v>46147</v>
      </c>
      <c r="H314" s="45" t="s">
        <v>167</v>
      </c>
      <c r="I314" s="45" t="s">
        <v>182</v>
      </c>
      <c r="J314" s="45" t="s">
        <v>896</v>
      </c>
      <c r="K314" s="45" t="n">
        <v>1.4</v>
      </c>
      <c r="L314" s="45" t="s">
        <v>263</v>
      </c>
      <c r="M314" s="45" t="s">
        <v>259</v>
      </c>
      <c r="N314" s="45" t="s">
        <v>167</v>
      </c>
      <c r="O314" s="47" t="n">
        <v>46149.6772337963</v>
      </c>
      <c r="P314" s="47" t="n">
        <v>46149.6782407407</v>
      </c>
    </row>
    <row r="315" customFormat="false" ht="15" hidden="false" customHeight="false" outlineLevel="0" collapsed="false">
      <c r="A315" s="45" t="n">
        <v>518</v>
      </c>
      <c r="B315" s="46" t="n">
        <v>46149</v>
      </c>
      <c r="C315" s="45" t="s">
        <v>137</v>
      </c>
      <c r="D315" s="45" t="s">
        <v>138</v>
      </c>
      <c r="E315" s="45" t="s">
        <v>229</v>
      </c>
      <c r="F315" s="45" t="s">
        <v>897</v>
      </c>
      <c r="G315" s="46" t="n">
        <v>46147</v>
      </c>
      <c r="H315" s="45" t="s">
        <v>57</v>
      </c>
      <c r="I315" s="45" t="s">
        <v>203</v>
      </c>
      <c r="J315" s="45" t="s">
        <v>445</v>
      </c>
      <c r="K315" s="45" t="n">
        <v>0.4</v>
      </c>
      <c r="L315" s="45" t="s">
        <v>263</v>
      </c>
      <c r="M315" s="45" t="s">
        <v>259</v>
      </c>
      <c r="N315" s="45" t="s">
        <v>57</v>
      </c>
      <c r="O315" s="47" t="n">
        <v>46149.6783101852</v>
      </c>
      <c r="P315" s="47" t="n">
        <v>46149.6785763889</v>
      </c>
    </row>
    <row r="316" customFormat="false" ht="15" hidden="false" customHeight="false" outlineLevel="0" collapsed="false">
      <c r="A316" s="45" t="n">
        <v>519</v>
      </c>
      <c r="B316" s="46" t="n">
        <v>46149</v>
      </c>
      <c r="C316" s="45" t="s">
        <v>137</v>
      </c>
      <c r="D316" s="45" t="s">
        <v>138</v>
      </c>
      <c r="E316" s="45" t="s">
        <v>229</v>
      </c>
      <c r="F316" s="45" t="s">
        <v>898</v>
      </c>
      <c r="G316" s="46" t="n">
        <v>46148</v>
      </c>
      <c r="H316" s="45" t="s">
        <v>167</v>
      </c>
      <c r="I316" s="45" t="s">
        <v>175</v>
      </c>
      <c r="J316" s="45" t="s">
        <v>899</v>
      </c>
      <c r="K316" s="45" t="n">
        <v>0.5</v>
      </c>
      <c r="L316" s="45" t="s">
        <v>263</v>
      </c>
      <c r="M316" s="45" t="s">
        <v>259</v>
      </c>
      <c r="N316" s="45" t="s">
        <v>167</v>
      </c>
      <c r="O316" s="47" t="n">
        <v>46149.6786342593</v>
      </c>
      <c r="P316" s="47" t="n">
        <v>46149.6789699074</v>
      </c>
    </row>
    <row r="317" customFormat="false" ht="15" hidden="false" customHeight="false" outlineLevel="0" collapsed="false">
      <c r="A317" s="45" t="n">
        <v>520</v>
      </c>
      <c r="B317" s="46" t="n">
        <v>46149</v>
      </c>
      <c r="C317" s="45" t="s">
        <v>137</v>
      </c>
      <c r="D317" s="45" t="s">
        <v>138</v>
      </c>
      <c r="E317" s="45" t="s">
        <v>229</v>
      </c>
      <c r="F317" s="45" t="s">
        <v>900</v>
      </c>
      <c r="G317" s="46" t="n">
        <v>46148</v>
      </c>
      <c r="H317" s="45" t="s">
        <v>167</v>
      </c>
      <c r="I317" s="45" t="s">
        <v>177</v>
      </c>
      <c r="J317" s="45" t="s">
        <v>445</v>
      </c>
      <c r="K317" s="45" t="n">
        <v>1.6</v>
      </c>
      <c r="L317" s="45" t="s">
        <v>263</v>
      </c>
      <c r="M317" s="45" t="s">
        <v>259</v>
      </c>
      <c r="N317" s="45" t="s">
        <v>167</v>
      </c>
      <c r="O317" s="47" t="n">
        <v>46149.6789930556</v>
      </c>
      <c r="P317" s="47" t="n">
        <v>46149.6800925926</v>
      </c>
    </row>
    <row r="318" customFormat="false" ht="15" hidden="false" customHeight="false" outlineLevel="0" collapsed="false">
      <c r="A318" s="45" t="n">
        <v>522</v>
      </c>
      <c r="B318" s="46" t="n">
        <v>46149</v>
      </c>
      <c r="C318" s="45" t="s">
        <v>135</v>
      </c>
      <c r="D318" s="45" t="s">
        <v>136</v>
      </c>
      <c r="E318" s="45" t="s">
        <v>353</v>
      </c>
      <c r="F318" s="45" t="s">
        <v>901</v>
      </c>
      <c r="G318" s="46" t="n">
        <v>46148</v>
      </c>
      <c r="H318" s="45" t="s">
        <v>167</v>
      </c>
      <c r="I318" s="45" t="s">
        <v>175</v>
      </c>
      <c r="J318" s="45" t="s">
        <v>902</v>
      </c>
      <c r="K318" s="45" t="n">
        <v>35.4</v>
      </c>
      <c r="L318" s="45" t="s">
        <v>263</v>
      </c>
      <c r="M318" s="45" t="s">
        <v>259</v>
      </c>
      <c r="N318" s="45" t="s">
        <v>167</v>
      </c>
      <c r="O318" s="47" t="n">
        <v>46149.7388194444</v>
      </c>
      <c r="P318" s="47" t="n">
        <v>46149.7634143519</v>
      </c>
    </row>
    <row r="319" customFormat="false" ht="15" hidden="false" customHeight="false" outlineLevel="0" collapsed="false">
      <c r="A319" s="45" t="n">
        <v>523</v>
      </c>
      <c r="B319" s="46" t="n">
        <v>46149</v>
      </c>
      <c r="C319" s="45" t="s">
        <v>135</v>
      </c>
      <c r="D319" s="45" t="s">
        <v>136</v>
      </c>
      <c r="E319" s="45" t="s">
        <v>475</v>
      </c>
      <c r="F319" s="45" t="s">
        <v>903</v>
      </c>
      <c r="G319" s="46" t="n">
        <v>46148</v>
      </c>
      <c r="H319" s="45" t="s">
        <v>168</v>
      </c>
      <c r="I319" s="45" t="s">
        <v>191</v>
      </c>
      <c r="J319" s="45" t="s">
        <v>904</v>
      </c>
      <c r="K319" s="45" t="n">
        <v>16.6</v>
      </c>
      <c r="L319" s="45" t="s">
        <v>263</v>
      </c>
      <c r="M319" s="45" t="s">
        <v>259</v>
      </c>
      <c r="N319" s="45" t="s">
        <v>264</v>
      </c>
      <c r="O319" s="47" t="n">
        <v>46149.7737615741</v>
      </c>
      <c r="P319" s="47" t="n">
        <v>46149.7852893519</v>
      </c>
    </row>
    <row r="320" customFormat="false" ht="15" hidden="false" customHeight="false" outlineLevel="0" collapsed="false">
      <c r="A320" s="45" t="n">
        <v>524</v>
      </c>
      <c r="B320" s="46" t="n">
        <v>46149</v>
      </c>
      <c r="C320" s="45" t="s">
        <v>135</v>
      </c>
      <c r="D320" s="45" t="s">
        <v>136</v>
      </c>
      <c r="E320" s="45" t="s">
        <v>381</v>
      </c>
      <c r="F320" s="45" t="s">
        <v>905</v>
      </c>
      <c r="G320" s="46" t="n">
        <v>46148</v>
      </c>
      <c r="H320" s="45" t="s">
        <v>57</v>
      </c>
      <c r="I320" s="45" t="s">
        <v>200</v>
      </c>
      <c r="J320" s="45" t="s">
        <v>906</v>
      </c>
      <c r="K320" s="45" t="n">
        <v>10.6</v>
      </c>
      <c r="L320" s="45" t="s">
        <v>263</v>
      </c>
      <c r="M320" s="45" t="s">
        <v>259</v>
      </c>
      <c r="N320" s="45" t="s">
        <v>57</v>
      </c>
      <c r="O320" s="47" t="n">
        <v>46149.7858449074</v>
      </c>
      <c r="P320" s="47" t="n">
        <v>46149.7932291667</v>
      </c>
    </row>
    <row r="321" customFormat="false" ht="15" hidden="false" customHeight="false" outlineLevel="0" collapsed="false">
      <c r="A321" s="45" t="n">
        <v>525</v>
      </c>
      <c r="B321" s="46" t="n">
        <v>46149</v>
      </c>
      <c r="C321" s="45" t="s">
        <v>135</v>
      </c>
      <c r="D321" s="45" t="s">
        <v>136</v>
      </c>
      <c r="E321" s="45" t="s">
        <v>512</v>
      </c>
      <c r="F321" s="45" t="s">
        <v>907</v>
      </c>
      <c r="G321" s="46" t="n">
        <v>46148</v>
      </c>
      <c r="H321" s="45" t="s">
        <v>167</v>
      </c>
      <c r="I321" s="45" t="s">
        <v>175</v>
      </c>
      <c r="J321" s="45" t="s">
        <v>908</v>
      </c>
      <c r="K321" s="45" t="n">
        <v>18.4</v>
      </c>
      <c r="L321" s="45" t="s">
        <v>263</v>
      </c>
      <c r="M321" s="45" t="s">
        <v>259</v>
      </c>
      <c r="N321" s="45" t="s">
        <v>167</v>
      </c>
      <c r="O321" s="47" t="n">
        <v>46149.7932986111</v>
      </c>
      <c r="P321" s="47" t="n">
        <v>46149.806087963</v>
      </c>
    </row>
    <row r="322" customFormat="false" ht="15" hidden="false" customHeight="false" outlineLevel="0" collapsed="false">
      <c r="A322" s="45" t="n">
        <v>527</v>
      </c>
      <c r="B322" s="46" t="n">
        <v>46149</v>
      </c>
      <c r="C322" s="45" t="s">
        <v>135</v>
      </c>
      <c r="D322" s="45" t="s">
        <v>136</v>
      </c>
      <c r="E322" s="45" t="s">
        <v>236</v>
      </c>
      <c r="F322" s="45" t="s">
        <v>909</v>
      </c>
      <c r="G322" s="46" t="n">
        <v>46148</v>
      </c>
      <c r="H322" s="45" t="s">
        <v>167</v>
      </c>
      <c r="I322" s="45" t="s">
        <v>175</v>
      </c>
      <c r="J322" s="45" t="s">
        <v>910</v>
      </c>
      <c r="K322" s="45" t="n">
        <v>12.8</v>
      </c>
      <c r="L322" s="45" t="s">
        <v>263</v>
      </c>
      <c r="M322" s="45" t="s">
        <v>259</v>
      </c>
      <c r="N322" s="45" t="s">
        <v>167</v>
      </c>
      <c r="O322" s="47" t="n">
        <v>46149.8062037037</v>
      </c>
      <c r="P322" s="47" t="n">
        <v>46149.8151157407</v>
      </c>
    </row>
    <row r="323" customFormat="false" ht="15" hidden="false" customHeight="false" outlineLevel="0" collapsed="false">
      <c r="A323" s="45" t="n">
        <v>528</v>
      </c>
      <c r="B323" s="46" t="n">
        <v>46149</v>
      </c>
      <c r="C323" s="45" t="s">
        <v>133</v>
      </c>
      <c r="D323" s="45" t="s">
        <v>134</v>
      </c>
      <c r="E323" s="45" t="s">
        <v>219</v>
      </c>
      <c r="F323" s="45" t="s">
        <v>911</v>
      </c>
      <c r="G323" s="46" t="n">
        <v>46148</v>
      </c>
      <c r="H323" s="45" t="s">
        <v>168</v>
      </c>
      <c r="I323" s="45" t="s">
        <v>193</v>
      </c>
      <c r="J323" s="45" t="s">
        <v>912</v>
      </c>
      <c r="K323" s="45" t="n">
        <v>209</v>
      </c>
      <c r="L323" s="45" t="s">
        <v>263</v>
      </c>
      <c r="M323" s="45" t="s">
        <v>259</v>
      </c>
      <c r="N323" s="45" t="s">
        <v>264</v>
      </c>
      <c r="O323" s="47" t="n">
        <v>46149.8702777778</v>
      </c>
      <c r="P323" s="47" t="n">
        <v>46150.0154166667</v>
      </c>
    </row>
    <row r="324" customFormat="false" ht="15" hidden="false" customHeight="false" outlineLevel="0" collapsed="false">
      <c r="A324" s="45" t="n">
        <v>529</v>
      </c>
      <c r="B324" s="46" t="n">
        <v>46150</v>
      </c>
      <c r="C324" s="45" t="s">
        <v>143</v>
      </c>
      <c r="D324" s="45" t="s">
        <v>144</v>
      </c>
      <c r="E324" s="45" t="s">
        <v>230</v>
      </c>
      <c r="F324" s="45" t="s">
        <v>913</v>
      </c>
      <c r="G324" s="46" t="n">
        <v>46148</v>
      </c>
      <c r="H324" s="45" t="s">
        <v>167</v>
      </c>
      <c r="I324" s="45" t="s">
        <v>175</v>
      </c>
      <c r="J324" s="45" t="s">
        <v>914</v>
      </c>
      <c r="K324" s="45" t="n">
        <v>2.3</v>
      </c>
      <c r="L324" s="45" t="s">
        <v>263</v>
      </c>
      <c r="M324" s="45" t="s">
        <v>259</v>
      </c>
      <c r="N324" s="45" t="s">
        <v>167</v>
      </c>
      <c r="O324" s="47" t="n">
        <v>46150.0739467593</v>
      </c>
      <c r="P324" s="47" t="n">
        <v>46150.0755439815</v>
      </c>
    </row>
    <row r="325" customFormat="false" ht="15" hidden="false" customHeight="false" outlineLevel="0" collapsed="false">
      <c r="A325" s="45" t="n">
        <v>530</v>
      </c>
      <c r="B325" s="46" t="n">
        <v>46150</v>
      </c>
      <c r="C325" s="45" t="s">
        <v>143</v>
      </c>
      <c r="D325" s="45" t="s">
        <v>144</v>
      </c>
      <c r="E325" s="45" t="s">
        <v>230</v>
      </c>
      <c r="F325" s="45" t="s">
        <v>915</v>
      </c>
      <c r="G325" s="46" t="n">
        <v>46148</v>
      </c>
      <c r="H325" s="45" t="s">
        <v>167</v>
      </c>
      <c r="I325" s="45" t="s">
        <v>175</v>
      </c>
      <c r="J325" s="45" t="s">
        <v>916</v>
      </c>
      <c r="K325" s="45" t="n">
        <v>7</v>
      </c>
      <c r="L325" s="45" t="s">
        <v>263</v>
      </c>
      <c r="M325" s="45" t="s">
        <v>259</v>
      </c>
      <c r="N325" s="45" t="s">
        <v>167</v>
      </c>
      <c r="O325" s="47" t="n">
        <v>46150.0755787037</v>
      </c>
      <c r="P325" s="47" t="n">
        <v>46150.0804513889</v>
      </c>
    </row>
    <row r="326" customFormat="false" ht="15" hidden="false" customHeight="false" outlineLevel="0" collapsed="false">
      <c r="A326" s="45" t="n">
        <v>531</v>
      </c>
      <c r="B326" s="46" t="n">
        <v>46150</v>
      </c>
      <c r="C326" s="45" t="s">
        <v>133</v>
      </c>
      <c r="D326" s="45" t="s">
        <v>134</v>
      </c>
      <c r="E326" s="45" t="s">
        <v>917</v>
      </c>
      <c r="F326" s="45" t="s">
        <v>918</v>
      </c>
      <c r="G326" s="46" t="n">
        <v>46148</v>
      </c>
      <c r="H326" s="45" t="s">
        <v>167</v>
      </c>
      <c r="I326" s="45" t="s">
        <v>177</v>
      </c>
      <c r="J326" s="45" t="s">
        <v>919</v>
      </c>
      <c r="K326" s="45" t="n">
        <v>35.3</v>
      </c>
      <c r="L326" s="45" t="s">
        <v>263</v>
      </c>
      <c r="M326" s="45" t="s">
        <v>259</v>
      </c>
      <c r="N326" s="45" t="s">
        <v>167</v>
      </c>
      <c r="O326" s="47" t="n">
        <v>46150.611087963</v>
      </c>
      <c r="P326" s="47" t="n">
        <v>46150.6355787037</v>
      </c>
    </row>
    <row r="327" customFormat="false" ht="15" hidden="false" customHeight="false" outlineLevel="0" collapsed="false">
      <c r="A327" s="45" t="n">
        <v>532</v>
      </c>
      <c r="B327" s="46" t="n">
        <v>46150</v>
      </c>
      <c r="C327" s="45" t="s">
        <v>133</v>
      </c>
      <c r="D327" s="45" t="s">
        <v>134</v>
      </c>
      <c r="E327" s="45" t="s">
        <v>231</v>
      </c>
      <c r="F327" s="45" t="s">
        <v>920</v>
      </c>
      <c r="G327" s="46" t="n">
        <v>46148</v>
      </c>
      <c r="H327" s="45" t="s">
        <v>167</v>
      </c>
      <c r="I327" s="45" t="s">
        <v>175</v>
      </c>
      <c r="J327" s="45" t="s">
        <v>921</v>
      </c>
      <c r="K327" s="45" t="n">
        <v>0.1</v>
      </c>
      <c r="L327" s="45" t="s">
        <v>263</v>
      </c>
      <c r="M327" s="45" t="s">
        <v>259</v>
      </c>
      <c r="N327" s="45" t="s">
        <v>167</v>
      </c>
      <c r="O327" s="47" t="n">
        <v>46150.7604398148</v>
      </c>
      <c r="P327" s="47" t="n">
        <v>46150.760474537</v>
      </c>
    </row>
    <row r="328" customFormat="false" ht="15" hidden="false" customHeight="false" outlineLevel="0" collapsed="false">
      <c r="A328" s="45" t="n">
        <v>533</v>
      </c>
      <c r="B328" s="46" t="n">
        <v>46150</v>
      </c>
      <c r="C328" s="45" t="s">
        <v>133</v>
      </c>
      <c r="D328" s="45" t="s">
        <v>134</v>
      </c>
      <c r="E328" s="45" t="s">
        <v>466</v>
      </c>
      <c r="F328" s="45" t="s">
        <v>922</v>
      </c>
      <c r="G328" s="46" t="n">
        <v>46148</v>
      </c>
      <c r="H328" s="45" t="s">
        <v>167</v>
      </c>
      <c r="I328" s="45" t="s">
        <v>175</v>
      </c>
      <c r="J328" s="45" t="s">
        <v>923</v>
      </c>
      <c r="K328" s="45" t="n">
        <v>16.6</v>
      </c>
      <c r="L328" s="45" t="s">
        <v>263</v>
      </c>
      <c r="M328" s="45" t="s">
        <v>259</v>
      </c>
      <c r="N328" s="45" t="s">
        <v>167</v>
      </c>
      <c r="O328" s="47" t="n">
        <v>46150.7604976852</v>
      </c>
      <c r="P328" s="47" t="n">
        <v>46150.7720601852</v>
      </c>
    </row>
    <row r="329" customFormat="false" ht="15" hidden="false" customHeight="false" outlineLevel="0" collapsed="false">
      <c r="A329" s="45" t="n">
        <v>535</v>
      </c>
      <c r="B329" s="46" t="n">
        <v>46150</v>
      </c>
      <c r="C329" s="45" t="s">
        <v>131</v>
      </c>
      <c r="D329" s="45" t="s">
        <v>132</v>
      </c>
      <c r="E329" s="45" t="s">
        <v>577</v>
      </c>
      <c r="F329" s="45" t="s">
        <v>924</v>
      </c>
      <c r="G329" s="46" t="n">
        <v>46149</v>
      </c>
      <c r="H329" s="45" t="s">
        <v>167</v>
      </c>
      <c r="I329" s="45" t="s">
        <v>176</v>
      </c>
      <c r="J329" s="45" t="s">
        <v>925</v>
      </c>
      <c r="K329" s="45" t="n">
        <v>8.7</v>
      </c>
      <c r="L329" s="45" t="s">
        <v>263</v>
      </c>
      <c r="M329" s="45" t="s">
        <v>259</v>
      </c>
      <c r="N329" s="45" t="s">
        <v>167</v>
      </c>
      <c r="O329" s="47" t="n">
        <v>46150.7705787037</v>
      </c>
      <c r="P329" s="47" t="n">
        <v>46150.7766203704</v>
      </c>
    </row>
    <row r="330" customFormat="false" ht="15" hidden="false" customHeight="false" outlineLevel="0" collapsed="false">
      <c r="A330" s="45" t="n">
        <v>534</v>
      </c>
      <c r="B330" s="46" t="n">
        <v>46150</v>
      </c>
      <c r="C330" s="45" t="s">
        <v>133</v>
      </c>
      <c r="D330" s="45" t="s">
        <v>134</v>
      </c>
      <c r="E330" s="45" t="s">
        <v>238</v>
      </c>
      <c r="F330" s="45" t="s">
        <v>926</v>
      </c>
      <c r="G330" s="46" t="n">
        <v>46148</v>
      </c>
      <c r="H330" s="45" t="s">
        <v>57</v>
      </c>
      <c r="I330" s="45" t="s">
        <v>201</v>
      </c>
      <c r="J330" s="45" t="s">
        <v>927</v>
      </c>
      <c r="K330" s="45" t="n">
        <v>1.2</v>
      </c>
      <c r="L330" s="45" t="s">
        <v>263</v>
      </c>
      <c r="M330" s="45" t="s">
        <v>259</v>
      </c>
      <c r="N330" s="45" t="s">
        <v>57</v>
      </c>
      <c r="O330" s="47" t="n">
        <v>46150.7745023148</v>
      </c>
      <c r="P330" s="47" t="n">
        <v>46150.7753472222</v>
      </c>
    </row>
    <row r="331" customFormat="false" ht="15" hidden="false" customHeight="false" outlineLevel="0" collapsed="false">
      <c r="A331" s="45" t="n">
        <v>536</v>
      </c>
      <c r="B331" s="46" t="n">
        <v>46150</v>
      </c>
      <c r="C331" s="45" t="s">
        <v>131</v>
      </c>
      <c r="D331" s="45" t="s">
        <v>132</v>
      </c>
      <c r="E331" s="45" t="s">
        <v>577</v>
      </c>
      <c r="F331" s="45" t="s">
        <v>928</v>
      </c>
      <c r="G331" s="46" t="n">
        <v>46149</v>
      </c>
      <c r="H331" s="45" t="s">
        <v>167</v>
      </c>
      <c r="I331" s="45" t="s">
        <v>175</v>
      </c>
      <c r="J331" s="45" t="s">
        <v>929</v>
      </c>
      <c r="K331" s="45" t="n">
        <v>0.8</v>
      </c>
      <c r="L331" s="45" t="s">
        <v>263</v>
      </c>
      <c r="M331" s="45" t="s">
        <v>259</v>
      </c>
      <c r="N331" s="45" t="s">
        <v>167</v>
      </c>
      <c r="O331" s="47" t="n">
        <v>46150.7769097222</v>
      </c>
      <c r="P331" s="47" t="n">
        <v>46150.7775</v>
      </c>
    </row>
    <row r="332" customFormat="false" ht="15" hidden="false" customHeight="false" outlineLevel="0" collapsed="false">
      <c r="A332" s="45" t="n">
        <v>538</v>
      </c>
      <c r="B332" s="46" t="n">
        <v>46150</v>
      </c>
      <c r="C332" s="45" t="s">
        <v>131</v>
      </c>
      <c r="D332" s="45" t="s">
        <v>132</v>
      </c>
      <c r="E332" s="45" t="s">
        <v>415</v>
      </c>
      <c r="F332" s="45" t="s">
        <v>930</v>
      </c>
      <c r="G332" s="46" t="n">
        <v>46149</v>
      </c>
      <c r="H332" s="45" t="s">
        <v>167</v>
      </c>
      <c r="I332" s="45" t="s">
        <v>175</v>
      </c>
      <c r="J332" s="45" t="s">
        <v>931</v>
      </c>
      <c r="K332" s="45" t="n">
        <v>4.1</v>
      </c>
      <c r="L332" s="45" t="s">
        <v>263</v>
      </c>
      <c r="M332" s="45" t="s">
        <v>259</v>
      </c>
      <c r="N332" s="45" t="s">
        <v>167</v>
      </c>
      <c r="O332" s="47" t="n">
        <v>46150.7790509259</v>
      </c>
      <c r="P332" s="47" t="n">
        <v>46150.7819212963</v>
      </c>
    </row>
    <row r="333" customFormat="false" ht="15" hidden="false" customHeight="false" outlineLevel="0" collapsed="false">
      <c r="A333" s="45" t="n">
        <v>537</v>
      </c>
      <c r="B333" s="46" t="n">
        <v>46150</v>
      </c>
      <c r="C333" s="45" t="s">
        <v>133</v>
      </c>
      <c r="D333" s="45" t="s">
        <v>134</v>
      </c>
      <c r="E333" s="45" t="s">
        <v>238</v>
      </c>
      <c r="F333" s="45" t="s">
        <v>932</v>
      </c>
      <c r="G333" s="46" t="n">
        <v>46148</v>
      </c>
      <c r="H333" s="45" t="s">
        <v>167</v>
      </c>
      <c r="I333" s="45" t="s">
        <v>175</v>
      </c>
      <c r="J333" s="45" t="s">
        <v>933</v>
      </c>
      <c r="K333" s="45" t="n">
        <v>1.9</v>
      </c>
      <c r="L333" s="45" t="s">
        <v>263</v>
      </c>
      <c r="M333" s="45" t="s">
        <v>259</v>
      </c>
      <c r="N333" s="45" t="s">
        <v>167</v>
      </c>
      <c r="O333" s="47" t="n">
        <v>46150.7795138889</v>
      </c>
      <c r="P333" s="47" t="n">
        <v>46150.7808217593</v>
      </c>
    </row>
    <row r="334" customFormat="false" ht="15" hidden="false" customHeight="false" outlineLevel="0" collapsed="false">
      <c r="A334" s="45" t="n">
        <v>539</v>
      </c>
      <c r="B334" s="46" t="n">
        <v>46150</v>
      </c>
      <c r="C334" s="45" t="s">
        <v>131</v>
      </c>
      <c r="D334" s="45" t="s">
        <v>132</v>
      </c>
      <c r="E334" s="45" t="s">
        <v>218</v>
      </c>
      <c r="F334" s="45" t="s">
        <v>934</v>
      </c>
      <c r="G334" s="46" t="n">
        <v>46149</v>
      </c>
      <c r="H334" s="45" t="s">
        <v>167</v>
      </c>
      <c r="I334" s="45" t="s">
        <v>175</v>
      </c>
      <c r="J334" s="45" t="s">
        <v>935</v>
      </c>
      <c r="K334" s="45" t="n">
        <v>1.3</v>
      </c>
      <c r="L334" s="45" t="s">
        <v>263</v>
      </c>
      <c r="M334" s="45" t="s">
        <v>259</v>
      </c>
      <c r="N334" s="45" t="s">
        <v>167</v>
      </c>
      <c r="O334" s="47" t="n">
        <v>46150.7820949074</v>
      </c>
      <c r="P334" s="47" t="n">
        <v>46150.7829861111</v>
      </c>
    </row>
    <row r="335" customFormat="false" ht="15" hidden="false" customHeight="false" outlineLevel="0" collapsed="false">
      <c r="A335" s="45" t="n">
        <v>540</v>
      </c>
      <c r="B335" s="46" t="n">
        <v>46150</v>
      </c>
      <c r="C335" s="45" t="s">
        <v>131</v>
      </c>
      <c r="D335" s="45" t="s">
        <v>132</v>
      </c>
      <c r="E335" s="45" t="s">
        <v>326</v>
      </c>
      <c r="F335" s="45" t="s">
        <v>936</v>
      </c>
      <c r="G335" s="46" t="n">
        <v>46149</v>
      </c>
      <c r="H335" s="45" t="s">
        <v>57</v>
      </c>
      <c r="I335" s="45" t="s">
        <v>201</v>
      </c>
      <c r="J335" s="45" t="s">
        <v>937</v>
      </c>
      <c r="K335" s="45" t="n">
        <v>1.9</v>
      </c>
      <c r="L335" s="45" t="s">
        <v>263</v>
      </c>
      <c r="M335" s="45" t="s">
        <v>259</v>
      </c>
      <c r="N335" s="45" t="s">
        <v>57</v>
      </c>
      <c r="O335" s="47" t="n">
        <v>46150.7844328704</v>
      </c>
      <c r="P335" s="47" t="n">
        <v>46150.7857407407</v>
      </c>
    </row>
    <row r="336" customFormat="false" ht="15" hidden="false" customHeight="false" outlineLevel="0" collapsed="false">
      <c r="A336" s="45" t="n">
        <v>541</v>
      </c>
      <c r="B336" s="46" t="n">
        <v>46150</v>
      </c>
      <c r="C336" s="45" t="s">
        <v>131</v>
      </c>
      <c r="D336" s="45" t="s">
        <v>132</v>
      </c>
      <c r="E336" s="45" t="s">
        <v>326</v>
      </c>
      <c r="F336" s="45" t="s">
        <v>883</v>
      </c>
      <c r="G336" s="46" t="n">
        <v>46149</v>
      </c>
      <c r="H336" s="45" t="s">
        <v>57</v>
      </c>
      <c r="I336" s="45" t="s">
        <v>201</v>
      </c>
      <c r="J336" s="45" t="s">
        <v>938</v>
      </c>
      <c r="K336" s="45" t="n">
        <v>1.6</v>
      </c>
      <c r="L336" s="45" t="s">
        <v>259</v>
      </c>
      <c r="M336" s="45" t="s">
        <v>259</v>
      </c>
      <c r="N336" s="45" t="s">
        <v>57</v>
      </c>
      <c r="O336" s="47" t="n">
        <v>46150.7862731482</v>
      </c>
      <c r="P336" s="47" t="n">
        <v>46150.7874189815</v>
      </c>
    </row>
    <row r="337" customFormat="false" ht="15" hidden="false" customHeight="false" outlineLevel="0" collapsed="false">
      <c r="A337" s="45" t="n">
        <v>542</v>
      </c>
      <c r="B337" s="46" t="n">
        <v>46150</v>
      </c>
      <c r="C337" s="45" t="s">
        <v>145</v>
      </c>
      <c r="D337" s="45" t="s">
        <v>146</v>
      </c>
      <c r="E337" s="45" t="s">
        <v>795</v>
      </c>
      <c r="F337" s="45" t="s">
        <v>939</v>
      </c>
      <c r="G337" s="46" t="n">
        <v>46149</v>
      </c>
      <c r="H337" s="45" t="s">
        <v>167</v>
      </c>
      <c r="I337" s="45" t="s">
        <v>182</v>
      </c>
      <c r="J337" s="45" t="s">
        <v>940</v>
      </c>
      <c r="K337" s="45" t="n">
        <v>0.1</v>
      </c>
      <c r="L337" s="45" t="s">
        <v>259</v>
      </c>
      <c r="M337" s="45" t="s">
        <v>259</v>
      </c>
      <c r="N337" s="45" t="s">
        <v>167</v>
      </c>
      <c r="O337" s="47" t="n">
        <v>46150.8032523148</v>
      </c>
      <c r="P337" s="47" t="n">
        <v>46150.8032986111</v>
      </c>
    </row>
    <row r="338" customFormat="false" ht="15" hidden="false" customHeight="false" outlineLevel="0" collapsed="false">
      <c r="A338" s="45" t="n">
        <v>543</v>
      </c>
      <c r="B338" s="46" t="n">
        <v>46150</v>
      </c>
      <c r="C338" s="45" t="s">
        <v>145</v>
      </c>
      <c r="D338" s="45" t="s">
        <v>146</v>
      </c>
      <c r="E338" s="45" t="s">
        <v>421</v>
      </c>
      <c r="F338" s="45" t="s">
        <v>941</v>
      </c>
      <c r="G338" s="46" t="n">
        <v>46149</v>
      </c>
      <c r="H338" s="45" t="s">
        <v>167</v>
      </c>
      <c r="I338" s="45" t="s">
        <v>175</v>
      </c>
      <c r="J338" s="45" t="s">
        <v>942</v>
      </c>
      <c r="K338" s="45" t="n">
        <v>7.1</v>
      </c>
      <c r="L338" s="45" t="s">
        <v>259</v>
      </c>
      <c r="M338" s="45" t="s">
        <v>259</v>
      </c>
      <c r="N338" s="45" t="s">
        <v>167</v>
      </c>
      <c r="O338" s="47" t="n">
        <v>46150.8033333333</v>
      </c>
      <c r="P338" s="47" t="n">
        <v>46150.8082523148</v>
      </c>
    </row>
    <row r="339" customFormat="false" ht="15" hidden="false" customHeight="false" outlineLevel="0" collapsed="false">
      <c r="A339" s="45" t="n">
        <v>544</v>
      </c>
      <c r="B339" s="46" t="n">
        <v>46153</v>
      </c>
      <c r="C339" s="45" t="s">
        <v>137</v>
      </c>
      <c r="D339" s="45" t="s">
        <v>138</v>
      </c>
      <c r="E339" s="45" t="s">
        <v>453</v>
      </c>
      <c r="F339" s="45" t="s">
        <v>943</v>
      </c>
      <c r="G339" s="46" t="n">
        <v>46150</v>
      </c>
      <c r="H339" s="45" t="s">
        <v>168</v>
      </c>
      <c r="I339" s="45" t="s">
        <v>195</v>
      </c>
      <c r="J339" s="45" t="s">
        <v>944</v>
      </c>
      <c r="K339" s="45" t="n">
        <v>33.9</v>
      </c>
      <c r="L339" s="45" t="s">
        <v>263</v>
      </c>
      <c r="M339" s="45" t="s">
        <v>259</v>
      </c>
      <c r="N339" s="45" t="s">
        <v>264</v>
      </c>
      <c r="O339" s="47" t="n">
        <v>46153.6131828704</v>
      </c>
      <c r="P339" s="47" t="n">
        <v>46153.6367013889</v>
      </c>
    </row>
    <row r="340" customFormat="false" ht="15" hidden="false" customHeight="false" outlineLevel="0" collapsed="false">
      <c r="A340" s="45" t="n">
        <v>545</v>
      </c>
      <c r="B340" s="46" t="n">
        <v>46153</v>
      </c>
      <c r="C340" s="45" t="s">
        <v>145</v>
      </c>
      <c r="D340" s="45" t="s">
        <v>146</v>
      </c>
      <c r="E340" s="45" t="s">
        <v>795</v>
      </c>
      <c r="F340" s="45" t="s">
        <v>939</v>
      </c>
      <c r="G340" s="46" t="n">
        <v>46149</v>
      </c>
      <c r="H340" s="45" t="s">
        <v>167</v>
      </c>
      <c r="I340" s="45" t="s">
        <v>175</v>
      </c>
      <c r="J340" s="45" t="s">
        <v>945</v>
      </c>
      <c r="K340" s="45" t="n">
        <v>0.1</v>
      </c>
      <c r="L340" s="45" t="s">
        <v>259</v>
      </c>
      <c r="M340" s="45" t="s">
        <v>259</v>
      </c>
      <c r="N340" s="45" t="s">
        <v>167</v>
      </c>
      <c r="O340" s="47" t="n">
        <v>46153.7145833333</v>
      </c>
      <c r="P340" s="47" t="n">
        <v>46153.7146412037</v>
      </c>
    </row>
    <row r="341" customFormat="false" ht="15" hidden="false" customHeight="false" outlineLevel="0" collapsed="false">
      <c r="A341" s="45" t="n">
        <v>546</v>
      </c>
      <c r="B341" s="46" t="n">
        <v>46153</v>
      </c>
      <c r="C341" s="45" t="s">
        <v>145</v>
      </c>
      <c r="D341" s="45" t="s">
        <v>146</v>
      </c>
      <c r="E341" s="45" t="s">
        <v>421</v>
      </c>
      <c r="F341" s="45" t="s">
        <v>941</v>
      </c>
      <c r="G341" s="46" t="n">
        <v>46149</v>
      </c>
      <c r="H341" s="45" t="s">
        <v>167</v>
      </c>
      <c r="I341" s="45" t="s">
        <v>175</v>
      </c>
      <c r="J341" s="45" t="s">
        <v>946</v>
      </c>
      <c r="K341" s="45" t="n">
        <v>9</v>
      </c>
      <c r="L341" s="45" t="s">
        <v>259</v>
      </c>
      <c r="M341" s="45" t="s">
        <v>259</v>
      </c>
      <c r="N341" s="45" t="s">
        <v>167</v>
      </c>
      <c r="O341" s="47" t="n">
        <v>46153.7149421296</v>
      </c>
      <c r="P341" s="47" t="n">
        <v>46153.7211805556</v>
      </c>
    </row>
    <row r="342" customFormat="false" ht="15" hidden="false" customHeight="false" outlineLevel="0" collapsed="false">
      <c r="A342" s="45" t="n">
        <v>568</v>
      </c>
      <c r="B342" s="46" t="n">
        <v>46153</v>
      </c>
      <c r="C342" s="45" t="s">
        <v>145</v>
      </c>
      <c r="D342" s="45" t="s">
        <v>146</v>
      </c>
      <c r="E342" s="45" t="s">
        <v>795</v>
      </c>
      <c r="F342" s="45" t="s">
        <v>947</v>
      </c>
      <c r="G342" s="46" t="n">
        <v>46153</v>
      </c>
      <c r="H342" s="45" t="s">
        <v>167</v>
      </c>
      <c r="I342" s="45" t="s">
        <v>175</v>
      </c>
      <c r="J342" s="45" t="s">
        <v>948</v>
      </c>
      <c r="K342" s="45" t="n">
        <v>1715.8</v>
      </c>
      <c r="L342" s="45" t="s">
        <v>263</v>
      </c>
      <c r="M342" s="45" t="s">
        <v>259</v>
      </c>
      <c r="N342" s="45" t="s">
        <v>167</v>
      </c>
      <c r="O342" s="47" t="n">
        <v>46153.72125</v>
      </c>
      <c r="P342" s="47" t="n">
        <v>46154.9127893519</v>
      </c>
    </row>
    <row r="343" customFormat="false" ht="15" hidden="false" customHeight="false" outlineLevel="0" collapsed="false">
      <c r="A343" s="45" t="n">
        <v>547</v>
      </c>
      <c r="B343" s="46" t="n">
        <v>46153</v>
      </c>
      <c r="C343" s="45" t="s">
        <v>133</v>
      </c>
      <c r="D343" s="45" t="s">
        <v>134</v>
      </c>
      <c r="E343" s="45" t="s">
        <v>405</v>
      </c>
      <c r="F343" s="45" t="s">
        <v>949</v>
      </c>
      <c r="G343" s="46" t="n">
        <v>46150</v>
      </c>
      <c r="H343" s="45" t="s">
        <v>167</v>
      </c>
      <c r="I343" s="45" t="s">
        <v>175</v>
      </c>
      <c r="J343" s="45" t="s">
        <v>950</v>
      </c>
      <c r="K343" s="45" t="n">
        <v>0.3</v>
      </c>
      <c r="L343" s="45" t="s">
        <v>263</v>
      </c>
      <c r="M343" s="45" t="s">
        <v>259</v>
      </c>
      <c r="N343" s="45" t="s">
        <v>167</v>
      </c>
      <c r="O343" s="47" t="n">
        <v>46153.7551157407</v>
      </c>
      <c r="P343" s="47" t="n">
        <v>46153.7553587963</v>
      </c>
    </row>
    <row r="344" customFormat="false" ht="15" hidden="false" customHeight="false" outlineLevel="0" collapsed="false">
      <c r="A344" s="45" t="n">
        <v>548</v>
      </c>
      <c r="B344" s="46" t="n">
        <v>46153</v>
      </c>
      <c r="C344" s="45" t="s">
        <v>133</v>
      </c>
      <c r="D344" s="45" t="s">
        <v>134</v>
      </c>
      <c r="E344" s="45" t="s">
        <v>558</v>
      </c>
      <c r="F344" s="45" t="s">
        <v>558</v>
      </c>
      <c r="G344" s="46" t="n">
        <v>46149</v>
      </c>
      <c r="H344" s="45" t="s">
        <v>169</v>
      </c>
      <c r="I344" s="45"/>
      <c r="J344" s="45"/>
      <c r="K344" s="45" t="n">
        <v>0.2</v>
      </c>
      <c r="L344" s="45" t="s">
        <v>263</v>
      </c>
      <c r="M344" s="45" t="s">
        <v>259</v>
      </c>
      <c r="N344" s="45" t="s">
        <v>169</v>
      </c>
      <c r="O344" s="47" t="n">
        <v>46153.756724537</v>
      </c>
      <c r="P344" s="47" t="n">
        <v>46153.7568518519</v>
      </c>
    </row>
    <row r="345" customFormat="false" ht="15" hidden="false" customHeight="false" outlineLevel="0" collapsed="false">
      <c r="A345" s="45" t="n">
        <v>549</v>
      </c>
      <c r="B345" s="46" t="n">
        <v>46153</v>
      </c>
      <c r="C345" s="45" t="s">
        <v>133</v>
      </c>
      <c r="D345" s="45" t="s">
        <v>134</v>
      </c>
      <c r="E345" s="45" t="s">
        <v>219</v>
      </c>
      <c r="F345" s="45" t="s">
        <v>951</v>
      </c>
      <c r="G345" s="46" t="n">
        <v>46150</v>
      </c>
      <c r="H345" s="45" t="s">
        <v>167</v>
      </c>
      <c r="I345" s="45" t="s">
        <v>175</v>
      </c>
      <c r="J345" s="45" t="s">
        <v>952</v>
      </c>
      <c r="K345" s="45" t="n">
        <v>14.4</v>
      </c>
      <c r="L345" s="45" t="s">
        <v>263</v>
      </c>
      <c r="M345" s="45" t="s">
        <v>259</v>
      </c>
      <c r="N345" s="45" t="s">
        <v>167</v>
      </c>
      <c r="O345" s="47" t="n">
        <v>46153.756875</v>
      </c>
      <c r="P345" s="47" t="n">
        <v>46153.7668634259</v>
      </c>
    </row>
    <row r="346" customFormat="false" ht="15" hidden="false" customHeight="false" outlineLevel="0" collapsed="false">
      <c r="A346" s="45" t="n">
        <v>550</v>
      </c>
      <c r="B346" s="46" t="n">
        <v>46153</v>
      </c>
      <c r="C346" s="45" t="s">
        <v>133</v>
      </c>
      <c r="D346" s="45" t="s">
        <v>134</v>
      </c>
      <c r="E346" s="45" t="s">
        <v>231</v>
      </c>
      <c r="F346" s="45" t="s">
        <v>953</v>
      </c>
      <c r="G346" s="46" t="n">
        <v>46149</v>
      </c>
      <c r="H346" s="45" t="s">
        <v>167</v>
      </c>
      <c r="I346" s="45" t="s">
        <v>175</v>
      </c>
      <c r="J346" s="45" t="s">
        <v>954</v>
      </c>
      <c r="K346" s="45" t="n">
        <v>1.1</v>
      </c>
      <c r="L346" s="45" t="s">
        <v>263</v>
      </c>
      <c r="M346" s="45" t="s">
        <v>259</v>
      </c>
      <c r="N346" s="45" t="s">
        <v>167</v>
      </c>
      <c r="O346" s="47" t="n">
        <v>46153.7753935185</v>
      </c>
      <c r="P346" s="47" t="n">
        <v>46153.7761458333</v>
      </c>
    </row>
    <row r="347" customFormat="false" ht="15" hidden="false" customHeight="false" outlineLevel="0" collapsed="false">
      <c r="A347" s="45" t="n">
        <v>551</v>
      </c>
      <c r="B347" s="46" t="n">
        <v>46153</v>
      </c>
      <c r="C347" s="45" t="s">
        <v>133</v>
      </c>
      <c r="D347" s="45" t="s">
        <v>134</v>
      </c>
      <c r="E347" s="45" t="s">
        <v>734</v>
      </c>
      <c r="F347" s="45" t="s">
        <v>955</v>
      </c>
      <c r="G347" s="46" t="n">
        <v>46150</v>
      </c>
      <c r="H347" s="45" t="s">
        <v>57</v>
      </c>
      <c r="I347" s="45" t="s">
        <v>201</v>
      </c>
      <c r="J347" s="45" t="s">
        <v>956</v>
      </c>
      <c r="K347" s="45" t="n">
        <v>18.6</v>
      </c>
      <c r="L347" s="45" t="s">
        <v>263</v>
      </c>
      <c r="M347" s="45" t="s">
        <v>259</v>
      </c>
      <c r="N347" s="45" t="s">
        <v>57</v>
      </c>
      <c r="O347" s="47" t="n">
        <v>46153.7762037037</v>
      </c>
      <c r="P347" s="47" t="n">
        <v>46153.7890856482</v>
      </c>
    </row>
    <row r="348" customFormat="false" ht="15" hidden="false" customHeight="false" outlineLevel="0" collapsed="false">
      <c r="A348" s="45" t="n">
        <v>552</v>
      </c>
      <c r="B348" s="46" t="n">
        <v>46153</v>
      </c>
      <c r="C348" s="45" t="s">
        <v>131</v>
      </c>
      <c r="D348" s="45" t="s">
        <v>132</v>
      </c>
      <c r="E348" s="45" t="s">
        <v>577</v>
      </c>
      <c r="F348" s="45" t="s">
        <v>957</v>
      </c>
      <c r="G348" s="46" t="n">
        <v>46150</v>
      </c>
      <c r="H348" s="45" t="s">
        <v>167</v>
      </c>
      <c r="I348" s="45" t="s">
        <v>175</v>
      </c>
      <c r="J348" s="45" t="s">
        <v>958</v>
      </c>
      <c r="K348" s="45" t="n">
        <v>8.2</v>
      </c>
      <c r="L348" s="45" t="s">
        <v>263</v>
      </c>
      <c r="M348" s="45" t="s">
        <v>259</v>
      </c>
      <c r="N348" s="45" t="s">
        <v>167</v>
      </c>
      <c r="O348" s="47" t="n">
        <v>46153.7847106482</v>
      </c>
      <c r="P348" s="47" t="n">
        <v>46153.7903935185</v>
      </c>
    </row>
    <row r="349" customFormat="false" ht="15" hidden="false" customHeight="false" outlineLevel="0" collapsed="false">
      <c r="A349" s="45" t="n">
        <v>558</v>
      </c>
      <c r="B349" s="46" t="n">
        <v>46153</v>
      </c>
      <c r="C349" s="45" t="s">
        <v>133</v>
      </c>
      <c r="D349" s="45" t="s">
        <v>134</v>
      </c>
      <c r="E349" s="45" t="s">
        <v>219</v>
      </c>
      <c r="F349" s="45" t="s">
        <v>959</v>
      </c>
      <c r="G349" s="46" t="n">
        <v>46150</v>
      </c>
      <c r="H349" s="45" t="s">
        <v>167</v>
      </c>
      <c r="I349" s="45" t="s">
        <v>175</v>
      </c>
      <c r="J349" s="45" t="s">
        <v>960</v>
      </c>
      <c r="K349" s="45" t="n">
        <v>19.9</v>
      </c>
      <c r="L349" s="45" t="s">
        <v>263</v>
      </c>
      <c r="M349" s="45" t="s">
        <v>259</v>
      </c>
      <c r="N349" s="45" t="s">
        <v>167</v>
      </c>
      <c r="O349" s="47" t="n">
        <v>46153.7891435185</v>
      </c>
      <c r="P349" s="47" t="n">
        <v>46153.802962963</v>
      </c>
    </row>
    <row r="350" customFormat="false" ht="15" hidden="false" customHeight="false" outlineLevel="0" collapsed="false">
      <c r="A350" s="45" t="n">
        <v>553</v>
      </c>
      <c r="B350" s="46" t="n">
        <v>46153</v>
      </c>
      <c r="C350" s="45" t="s">
        <v>131</v>
      </c>
      <c r="D350" s="45" t="s">
        <v>132</v>
      </c>
      <c r="E350" s="45" t="s">
        <v>218</v>
      </c>
      <c r="F350" s="45" t="s">
        <v>961</v>
      </c>
      <c r="G350" s="46" t="n">
        <v>46150</v>
      </c>
      <c r="H350" s="45" t="s">
        <v>167</v>
      </c>
      <c r="I350" s="45" t="s">
        <v>175</v>
      </c>
      <c r="J350" s="45" t="s">
        <v>962</v>
      </c>
      <c r="K350" s="45" t="n">
        <v>1.5</v>
      </c>
      <c r="L350" s="45" t="s">
        <v>263</v>
      </c>
      <c r="M350" s="45" t="s">
        <v>259</v>
      </c>
      <c r="N350" s="45" t="s">
        <v>167</v>
      </c>
      <c r="O350" s="47" t="n">
        <v>46153.7904166667</v>
      </c>
      <c r="P350" s="47" t="n">
        <v>46153.7914699074</v>
      </c>
    </row>
    <row r="351" customFormat="false" ht="15" hidden="false" customHeight="false" outlineLevel="0" collapsed="false">
      <c r="A351" s="45" t="n">
        <v>554</v>
      </c>
      <c r="B351" s="46" t="n">
        <v>46153</v>
      </c>
      <c r="C351" s="45" t="s">
        <v>131</v>
      </c>
      <c r="D351" s="45" t="s">
        <v>132</v>
      </c>
      <c r="E351" s="45" t="s">
        <v>239</v>
      </c>
      <c r="F351" s="45" t="s">
        <v>963</v>
      </c>
      <c r="G351" s="46" t="n">
        <v>46150</v>
      </c>
      <c r="H351" s="45" t="s">
        <v>167</v>
      </c>
      <c r="I351" s="45" t="s">
        <v>175</v>
      </c>
      <c r="J351" s="45" t="s">
        <v>964</v>
      </c>
      <c r="K351" s="45" t="n">
        <v>2.8</v>
      </c>
      <c r="L351" s="45" t="s">
        <v>263</v>
      </c>
      <c r="M351" s="45" t="s">
        <v>259</v>
      </c>
      <c r="N351" s="45" t="s">
        <v>167</v>
      </c>
      <c r="O351" s="47" t="n">
        <v>46153.7915046296</v>
      </c>
      <c r="P351" s="47" t="n">
        <v>46153.7934375</v>
      </c>
    </row>
    <row r="352" customFormat="false" ht="15" hidden="false" customHeight="false" outlineLevel="0" collapsed="false">
      <c r="A352" s="45" t="n">
        <v>555</v>
      </c>
      <c r="B352" s="46" t="n">
        <v>46153</v>
      </c>
      <c r="C352" s="45" t="s">
        <v>131</v>
      </c>
      <c r="D352" s="45" t="s">
        <v>132</v>
      </c>
      <c r="E352" s="45" t="s">
        <v>218</v>
      </c>
      <c r="F352" s="45" t="s">
        <v>965</v>
      </c>
      <c r="G352" s="46" t="n">
        <v>46150</v>
      </c>
      <c r="H352" s="45" t="s">
        <v>167</v>
      </c>
      <c r="I352" s="45" t="s">
        <v>175</v>
      </c>
      <c r="J352" s="45" t="s">
        <v>966</v>
      </c>
      <c r="K352" s="45" t="n">
        <v>1.2</v>
      </c>
      <c r="L352" s="45" t="s">
        <v>263</v>
      </c>
      <c r="M352" s="45" t="s">
        <v>259</v>
      </c>
      <c r="N352" s="45" t="s">
        <v>167</v>
      </c>
      <c r="O352" s="47" t="n">
        <v>46153.7940625</v>
      </c>
      <c r="P352" s="47" t="n">
        <v>46153.7949189815</v>
      </c>
    </row>
    <row r="353" customFormat="false" ht="15" hidden="false" customHeight="false" outlineLevel="0" collapsed="false">
      <c r="A353" s="45" t="n">
        <v>556</v>
      </c>
      <c r="B353" s="46" t="n">
        <v>46153</v>
      </c>
      <c r="C353" s="45" t="s">
        <v>131</v>
      </c>
      <c r="D353" s="45" t="s">
        <v>132</v>
      </c>
      <c r="E353" s="45" t="s">
        <v>218</v>
      </c>
      <c r="F353" s="45" t="s">
        <v>967</v>
      </c>
      <c r="G353" s="46" t="n">
        <v>46150</v>
      </c>
      <c r="H353" s="45" t="s">
        <v>167</v>
      </c>
      <c r="I353" s="45" t="s">
        <v>175</v>
      </c>
      <c r="J353" s="45" t="s">
        <v>968</v>
      </c>
      <c r="K353" s="45" t="n">
        <v>2.2</v>
      </c>
      <c r="L353" s="45" t="s">
        <v>263</v>
      </c>
      <c r="M353" s="45" t="s">
        <v>259</v>
      </c>
      <c r="N353" s="45" t="s">
        <v>167</v>
      </c>
      <c r="O353" s="47" t="n">
        <v>46153.7949537037</v>
      </c>
      <c r="P353" s="47" t="n">
        <v>46153.7965046296</v>
      </c>
    </row>
    <row r="354" customFormat="false" ht="15" hidden="false" customHeight="false" outlineLevel="0" collapsed="false">
      <c r="A354" s="45" t="n">
        <v>557</v>
      </c>
      <c r="B354" s="46" t="n">
        <v>46153</v>
      </c>
      <c r="C354" s="45" t="s">
        <v>131</v>
      </c>
      <c r="D354" s="45" t="s">
        <v>132</v>
      </c>
      <c r="E354" s="45" t="s">
        <v>218</v>
      </c>
      <c r="F354" s="45" t="s">
        <v>969</v>
      </c>
      <c r="G354" s="46" t="n">
        <v>46150</v>
      </c>
      <c r="H354" s="45" t="s">
        <v>167</v>
      </c>
      <c r="I354" s="45" t="s">
        <v>175</v>
      </c>
      <c r="J354" s="45" t="s">
        <v>970</v>
      </c>
      <c r="K354" s="45" t="n">
        <v>1.6</v>
      </c>
      <c r="L354" s="45" t="s">
        <v>259</v>
      </c>
      <c r="M354" s="45" t="s">
        <v>259</v>
      </c>
      <c r="N354" s="45" t="s">
        <v>167</v>
      </c>
      <c r="O354" s="47" t="n">
        <v>46153.7971875</v>
      </c>
      <c r="P354" s="47" t="n">
        <v>46153.7982638889</v>
      </c>
    </row>
    <row r="355" customFormat="false" ht="15" hidden="false" customHeight="false" outlineLevel="0" collapsed="false">
      <c r="A355" s="45" t="n">
        <v>563</v>
      </c>
      <c r="B355" s="46" t="n">
        <v>46153</v>
      </c>
      <c r="C355" s="45" t="s">
        <v>131</v>
      </c>
      <c r="D355" s="45" t="s">
        <v>132</v>
      </c>
      <c r="E355" s="45" t="s">
        <v>577</v>
      </c>
      <c r="F355" s="45" t="s">
        <v>971</v>
      </c>
      <c r="G355" s="46" t="n">
        <v>46153</v>
      </c>
      <c r="H355" s="45" t="s">
        <v>167</v>
      </c>
      <c r="I355" s="45" t="s">
        <v>175</v>
      </c>
      <c r="J355" s="45" t="s">
        <v>972</v>
      </c>
      <c r="K355" s="45" t="n">
        <v>1434.2</v>
      </c>
      <c r="L355" s="45" t="s">
        <v>259</v>
      </c>
      <c r="M355" s="45" t="s">
        <v>259</v>
      </c>
      <c r="N355" s="45" t="s">
        <v>167</v>
      </c>
      <c r="O355" s="47" t="n">
        <v>46153.7983912037</v>
      </c>
      <c r="P355" s="47" t="n">
        <v>46154.7943865741</v>
      </c>
    </row>
    <row r="356" customFormat="false" ht="15" hidden="false" customHeight="false" outlineLevel="0" collapsed="false">
      <c r="A356" s="45" t="n">
        <v>562</v>
      </c>
      <c r="B356" s="46" t="n">
        <v>46153</v>
      </c>
      <c r="C356" s="45" t="s">
        <v>133</v>
      </c>
      <c r="D356" s="45" t="s">
        <v>134</v>
      </c>
      <c r="E356" s="45" t="s">
        <v>466</v>
      </c>
      <c r="F356" s="45" t="s">
        <v>973</v>
      </c>
      <c r="G356" s="46" t="n">
        <v>46149</v>
      </c>
      <c r="H356" s="45" t="s">
        <v>57</v>
      </c>
      <c r="I356" s="45" t="s">
        <v>200</v>
      </c>
      <c r="J356" s="45" t="s">
        <v>974</v>
      </c>
      <c r="K356" s="45" t="n">
        <v>1233.7</v>
      </c>
      <c r="L356" s="45" t="s">
        <v>263</v>
      </c>
      <c r="M356" s="45" t="s">
        <v>259</v>
      </c>
      <c r="N356" s="45" t="s">
        <v>57</v>
      </c>
      <c r="O356" s="47" t="n">
        <v>46153.8031018519</v>
      </c>
      <c r="P356" s="47" t="n">
        <v>46154.6598148148</v>
      </c>
    </row>
    <row r="357" customFormat="false" ht="15" hidden="false" customHeight="false" outlineLevel="0" collapsed="false">
      <c r="A357" s="45" t="n">
        <v>559</v>
      </c>
      <c r="B357" s="46" t="n">
        <v>46154</v>
      </c>
      <c r="C357" s="45" t="s">
        <v>143</v>
      </c>
      <c r="D357" s="45" t="s">
        <v>144</v>
      </c>
      <c r="E357" s="45" t="s">
        <v>605</v>
      </c>
      <c r="F357" s="45" t="s">
        <v>975</v>
      </c>
      <c r="G357" s="46" t="n">
        <v>46150</v>
      </c>
      <c r="H357" s="45" t="s">
        <v>167</v>
      </c>
      <c r="I357" s="45" t="s">
        <v>175</v>
      </c>
      <c r="J357" s="45" t="s">
        <v>976</v>
      </c>
      <c r="K357" s="45" t="n">
        <v>5.1</v>
      </c>
      <c r="L357" s="45" t="s">
        <v>263</v>
      </c>
      <c r="M357" s="45" t="s">
        <v>259</v>
      </c>
      <c r="N357" s="45" t="s">
        <v>167</v>
      </c>
      <c r="O357" s="47" t="n">
        <v>46154.0192592593</v>
      </c>
      <c r="P357" s="47" t="n">
        <v>46154.0227777778</v>
      </c>
    </row>
    <row r="358" customFormat="false" ht="15" hidden="false" customHeight="false" outlineLevel="0" collapsed="false">
      <c r="A358" s="45" t="n">
        <v>560</v>
      </c>
      <c r="B358" s="46" t="n">
        <v>46154</v>
      </c>
      <c r="C358" s="45" t="s">
        <v>143</v>
      </c>
      <c r="D358" s="45" t="s">
        <v>144</v>
      </c>
      <c r="E358" s="45" t="s">
        <v>372</v>
      </c>
      <c r="F358" s="45" t="s">
        <v>977</v>
      </c>
      <c r="G358" s="46" t="n">
        <v>46150</v>
      </c>
      <c r="H358" s="45" t="s">
        <v>169</v>
      </c>
      <c r="I358" s="45"/>
      <c r="J358" s="45"/>
      <c r="K358" s="45" t="n">
        <v>2.3</v>
      </c>
      <c r="L358" s="45" t="s">
        <v>263</v>
      </c>
      <c r="M358" s="45" t="s">
        <v>259</v>
      </c>
      <c r="N358" s="45" t="s">
        <v>169</v>
      </c>
      <c r="O358" s="47" t="n">
        <v>46154.0228472222</v>
      </c>
      <c r="P358" s="47" t="n">
        <v>46154.0244212963</v>
      </c>
    </row>
    <row r="359" customFormat="false" ht="15" hidden="false" customHeight="false" outlineLevel="0" collapsed="false">
      <c r="A359" s="45" t="n">
        <v>561</v>
      </c>
      <c r="B359" s="46" t="n">
        <v>46154</v>
      </c>
      <c r="C359" s="45" t="s">
        <v>143</v>
      </c>
      <c r="D359" s="45" t="s">
        <v>144</v>
      </c>
      <c r="E359" s="45" t="s">
        <v>372</v>
      </c>
      <c r="F359" s="45" t="s">
        <v>978</v>
      </c>
      <c r="G359" s="46" t="n">
        <v>46150</v>
      </c>
      <c r="H359" s="45" t="s">
        <v>167</v>
      </c>
      <c r="I359" s="45" t="s">
        <v>175</v>
      </c>
      <c r="J359" s="45" t="s">
        <v>979</v>
      </c>
      <c r="K359" s="45" t="n">
        <v>6.7</v>
      </c>
      <c r="L359" s="45" t="s">
        <v>263</v>
      </c>
      <c r="M359" s="45" t="s">
        <v>259</v>
      </c>
      <c r="N359" s="45" t="s">
        <v>167</v>
      </c>
      <c r="O359" s="47" t="n">
        <v>46154.024525463</v>
      </c>
      <c r="P359" s="47" t="n">
        <v>46154.0292013889</v>
      </c>
    </row>
    <row r="360" customFormat="false" ht="15" hidden="false" customHeight="false" outlineLevel="0" collapsed="false">
      <c r="A360" s="45" t="n">
        <v>570</v>
      </c>
      <c r="B360" s="46" t="n">
        <v>46154</v>
      </c>
      <c r="C360" s="45" t="s">
        <v>133</v>
      </c>
      <c r="D360" s="45" t="s">
        <v>134</v>
      </c>
      <c r="E360" s="45" t="s">
        <v>219</v>
      </c>
      <c r="F360" s="45" t="s">
        <v>980</v>
      </c>
      <c r="G360" s="46" t="n">
        <v>46153</v>
      </c>
      <c r="H360" s="45" t="s">
        <v>168</v>
      </c>
      <c r="I360" s="45" t="s">
        <v>192</v>
      </c>
      <c r="J360" s="45" t="s">
        <v>981</v>
      </c>
      <c r="K360" s="45" t="n">
        <v>482.5</v>
      </c>
      <c r="L360" s="45" t="s">
        <v>263</v>
      </c>
      <c r="M360" s="45" t="s">
        <v>259</v>
      </c>
      <c r="N360" s="45" t="s">
        <v>264</v>
      </c>
      <c r="O360" s="47" t="n">
        <v>46154.6598726852</v>
      </c>
      <c r="P360" s="47" t="n">
        <v>46154.9949537037</v>
      </c>
    </row>
    <row r="361" customFormat="false" ht="15" hidden="false" customHeight="false" outlineLevel="0" collapsed="false">
      <c r="A361" s="45" t="n">
        <v>564</v>
      </c>
      <c r="B361" s="46" t="n">
        <v>46154</v>
      </c>
      <c r="C361" s="45" t="s">
        <v>131</v>
      </c>
      <c r="D361" s="45" t="s">
        <v>132</v>
      </c>
      <c r="E361" s="45" t="s">
        <v>218</v>
      </c>
      <c r="F361" s="45" t="s">
        <v>969</v>
      </c>
      <c r="G361" s="46" t="n">
        <v>46153</v>
      </c>
      <c r="H361" s="45" t="s">
        <v>167</v>
      </c>
      <c r="I361" s="45" t="s">
        <v>175</v>
      </c>
      <c r="J361" s="45" t="s">
        <v>982</v>
      </c>
      <c r="K361" s="45" t="n">
        <v>1.6</v>
      </c>
      <c r="L361" s="45" t="s">
        <v>259</v>
      </c>
      <c r="M361" s="45" t="s">
        <v>259</v>
      </c>
      <c r="N361" s="45" t="s">
        <v>167</v>
      </c>
      <c r="O361" s="47" t="n">
        <v>46154.7983564815</v>
      </c>
      <c r="P361" s="47" t="n">
        <v>46154.7995023148</v>
      </c>
    </row>
    <row r="362" customFormat="false" ht="15" hidden="false" customHeight="false" outlineLevel="0" collapsed="false">
      <c r="A362" s="45" t="n">
        <v>565</v>
      </c>
      <c r="B362" s="46" t="n">
        <v>46154</v>
      </c>
      <c r="C362" s="45" t="s">
        <v>131</v>
      </c>
      <c r="D362" s="45" t="s">
        <v>132</v>
      </c>
      <c r="E362" s="45" t="s">
        <v>239</v>
      </c>
      <c r="F362" s="45" t="s">
        <v>983</v>
      </c>
      <c r="G362" s="46" t="n">
        <v>46153</v>
      </c>
      <c r="H362" s="45" t="s">
        <v>167</v>
      </c>
      <c r="I362" s="45" t="s">
        <v>175</v>
      </c>
      <c r="J362" s="45" t="s">
        <v>984</v>
      </c>
      <c r="K362" s="45" t="n">
        <v>1.9</v>
      </c>
      <c r="L362" s="45" t="s">
        <v>263</v>
      </c>
      <c r="M362" s="45" t="s">
        <v>259</v>
      </c>
      <c r="N362" s="45" t="s">
        <v>167</v>
      </c>
      <c r="O362" s="47" t="n">
        <v>46154.7995138889</v>
      </c>
      <c r="P362" s="47" t="n">
        <v>46154.8007986111</v>
      </c>
    </row>
    <row r="363" customFormat="false" ht="15" hidden="false" customHeight="false" outlineLevel="0" collapsed="false">
      <c r="A363" s="45" t="n">
        <v>566</v>
      </c>
      <c r="B363" s="46" t="n">
        <v>46154</v>
      </c>
      <c r="C363" s="45" t="s">
        <v>131</v>
      </c>
      <c r="D363" s="45" t="s">
        <v>132</v>
      </c>
      <c r="E363" s="45" t="s">
        <v>239</v>
      </c>
      <c r="F363" s="45" t="s">
        <v>971</v>
      </c>
      <c r="G363" s="46" t="n">
        <v>46153</v>
      </c>
      <c r="H363" s="45" t="s">
        <v>167</v>
      </c>
      <c r="I363" s="45" t="s">
        <v>175</v>
      </c>
      <c r="J363" s="45" t="s">
        <v>985</v>
      </c>
      <c r="K363" s="45" t="n">
        <v>3.6</v>
      </c>
      <c r="L363" s="45" t="s">
        <v>259</v>
      </c>
      <c r="M363" s="45" t="s">
        <v>259</v>
      </c>
      <c r="N363" s="45" t="s">
        <v>167</v>
      </c>
      <c r="O363" s="47" t="n">
        <v>46154.8009143519</v>
      </c>
      <c r="P363" s="47" t="n">
        <v>46154.8034259259</v>
      </c>
    </row>
    <row r="364" customFormat="false" ht="15" hidden="false" customHeight="false" outlineLevel="0" collapsed="false">
      <c r="A364" s="45" t="n">
        <v>567</v>
      </c>
      <c r="B364" s="46" t="n">
        <v>46154</v>
      </c>
      <c r="C364" s="45" t="s">
        <v>131</v>
      </c>
      <c r="D364" s="45" t="s">
        <v>132</v>
      </c>
      <c r="E364" s="45" t="s">
        <v>220</v>
      </c>
      <c r="F364" s="45" t="s">
        <v>986</v>
      </c>
      <c r="G364" s="46" t="n">
        <v>46153</v>
      </c>
      <c r="H364" s="45" t="s">
        <v>167</v>
      </c>
      <c r="I364" s="45" t="s">
        <v>175</v>
      </c>
      <c r="J364" s="45" t="s">
        <v>987</v>
      </c>
      <c r="K364" s="45" t="n">
        <v>6.4</v>
      </c>
      <c r="L364" s="45" t="s">
        <v>263</v>
      </c>
      <c r="M364" s="45" t="s">
        <v>259</v>
      </c>
      <c r="N364" s="45" t="s">
        <v>167</v>
      </c>
      <c r="O364" s="47" t="n">
        <v>46154.8034953704</v>
      </c>
      <c r="P364" s="47" t="n">
        <v>46154.8079166667</v>
      </c>
    </row>
    <row r="365" customFormat="false" ht="15" hidden="false" customHeight="false" outlineLevel="0" collapsed="false">
      <c r="A365" s="45" t="n">
        <v>593</v>
      </c>
      <c r="B365" s="46" t="n">
        <v>46154</v>
      </c>
      <c r="C365" s="45" t="s">
        <v>131</v>
      </c>
      <c r="D365" s="45" t="s">
        <v>132</v>
      </c>
      <c r="E365" s="45" t="s">
        <v>220</v>
      </c>
      <c r="F365" s="45" t="s">
        <v>988</v>
      </c>
      <c r="G365" s="46" t="n">
        <v>46155</v>
      </c>
      <c r="H365" s="45" t="s">
        <v>167</v>
      </c>
      <c r="I365" s="45" t="s">
        <v>175</v>
      </c>
      <c r="J365" s="45" t="s">
        <v>989</v>
      </c>
      <c r="K365" s="45" t="n">
        <v>2740.5</v>
      </c>
      <c r="L365" s="45" t="s">
        <v>263</v>
      </c>
      <c r="M365" s="45" t="s">
        <v>259</v>
      </c>
      <c r="N365" s="45" t="s">
        <v>167</v>
      </c>
      <c r="O365" s="47" t="n">
        <v>46154.807974537</v>
      </c>
      <c r="P365" s="47" t="n">
        <v>46156.7110763889</v>
      </c>
    </row>
    <row r="366" customFormat="false" ht="15" hidden="false" customHeight="false" outlineLevel="0" collapsed="false">
      <c r="A366" s="45" t="n">
        <v>576</v>
      </c>
      <c r="B366" s="46" t="n">
        <v>46154</v>
      </c>
      <c r="C366" s="45" t="s">
        <v>145</v>
      </c>
      <c r="D366" s="45" t="s">
        <v>146</v>
      </c>
      <c r="E366" s="45" t="s">
        <v>795</v>
      </c>
      <c r="F366" s="45" t="s">
        <v>990</v>
      </c>
      <c r="G366" s="46" t="n">
        <v>46154</v>
      </c>
      <c r="H366" s="45" t="s">
        <v>169</v>
      </c>
      <c r="I366" s="45"/>
      <c r="J366" s="45"/>
      <c r="K366" s="45" t="n">
        <v>1046.5</v>
      </c>
      <c r="L366" s="45" t="s">
        <v>263</v>
      </c>
      <c r="M366" s="45" t="s">
        <v>259</v>
      </c>
      <c r="N366" s="45" t="s">
        <v>169</v>
      </c>
      <c r="O366" s="47" t="n">
        <v>46154.9129513889</v>
      </c>
      <c r="P366" s="47" t="n">
        <v>46155.6396875</v>
      </c>
    </row>
    <row r="367" customFormat="false" ht="15" hidden="false" customHeight="false" outlineLevel="0" collapsed="false">
      <c r="A367" s="45" t="n">
        <v>569</v>
      </c>
      <c r="B367" s="46" t="n">
        <v>46154</v>
      </c>
      <c r="C367" s="45" t="s">
        <v>143</v>
      </c>
      <c r="D367" s="45" t="s">
        <v>144</v>
      </c>
      <c r="E367" s="45" t="s">
        <v>228</v>
      </c>
      <c r="F367" s="45" t="s">
        <v>991</v>
      </c>
      <c r="G367" s="46" t="n">
        <v>46153</v>
      </c>
      <c r="H367" s="45" t="s">
        <v>167</v>
      </c>
      <c r="I367" s="45" t="s">
        <v>175</v>
      </c>
      <c r="J367" s="45" t="s">
        <v>992</v>
      </c>
      <c r="K367" s="45" t="n">
        <v>4.7</v>
      </c>
      <c r="L367" s="45" t="s">
        <v>259</v>
      </c>
      <c r="M367" s="45" t="s">
        <v>259</v>
      </c>
      <c r="N367" s="45" t="s">
        <v>167</v>
      </c>
      <c r="O367" s="47" t="n">
        <v>46154.9620833333</v>
      </c>
      <c r="P367" s="47" t="n">
        <v>46154.9653472222</v>
      </c>
    </row>
    <row r="368" customFormat="false" ht="15" hidden="false" customHeight="false" outlineLevel="0" collapsed="false">
      <c r="A368" s="45" t="n">
        <v>571</v>
      </c>
      <c r="B368" s="46" t="n">
        <v>46154</v>
      </c>
      <c r="C368" s="45" t="s">
        <v>133</v>
      </c>
      <c r="D368" s="45" t="s">
        <v>134</v>
      </c>
      <c r="E368" s="45" t="s">
        <v>734</v>
      </c>
      <c r="F368" s="45" t="s">
        <v>993</v>
      </c>
      <c r="G368" s="46" t="n">
        <v>46153</v>
      </c>
      <c r="H368" s="45" t="s">
        <v>167</v>
      </c>
      <c r="I368" s="45" t="s">
        <v>175</v>
      </c>
      <c r="J368" s="45" t="s">
        <v>994</v>
      </c>
      <c r="K368" s="45" t="n">
        <v>0.6</v>
      </c>
      <c r="L368" s="45" t="s">
        <v>263</v>
      </c>
      <c r="M368" s="45" t="s">
        <v>259</v>
      </c>
      <c r="N368" s="45" t="s">
        <v>167</v>
      </c>
      <c r="O368" s="47" t="n">
        <v>46154.9949768519</v>
      </c>
      <c r="P368" s="47" t="n">
        <v>46154.9953587963</v>
      </c>
    </row>
    <row r="369" customFormat="false" ht="15" hidden="false" customHeight="false" outlineLevel="0" collapsed="false">
      <c r="A369" s="45" t="n">
        <v>578</v>
      </c>
      <c r="B369" s="46" t="n">
        <v>46154</v>
      </c>
      <c r="C369" s="45" t="s">
        <v>133</v>
      </c>
      <c r="D369" s="45" t="s">
        <v>134</v>
      </c>
      <c r="E369" s="45" t="s">
        <v>917</v>
      </c>
      <c r="F369" s="45" t="s">
        <v>995</v>
      </c>
      <c r="G369" s="46" t="n">
        <v>46154</v>
      </c>
      <c r="H369" s="45" t="s">
        <v>167</v>
      </c>
      <c r="I369" s="45" t="s">
        <v>176</v>
      </c>
      <c r="J369" s="45" t="s">
        <v>996</v>
      </c>
      <c r="K369" s="45" t="n">
        <v>945.6</v>
      </c>
      <c r="L369" s="45" t="s">
        <v>263</v>
      </c>
      <c r="M369" s="45" t="s">
        <v>259</v>
      </c>
      <c r="N369" s="45" t="s">
        <v>167</v>
      </c>
      <c r="O369" s="47" t="n">
        <v>46154.9954166667</v>
      </c>
      <c r="P369" s="47" t="n">
        <v>46155.6521180556</v>
      </c>
    </row>
    <row r="370" customFormat="false" ht="15" hidden="false" customHeight="false" outlineLevel="0" collapsed="false">
      <c r="A370" s="45" t="n">
        <v>572</v>
      </c>
      <c r="B370" s="46" t="n">
        <v>46155</v>
      </c>
      <c r="C370" s="45" t="s">
        <v>137</v>
      </c>
      <c r="D370" s="45" t="s">
        <v>138</v>
      </c>
      <c r="E370" s="45" t="s">
        <v>449</v>
      </c>
      <c r="F370" s="45" t="s">
        <v>997</v>
      </c>
      <c r="G370" s="46" t="n">
        <v>46154</v>
      </c>
      <c r="H370" s="45" t="s">
        <v>57</v>
      </c>
      <c r="I370" s="45" t="s">
        <v>200</v>
      </c>
      <c r="J370" s="45" t="s">
        <v>998</v>
      </c>
      <c r="K370" s="45" t="n">
        <v>1</v>
      </c>
      <c r="L370" s="45" t="s">
        <v>263</v>
      </c>
      <c r="M370" s="45" t="s">
        <v>259</v>
      </c>
      <c r="N370" s="45" t="s">
        <v>57</v>
      </c>
      <c r="O370" s="47" t="n">
        <v>46155.622962963</v>
      </c>
      <c r="P370" s="47" t="n">
        <v>46155.6236574074</v>
      </c>
    </row>
    <row r="371" customFormat="false" ht="15" hidden="false" customHeight="false" outlineLevel="0" collapsed="false">
      <c r="A371" s="45" t="n">
        <v>573</v>
      </c>
      <c r="B371" s="46" t="n">
        <v>46155</v>
      </c>
      <c r="C371" s="45" t="s">
        <v>137</v>
      </c>
      <c r="D371" s="45" t="s">
        <v>138</v>
      </c>
      <c r="E371" s="45" t="s">
        <v>309</v>
      </c>
      <c r="F371" s="45" t="s">
        <v>999</v>
      </c>
      <c r="G371" s="46" t="n">
        <v>46154</v>
      </c>
      <c r="H371" s="45" t="s">
        <v>169</v>
      </c>
      <c r="I371" s="45"/>
      <c r="J371" s="45"/>
      <c r="K371" s="45" t="n">
        <v>0.4</v>
      </c>
      <c r="L371" s="45" t="s">
        <v>263</v>
      </c>
      <c r="M371" s="45" t="s">
        <v>259</v>
      </c>
      <c r="N371" s="45" t="s">
        <v>169</v>
      </c>
      <c r="O371" s="47" t="n">
        <v>46155.6237384259</v>
      </c>
      <c r="P371" s="47" t="n">
        <v>46155.6239930556</v>
      </c>
    </row>
    <row r="372" customFormat="false" ht="15" hidden="false" customHeight="false" outlineLevel="0" collapsed="false">
      <c r="A372" s="45" t="n">
        <v>574</v>
      </c>
      <c r="B372" s="46" t="n">
        <v>46155</v>
      </c>
      <c r="C372" s="45" t="s">
        <v>137</v>
      </c>
      <c r="D372" s="45" t="s">
        <v>138</v>
      </c>
      <c r="E372" s="45" t="s">
        <v>235</v>
      </c>
      <c r="F372" s="45" t="s">
        <v>1000</v>
      </c>
      <c r="G372" s="46" t="n">
        <v>46153</v>
      </c>
      <c r="H372" s="45" t="s">
        <v>168</v>
      </c>
      <c r="I372" s="45" t="s">
        <v>193</v>
      </c>
      <c r="J372" s="45" t="s">
        <v>1001</v>
      </c>
      <c r="K372" s="45" t="n">
        <v>0.4</v>
      </c>
      <c r="L372" s="45" t="s">
        <v>263</v>
      </c>
      <c r="M372" s="45" t="s">
        <v>259</v>
      </c>
      <c r="N372" s="45" t="s">
        <v>264</v>
      </c>
      <c r="O372" s="47" t="n">
        <v>46155.6240509259</v>
      </c>
      <c r="P372" s="47" t="n">
        <v>46155.6243171296</v>
      </c>
    </row>
    <row r="373" customFormat="false" ht="15" hidden="false" customHeight="false" outlineLevel="0" collapsed="false">
      <c r="A373" s="45" t="n">
        <v>575</v>
      </c>
      <c r="B373" s="46" t="n">
        <v>46155</v>
      </c>
      <c r="C373" s="45" t="s">
        <v>137</v>
      </c>
      <c r="D373" s="45" t="s">
        <v>138</v>
      </c>
      <c r="E373" s="45" t="s">
        <v>449</v>
      </c>
      <c r="F373" s="45" t="s">
        <v>1002</v>
      </c>
      <c r="G373" s="46" t="n">
        <v>46153</v>
      </c>
      <c r="H373" s="45" t="s">
        <v>57</v>
      </c>
      <c r="I373" s="45" t="s">
        <v>203</v>
      </c>
      <c r="J373" s="45" t="s">
        <v>445</v>
      </c>
      <c r="K373" s="45" t="n">
        <v>0.4</v>
      </c>
      <c r="L373" s="45" t="s">
        <v>263</v>
      </c>
      <c r="M373" s="45" t="s">
        <v>259</v>
      </c>
      <c r="N373" s="45" t="s">
        <v>57</v>
      </c>
      <c r="O373" s="47" t="n">
        <v>46155.6243634259</v>
      </c>
      <c r="P373" s="47" t="n">
        <v>46155.6246296296</v>
      </c>
    </row>
    <row r="374" customFormat="false" ht="15" hidden="false" customHeight="false" outlineLevel="0" collapsed="false">
      <c r="A374" s="45" t="n">
        <v>577</v>
      </c>
      <c r="B374" s="46" t="n">
        <v>46155</v>
      </c>
      <c r="C374" s="45" t="s">
        <v>145</v>
      </c>
      <c r="D374" s="45" t="s">
        <v>146</v>
      </c>
      <c r="E374" s="45" t="s">
        <v>284</v>
      </c>
      <c r="F374" s="45" t="s">
        <v>1003</v>
      </c>
      <c r="G374" s="46" t="n">
        <v>46154</v>
      </c>
      <c r="H374" s="45" t="s">
        <v>168</v>
      </c>
      <c r="I374" s="45" t="s">
        <v>193</v>
      </c>
      <c r="J374" s="45" t="s">
        <v>1004</v>
      </c>
      <c r="K374" s="45" t="n">
        <v>13.2</v>
      </c>
      <c r="L374" s="45" t="s">
        <v>263</v>
      </c>
      <c r="M374" s="45" t="s">
        <v>259</v>
      </c>
      <c r="N374" s="45" t="s">
        <v>264</v>
      </c>
      <c r="O374" s="47" t="n">
        <v>46155.6397222222</v>
      </c>
      <c r="P374" s="47" t="n">
        <v>46155.648912037</v>
      </c>
    </row>
    <row r="375" customFormat="false" ht="15" hidden="false" customHeight="false" outlineLevel="0" collapsed="false">
      <c r="A375" s="45" t="n">
        <v>585</v>
      </c>
      <c r="B375" s="46" t="n">
        <v>46155</v>
      </c>
      <c r="C375" s="45" t="s">
        <v>133</v>
      </c>
      <c r="D375" s="45" t="s">
        <v>134</v>
      </c>
      <c r="E375" s="45" t="s">
        <v>219</v>
      </c>
      <c r="F375" s="45" t="s">
        <v>1005</v>
      </c>
      <c r="G375" s="46" t="n">
        <v>46155</v>
      </c>
      <c r="H375" s="45" t="s">
        <v>57</v>
      </c>
      <c r="I375" s="45" t="s">
        <v>200</v>
      </c>
      <c r="J375" s="45" t="s">
        <v>1006</v>
      </c>
      <c r="K375" s="45" t="n">
        <v>527.8</v>
      </c>
      <c r="L375" s="45" t="s">
        <v>263</v>
      </c>
      <c r="M375" s="45" t="s">
        <v>259</v>
      </c>
      <c r="N375" s="45" t="s">
        <v>57</v>
      </c>
      <c r="O375" s="47" t="n">
        <v>46155.6522685185</v>
      </c>
      <c r="P375" s="47" t="n">
        <v>46156.0188194444</v>
      </c>
    </row>
    <row r="376" customFormat="false" ht="15" hidden="false" customHeight="false" outlineLevel="0" collapsed="false">
      <c r="A376" s="45" t="n">
        <v>579</v>
      </c>
      <c r="B376" s="46" t="n">
        <v>46155</v>
      </c>
      <c r="C376" s="45" t="s">
        <v>143</v>
      </c>
      <c r="D376" s="45" t="s">
        <v>144</v>
      </c>
      <c r="E376" s="45" t="s">
        <v>230</v>
      </c>
      <c r="F376" s="45" t="s">
        <v>1007</v>
      </c>
      <c r="G376" s="46" t="n">
        <v>46154</v>
      </c>
      <c r="H376" s="45" t="s">
        <v>168</v>
      </c>
      <c r="I376" s="45" t="s">
        <v>195</v>
      </c>
      <c r="J376" s="45" t="s">
        <v>1008</v>
      </c>
      <c r="K376" s="45" t="n">
        <v>1.6</v>
      </c>
      <c r="L376" s="45" t="s">
        <v>263</v>
      </c>
      <c r="M376" s="45" t="s">
        <v>259</v>
      </c>
      <c r="N376" s="45" t="s">
        <v>264</v>
      </c>
      <c r="O376" s="47" t="n">
        <v>46155.6920833333</v>
      </c>
      <c r="P376" s="47" t="n">
        <v>46155.6932291667</v>
      </c>
    </row>
    <row r="377" customFormat="false" ht="15" hidden="false" customHeight="false" outlineLevel="0" collapsed="false">
      <c r="A377" s="45" t="n">
        <v>580</v>
      </c>
      <c r="B377" s="46" t="n">
        <v>46155</v>
      </c>
      <c r="C377" s="45" t="s">
        <v>143</v>
      </c>
      <c r="D377" s="45" t="s">
        <v>144</v>
      </c>
      <c r="E377" s="45" t="s">
        <v>385</v>
      </c>
      <c r="F377" s="45" t="s">
        <v>1009</v>
      </c>
      <c r="G377" s="46" t="n">
        <v>46154</v>
      </c>
      <c r="H377" s="45" t="s">
        <v>167</v>
      </c>
      <c r="I377" s="45" t="s">
        <v>175</v>
      </c>
      <c r="J377" s="45" t="s">
        <v>1010</v>
      </c>
      <c r="K377" s="45" t="n">
        <v>4.3</v>
      </c>
      <c r="L377" s="45" t="s">
        <v>263</v>
      </c>
      <c r="M377" s="45" t="s">
        <v>259</v>
      </c>
      <c r="N377" s="45" t="s">
        <v>167</v>
      </c>
      <c r="O377" s="47" t="n">
        <v>46155.8016319444</v>
      </c>
      <c r="P377" s="47" t="n">
        <v>46155.8046527778</v>
      </c>
    </row>
    <row r="378" customFormat="false" ht="15" hidden="false" customHeight="false" outlineLevel="0" collapsed="false">
      <c r="A378" s="45" t="n">
        <v>581</v>
      </c>
      <c r="B378" s="46" t="n">
        <v>46155</v>
      </c>
      <c r="C378" s="45" t="s">
        <v>143</v>
      </c>
      <c r="D378" s="45" t="s">
        <v>144</v>
      </c>
      <c r="E378" s="45" t="s">
        <v>669</v>
      </c>
      <c r="F378" s="45" t="s">
        <v>1011</v>
      </c>
      <c r="G378" s="46" t="n">
        <v>46154</v>
      </c>
      <c r="H378" s="45" t="s">
        <v>57</v>
      </c>
      <c r="I378" s="45" t="s">
        <v>201</v>
      </c>
      <c r="J378" s="45" t="s">
        <v>1012</v>
      </c>
      <c r="K378" s="45" t="n">
        <v>8.9</v>
      </c>
      <c r="L378" s="45" t="s">
        <v>263</v>
      </c>
      <c r="M378" s="45" t="s">
        <v>259</v>
      </c>
      <c r="N378" s="45" t="s">
        <v>57</v>
      </c>
      <c r="O378" s="47" t="n">
        <v>46155.8046875</v>
      </c>
      <c r="P378" s="47" t="n">
        <v>46155.8108912037</v>
      </c>
    </row>
    <row r="379" customFormat="false" ht="15" hidden="false" customHeight="false" outlineLevel="0" collapsed="false">
      <c r="A379" s="45" t="n">
        <v>582</v>
      </c>
      <c r="B379" s="46" t="n">
        <v>46155</v>
      </c>
      <c r="C379" s="45" t="s">
        <v>143</v>
      </c>
      <c r="D379" s="45" t="s">
        <v>144</v>
      </c>
      <c r="E379" s="45" t="s">
        <v>385</v>
      </c>
      <c r="F379" s="45" t="s">
        <v>1013</v>
      </c>
      <c r="G379" s="46" t="n">
        <v>46154</v>
      </c>
      <c r="H379" s="45" t="s">
        <v>167</v>
      </c>
      <c r="I379" s="45" t="s">
        <v>175</v>
      </c>
      <c r="J379" s="45" t="s">
        <v>1014</v>
      </c>
      <c r="K379" s="45" t="n">
        <v>5</v>
      </c>
      <c r="L379" s="45" t="s">
        <v>263</v>
      </c>
      <c r="M379" s="45" t="s">
        <v>259</v>
      </c>
      <c r="N379" s="45" t="s">
        <v>167</v>
      </c>
      <c r="O379" s="47" t="n">
        <v>46155.8112268519</v>
      </c>
      <c r="P379" s="47" t="n">
        <v>46155.8146875</v>
      </c>
    </row>
    <row r="380" customFormat="false" ht="15" hidden="false" customHeight="false" outlineLevel="0" collapsed="false">
      <c r="A380" s="45" t="n">
        <v>583</v>
      </c>
      <c r="B380" s="46" t="n">
        <v>46155</v>
      </c>
      <c r="C380" s="45" t="s">
        <v>143</v>
      </c>
      <c r="D380" s="45" t="s">
        <v>144</v>
      </c>
      <c r="E380" s="45" t="s">
        <v>605</v>
      </c>
      <c r="F380" s="45" t="s">
        <v>1015</v>
      </c>
      <c r="G380" s="46" t="n">
        <v>46154</v>
      </c>
      <c r="H380" s="45" t="s">
        <v>169</v>
      </c>
      <c r="I380" s="45"/>
      <c r="J380" s="45"/>
      <c r="K380" s="45" t="n">
        <v>2.6</v>
      </c>
      <c r="L380" s="45" t="s">
        <v>263</v>
      </c>
      <c r="M380" s="45" t="s">
        <v>259</v>
      </c>
      <c r="N380" s="45" t="s">
        <v>169</v>
      </c>
      <c r="O380" s="47" t="n">
        <v>46155.8147800926</v>
      </c>
      <c r="P380" s="47" t="n">
        <v>46155.8165740741</v>
      </c>
    </row>
    <row r="381" customFormat="false" ht="15" hidden="false" customHeight="false" outlineLevel="0" collapsed="false">
      <c r="A381" s="45" t="n">
        <v>584</v>
      </c>
      <c r="B381" s="46" t="n">
        <v>46155</v>
      </c>
      <c r="C381" s="45" t="s">
        <v>135</v>
      </c>
      <c r="D381" s="45" t="s">
        <v>136</v>
      </c>
      <c r="E381" s="45" t="s">
        <v>236</v>
      </c>
      <c r="F381" s="45" t="s">
        <v>1016</v>
      </c>
      <c r="G381" s="46" t="n">
        <v>46154</v>
      </c>
      <c r="H381" s="45" t="s">
        <v>167</v>
      </c>
      <c r="I381" s="45" t="s">
        <v>177</v>
      </c>
      <c r="J381" s="45" t="s">
        <v>1017</v>
      </c>
      <c r="K381" s="45" t="n">
        <v>3.5</v>
      </c>
      <c r="L381" s="45" t="s">
        <v>263</v>
      </c>
      <c r="M381" s="45" t="s">
        <v>259</v>
      </c>
      <c r="N381" s="45" t="s">
        <v>167</v>
      </c>
      <c r="O381" s="47" t="n">
        <v>46155.9912962963</v>
      </c>
      <c r="P381" s="47" t="n">
        <v>46155.9937037037</v>
      </c>
    </row>
    <row r="382" customFormat="false" ht="15" hidden="false" customHeight="false" outlineLevel="0" collapsed="false">
      <c r="A382" s="45" t="n">
        <v>586</v>
      </c>
      <c r="B382" s="46" t="n">
        <v>46156</v>
      </c>
      <c r="C382" s="45" t="s">
        <v>133</v>
      </c>
      <c r="D382" s="45" t="s">
        <v>134</v>
      </c>
      <c r="E382" s="45" t="s">
        <v>466</v>
      </c>
      <c r="F382" s="45" t="s">
        <v>1018</v>
      </c>
      <c r="G382" s="46" t="n">
        <v>46155</v>
      </c>
      <c r="H382" s="45" t="s">
        <v>168</v>
      </c>
      <c r="I382" s="45" t="s">
        <v>191</v>
      </c>
      <c r="J382" s="45" t="s">
        <v>1019</v>
      </c>
      <c r="K382" s="45" t="n">
        <v>8.8</v>
      </c>
      <c r="L382" s="45" t="s">
        <v>263</v>
      </c>
      <c r="M382" s="45" t="s">
        <v>259</v>
      </c>
      <c r="N382" s="45" t="s">
        <v>264</v>
      </c>
      <c r="O382" s="47" t="n">
        <v>46156.0203240741</v>
      </c>
      <c r="P382" s="47" t="n">
        <v>46156.0264467593</v>
      </c>
    </row>
    <row r="383" customFormat="false" ht="15" hidden="false" customHeight="false" outlineLevel="0" collapsed="false">
      <c r="A383" s="45" t="n">
        <v>587</v>
      </c>
      <c r="B383" s="46" t="n">
        <v>46156</v>
      </c>
      <c r="C383" s="45" t="s">
        <v>133</v>
      </c>
      <c r="D383" s="45" t="s">
        <v>134</v>
      </c>
      <c r="E383" s="45" t="s">
        <v>219</v>
      </c>
      <c r="F383" s="45" t="s">
        <v>1020</v>
      </c>
      <c r="G383" s="46" t="n">
        <v>46155</v>
      </c>
      <c r="H383" s="45" t="s">
        <v>167</v>
      </c>
      <c r="I383" s="45" t="s">
        <v>175</v>
      </c>
      <c r="J383" s="45" t="s">
        <v>1021</v>
      </c>
      <c r="K383" s="45" t="n">
        <v>6.3</v>
      </c>
      <c r="L383" s="45" t="s">
        <v>263</v>
      </c>
      <c r="M383" s="45" t="s">
        <v>259</v>
      </c>
      <c r="N383" s="45" t="s">
        <v>167</v>
      </c>
      <c r="O383" s="47" t="n">
        <v>46156.0270138889</v>
      </c>
      <c r="P383" s="47" t="n">
        <v>46156.0313888889</v>
      </c>
    </row>
    <row r="384" customFormat="false" ht="15" hidden="false" customHeight="false" outlineLevel="0" collapsed="false">
      <c r="A384" s="45" t="n">
        <v>588</v>
      </c>
      <c r="B384" s="46" t="n">
        <v>46156</v>
      </c>
      <c r="C384" s="45" t="s">
        <v>133</v>
      </c>
      <c r="D384" s="45" t="s">
        <v>134</v>
      </c>
      <c r="E384" s="45" t="s">
        <v>238</v>
      </c>
      <c r="F384" s="45" t="s">
        <v>1022</v>
      </c>
      <c r="G384" s="46" t="n">
        <v>46155</v>
      </c>
      <c r="H384" s="45" t="s">
        <v>167</v>
      </c>
      <c r="I384" s="45" t="s">
        <v>175</v>
      </c>
      <c r="J384" s="45" t="s">
        <v>1023</v>
      </c>
      <c r="K384" s="45" t="n">
        <v>6.5</v>
      </c>
      <c r="L384" s="45" t="s">
        <v>263</v>
      </c>
      <c r="M384" s="45" t="s">
        <v>259</v>
      </c>
      <c r="N384" s="45" t="s">
        <v>167</v>
      </c>
      <c r="O384" s="47" t="n">
        <v>46156.0316782407</v>
      </c>
      <c r="P384" s="47" t="n">
        <v>46156.0361689815</v>
      </c>
    </row>
    <row r="385" customFormat="false" ht="15" hidden="false" customHeight="false" outlineLevel="0" collapsed="false">
      <c r="A385" s="45" t="n">
        <v>589</v>
      </c>
      <c r="B385" s="46" t="n">
        <v>46156</v>
      </c>
      <c r="C385" s="45" t="s">
        <v>135</v>
      </c>
      <c r="D385" s="45" t="s">
        <v>136</v>
      </c>
      <c r="E385" s="45" t="s">
        <v>475</v>
      </c>
      <c r="F385" s="45" t="s">
        <v>1024</v>
      </c>
      <c r="G385" s="46" t="n">
        <v>46154</v>
      </c>
      <c r="H385" s="45" t="s">
        <v>168</v>
      </c>
      <c r="I385" s="45" t="s">
        <v>191</v>
      </c>
      <c r="J385" s="45" t="s">
        <v>1025</v>
      </c>
      <c r="K385" s="45" t="n">
        <v>1.1</v>
      </c>
      <c r="L385" s="45" t="s">
        <v>263</v>
      </c>
      <c r="M385" s="45" t="s">
        <v>259</v>
      </c>
      <c r="N385" s="45" t="s">
        <v>264</v>
      </c>
      <c r="O385" s="47" t="n">
        <v>46156.0426157407</v>
      </c>
      <c r="P385" s="47" t="n">
        <v>46156.0433680556</v>
      </c>
    </row>
    <row r="386" customFormat="false" ht="15" hidden="false" customHeight="false" outlineLevel="0" collapsed="false">
      <c r="A386" s="45" t="n">
        <v>590</v>
      </c>
      <c r="B386" s="46" t="n">
        <v>46156</v>
      </c>
      <c r="C386" s="45" t="s">
        <v>133</v>
      </c>
      <c r="D386" s="45" t="s">
        <v>134</v>
      </c>
      <c r="E386" s="45" t="s">
        <v>405</v>
      </c>
      <c r="F386" s="45" t="s">
        <v>1026</v>
      </c>
      <c r="G386" s="46" t="n">
        <v>46155</v>
      </c>
      <c r="H386" s="45" t="s">
        <v>169</v>
      </c>
      <c r="I386" s="45"/>
      <c r="J386" s="45"/>
      <c r="K386" s="45" t="n">
        <v>0.5</v>
      </c>
      <c r="L386" s="45" t="s">
        <v>263</v>
      </c>
      <c r="M386" s="45" t="s">
        <v>259</v>
      </c>
      <c r="N386" s="45" t="s">
        <v>169</v>
      </c>
      <c r="O386" s="47" t="n">
        <v>46156.6322453704</v>
      </c>
      <c r="P386" s="47" t="n">
        <v>46156.6325694445</v>
      </c>
    </row>
    <row r="387" customFormat="false" ht="15" hidden="false" customHeight="false" outlineLevel="0" collapsed="false">
      <c r="A387" s="45" t="n">
        <v>591</v>
      </c>
      <c r="B387" s="46" t="n">
        <v>46156</v>
      </c>
      <c r="C387" s="45" t="s">
        <v>145</v>
      </c>
      <c r="D387" s="45" t="s">
        <v>146</v>
      </c>
      <c r="E387" s="45" t="s">
        <v>1027</v>
      </c>
      <c r="F387" s="45" t="s">
        <v>1028</v>
      </c>
      <c r="G387" s="46" t="n">
        <v>46155</v>
      </c>
      <c r="H387" s="45" t="s">
        <v>168</v>
      </c>
      <c r="I387" s="45" t="s">
        <v>191</v>
      </c>
      <c r="J387" s="45" t="s">
        <v>1029</v>
      </c>
      <c r="K387" s="45" t="n">
        <v>4.7</v>
      </c>
      <c r="L387" s="45" t="s">
        <v>263</v>
      </c>
      <c r="M387" s="45" t="s">
        <v>259</v>
      </c>
      <c r="N387" s="45" t="s">
        <v>264</v>
      </c>
      <c r="O387" s="47" t="n">
        <v>46156.6424652778</v>
      </c>
      <c r="P387" s="47" t="n">
        <v>46156.6457060185</v>
      </c>
    </row>
    <row r="388" customFormat="false" ht="15" hidden="false" customHeight="false" outlineLevel="0" collapsed="false">
      <c r="A388" s="45" t="n">
        <v>592</v>
      </c>
      <c r="B388" s="46" t="n">
        <v>46156</v>
      </c>
      <c r="C388" s="45" t="s">
        <v>145</v>
      </c>
      <c r="D388" s="45" t="s">
        <v>146</v>
      </c>
      <c r="E388" s="45" t="s">
        <v>683</v>
      </c>
      <c r="F388" s="45" t="s">
        <v>1030</v>
      </c>
      <c r="G388" s="46" t="n">
        <v>46155</v>
      </c>
      <c r="H388" s="45" t="s">
        <v>168</v>
      </c>
      <c r="I388" s="45" t="s">
        <v>192</v>
      </c>
      <c r="J388" s="45" t="s">
        <v>1031</v>
      </c>
      <c r="K388" s="45" t="n">
        <v>36.3</v>
      </c>
      <c r="L388" s="45" t="s">
        <v>263</v>
      </c>
      <c r="M388" s="45" t="s">
        <v>259</v>
      </c>
      <c r="N388" s="45" t="s">
        <v>264</v>
      </c>
      <c r="O388" s="47" t="n">
        <v>46156.6457407407</v>
      </c>
      <c r="P388" s="47" t="n">
        <v>46156.6709722222</v>
      </c>
    </row>
    <row r="389" customFormat="false" ht="15" hidden="false" customHeight="false" outlineLevel="0" collapsed="false">
      <c r="A389" s="45" t="n">
        <v>594</v>
      </c>
      <c r="B389" s="46" t="n">
        <v>46156</v>
      </c>
      <c r="C389" s="45" t="s">
        <v>131</v>
      </c>
      <c r="D389" s="45" t="s">
        <v>132</v>
      </c>
      <c r="E389" s="45" t="s">
        <v>1032</v>
      </c>
      <c r="F389" s="45" t="s">
        <v>1033</v>
      </c>
      <c r="G389" s="46" t="n">
        <v>46155</v>
      </c>
      <c r="H389" s="45" t="s">
        <v>57</v>
      </c>
      <c r="I389" s="45" t="s">
        <v>201</v>
      </c>
      <c r="J389" s="45" t="s">
        <v>938</v>
      </c>
      <c r="K389" s="45" t="n">
        <v>1.5</v>
      </c>
      <c r="L389" s="45" t="s">
        <v>263</v>
      </c>
      <c r="M389" s="45" t="s">
        <v>263</v>
      </c>
      <c r="N389" s="45" t="s">
        <v>57</v>
      </c>
      <c r="O389" s="47" t="n">
        <v>46156.7111805556</v>
      </c>
      <c r="P389" s="47" t="n">
        <v>46156.7122106482</v>
      </c>
    </row>
    <row r="390" customFormat="false" ht="15" hidden="false" customHeight="false" outlineLevel="0" collapsed="false">
      <c r="A390" s="45" t="n">
        <v>595</v>
      </c>
      <c r="B390" s="46" t="n">
        <v>46156</v>
      </c>
      <c r="C390" s="45" t="s">
        <v>131</v>
      </c>
      <c r="D390" s="45" t="s">
        <v>132</v>
      </c>
      <c r="E390" s="45" t="s">
        <v>1034</v>
      </c>
      <c r="F390" s="45" t="s">
        <v>1035</v>
      </c>
      <c r="G390" s="46" t="n">
        <v>46155</v>
      </c>
      <c r="H390" s="45" t="s">
        <v>167</v>
      </c>
      <c r="I390" s="45" t="s">
        <v>175</v>
      </c>
      <c r="J390" s="45" t="s">
        <v>1036</v>
      </c>
      <c r="K390" s="45" t="n">
        <v>1.3</v>
      </c>
      <c r="L390" s="45" t="s">
        <v>263</v>
      </c>
      <c r="M390" s="45" t="s">
        <v>259</v>
      </c>
      <c r="N390" s="45" t="s">
        <v>167</v>
      </c>
      <c r="O390" s="47" t="n">
        <v>46156.712349537</v>
      </c>
      <c r="P390" s="47" t="n">
        <v>46156.7132407407</v>
      </c>
    </row>
    <row r="391" customFormat="false" ht="15" hidden="false" customHeight="false" outlineLevel="0" collapsed="false">
      <c r="A391" s="45" t="n">
        <v>596</v>
      </c>
      <c r="B391" s="46" t="n">
        <v>46156</v>
      </c>
      <c r="C391" s="45" t="s">
        <v>131</v>
      </c>
      <c r="D391" s="45" t="s">
        <v>132</v>
      </c>
      <c r="E391" s="45" t="s">
        <v>220</v>
      </c>
      <c r="F391" s="45" t="s">
        <v>1037</v>
      </c>
      <c r="G391" s="46" t="n">
        <v>46155</v>
      </c>
      <c r="H391" s="45" t="s">
        <v>167</v>
      </c>
      <c r="I391" s="45" t="s">
        <v>175</v>
      </c>
      <c r="J391" s="45" t="s">
        <v>1038</v>
      </c>
      <c r="K391" s="45" t="n">
        <v>8.8</v>
      </c>
      <c r="L391" s="45" t="s">
        <v>263</v>
      </c>
      <c r="M391" s="45" t="s">
        <v>259</v>
      </c>
      <c r="N391" s="45" t="s">
        <v>167</v>
      </c>
      <c r="O391" s="47" t="n">
        <v>46156.713275463</v>
      </c>
      <c r="P391" s="47" t="n">
        <v>46156.719375</v>
      </c>
    </row>
    <row r="392" customFormat="false" ht="15" hidden="false" customHeight="false" outlineLevel="0" collapsed="false">
      <c r="A392" s="45" t="n">
        <v>597</v>
      </c>
      <c r="B392" s="46" t="n">
        <v>46156</v>
      </c>
      <c r="C392" s="45" t="s">
        <v>131</v>
      </c>
      <c r="D392" s="45" t="s">
        <v>132</v>
      </c>
      <c r="E392" s="45" t="s">
        <v>222</v>
      </c>
      <c r="F392" s="45" t="s">
        <v>1039</v>
      </c>
      <c r="G392" s="46" t="n">
        <v>46155</v>
      </c>
      <c r="H392" s="45" t="s">
        <v>167</v>
      </c>
      <c r="I392" s="45" t="s">
        <v>175</v>
      </c>
      <c r="J392" s="45" t="s">
        <v>1040</v>
      </c>
      <c r="K392" s="45" t="n">
        <v>1.3</v>
      </c>
      <c r="L392" s="45" t="s">
        <v>263</v>
      </c>
      <c r="M392" s="45" t="s">
        <v>259</v>
      </c>
      <c r="N392" s="45" t="s">
        <v>167</v>
      </c>
      <c r="O392" s="47" t="n">
        <v>46156.7212615741</v>
      </c>
      <c r="P392" s="47" t="n">
        <v>46156.7221875</v>
      </c>
    </row>
    <row r="393" customFormat="false" ht="15" hidden="false" customHeight="false" outlineLevel="0" collapsed="false">
      <c r="A393" s="45" t="n">
        <v>601</v>
      </c>
      <c r="B393" s="46" t="n">
        <v>46156</v>
      </c>
      <c r="C393" s="45" t="s">
        <v>143</v>
      </c>
      <c r="D393" s="45" t="s">
        <v>144</v>
      </c>
      <c r="E393" s="45" t="s">
        <v>372</v>
      </c>
      <c r="F393" s="45" t="s">
        <v>1041</v>
      </c>
      <c r="G393" s="46" t="n">
        <v>46155</v>
      </c>
      <c r="H393" s="45" t="s">
        <v>167</v>
      </c>
      <c r="I393" s="45" t="s">
        <v>175</v>
      </c>
      <c r="J393" s="45" t="s">
        <v>1042</v>
      </c>
      <c r="K393" s="45" t="n">
        <v>346.7</v>
      </c>
      <c r="L393" s="45" t="s">
        <v>263</v>
      </c>
      <c r="M393" s="45" t="s">
        <v>259</v>
      </c>
      <c r="N393" s="45" t="s">
        <v>167</v>
      </c>
      <c r="O393" s="47" t="n">
        <v>46156.7917824074</v>
      </c>
      <c r="P393" s="47" t="n">
        <v>46157.0325462963</v>
      </c>
    </row>
    <row r="394" customFormat="false" ht="15" hidden="false" customHeight="false" outlineLevel="0" collapsed="false">
      <c r="A394" s="45" t="n">
        <v>598</v>
      </c>
      <c r="B394" s="46" t="n">
        <v>46156</v>
      </c>
      <c r="C394" s="45" t="s">
        <v>135</v>
      </c>
      <c r="D394" s="45" t="s">
        <v>136</v>
      </c>
      <c r="E394" s="45" t="s">
        <v>227</v>
      </c>
      <c r="F394" s="45" t="s">
        <v>1043</v>
      </c>
      <c r="G394" s="46" t="n">
        <v>46155</v>
      </c>
      <c r="H394" s="45" t="s">
        <v>168</v>
      </c>
      <c r="I394" s="45" t="s">
        <v>195</v>
      </c>
      <c r="J394" s="45" t="s">
        <v>1044</v>
      </c>
      <c r="K394" s="45" t="n">
        <v>3.2</v>
      </c>
      <c r="L394" s="45" t="s">
        <v>263</v>
      </c>
      <c r="M394" s="45" t="s">
        <v>259</v>
      </c>
      <c r="N394" s="45" t="s">
        <v>264</v>
      </c>
      <c r="O394" s="47" t="n">
        <v>46156.8103472222</v>
      </c>
      <c r="P394" s="47" t="n">
        <v>46156.8125694445</v>
      </c>
    </row>
    <row r="395" customFormat="false" ht="15" hidden="false" customHeight="false" outlineLevel="0" collapsed="false">
      <c r="A395" s="45" t="n">
        <v>599</v>
      </c>
      <c r="B395" s="46" t="n">
        <v>46156</v>
      </c>
      <c r="C395" s="45" t="s">
        <v>135</v>
      </c>
      <c r="D395" s="45" t="s">
        <v>136</v>
      </c>
      <c r="E395" s="45" t="s">
        <v>236</v>
      </c>
      <c r="F395" s="45" t="s">
        <v>1045</v>
      </c>
      <c r="G395" s="46" t="n">
        <v>46155</v>
      </c>
      <c r="H395" s="45" t="s">
        <v>167</v>
      </c>
      <c r="I395" s="45" t="s">
        <v>175</v>
      </c>
      <c r="J395" s="45" t="s">
        <v>1046</v>
      </c>
      <c r="K395" s="45" t="n">
        <v>2.6</v>
      </c>
      <c r="L395" s="45" t="s">
        <v>259</v>
      </c>
      <c r="M395" s="45" t="s">
        <v>259</v>
      </c>
      <c r="N395" s="45" t="s">
        <v>167</v>
      </c>
      <c r="O395" s="47" t="n">
        <v>46156.9489814815</v>
      </c>
      <c r="P395" s="47" t="n">
        <v>46156.9507638889</v>
      </c>
    </row>
    <row r="396" customFormat="false" ht="15" hidden="false" customHeight="false" outlineLevel="0" collapsed="false">
      <c r="A396" s="45" t="n">
        <v>600</v>
      </c>
      <c r="B396" s="46" t="n">
        <v>46156</v>
      </c>
      <c r="C396" s="45" t="s">
        <v>135</v>
      </c>
      <c r="D396" s="45" t="s">
        <v>136</v>
      </c>
      <c r="E396" s="45" t="s">
        <v>236</v>
      </c>
      <c r="F396" s="45" t="s">
        <v>1047</v>
      </c>
      <c r="G396" s="46" t="n">
        <v>46155</v>
      </c>
      <c r="H396" s="45" t="s">
        <v>167</v>
      </c>
      <c r="I396" s="45" t="s">
        <v>175</v>
      </c>
      <c r="J396" s="45" t="s">
        <v>1048</v>
      </c>
      <c r="K396" s="45" t="n">
        <v>35.2</v>
      </c>
      <c r="L396" s="45" t="s">
        <v>263</v>
      </c>
      <c r="M396" s="45" t="s">
        <v>259</v>
      </c>
      <c r="N396" s="45" t="s">
        <v>167</v>
      </c>
      <c r="O396" s="47" t="n">
        <v>46156.9508912037</v>
      </c>
      <c r="P396" s="47" t="n">
        <v>46156.9753703704</v>
      </c>
    </row>
    <row r="397" customFormat="false" ht="15" hidden="false" customHeight="false" outlineLevel="0" collapsed="false">
      <c r="A397" s="45" t="n">
        <v>602</v>
      </c>
      <c r="B397" s="46" t="n">
        <v>46157</v>
      </c>
      <c r="C397" s="45" t="s">
        <v>143</v>
      </c>
      <c r="D397" s="45" t="s">
        <v>144</v>
      </c>
      <c r="E397" s="45" t="s">
        <v>564</v>
      </c>
      <c r="F397" s="45" t="s">
        <v>1049</v>
      </c>
      <c r="G397" s="46" t="n">
        <v>46155</v>
      </c>
      <c r="H397" s="45" t="s">
        <v>168</v>
      </c>
      <c r="I397" s="45" t="s">
        <v>195</v>
      </c>
      <c r="J397" s="45" t="s">
        <v>1050</v>
      </c>
      <c r="K397" s="45" t="n">
        <v>5.8</v>
      </c>
      <c r="L397" s="45" t="s">
        <v>263</v>
      </c>
      <c r="M397" s="45" t="s">
        <v>259</v>
      </c>
      <c r="N397" s="45" t="s">
        <v>264</v>
      </c>
      <c r="O397" s="47" t="n">
        <v>46157.0325810185</v>
      </c>
      <c r="P397" s="47" t="n">
        <v>46157.0365740741</v>
      </c>
    </row>
    <row r="398" customFormat="false" ht="15" hidden="false" customHeight="false" outlineLevel="0" collapsed="false">
      <c r="A398" s="45" t="n">
        <v>603</v>
      </c>
      <c r="B398" s="46" t="n">
        <v>46157</v>
      </c>
      <c r="C398" s="45" t="s">
        <v>143</v>
      </c>
      <c r="D398" s="45" t="s">
        <v>144</v>
      </c>
      <c r="E398" s="45" t="s">
        <v>372</v>
      </c>
      <c r="F398" s="45" t="s">
        <v>1051</v>
      </c>
      <c r="G398" s="46" t="n">
        <v>46155</v>
      </c>
      <c r="H398" s="45" t="s">
        <v>167</v>
      </c>
      <c r="I398" s="45" t="s">
        <v>175</v>
      </c>
      <c r="J398" s="45" t="s">
        <v>1052</v>
      </c>
      <c r="K398" s="45" t="n">
        <v>4.4</v>
      </c>
      <c r="L398" s="45" t="s">
        <v>263</v>
      </c>
      <c r="M398" s="45" t="s">
        <v>259</v>
      </c>
      <c r="N398" s="45" t="s">
        <v>167</v>
      </c>
      <c r="O398" s="47" t="n">
        <v>46157.0373032407</v>
      </c>
      <c r="P398" s="47" t="n">
        <v>46157.0403703704</v>
      </c>
    </row>
    <row r="399" customFormat="false" ht="15" hidden="false" customHeight="false" outlineLevel="0" collapsed="false">
      <c r="A399" s="45" t="n">
        <v>604</v>
      </c>
      <c r="B399" s="46" t="n">
        <v>46157</v>
      </c>
      <c r="C399" s="45" t="s">
        <v>133</v>
      </c>
      <c r="D399" s="45" t="s">
        <v>134</v>
      </c>
      <c r="E399" s="45" t="s">
        <v>238</v>
      </c>
      <c r="F399" s="45" t="s">
        <v>1053</v>
      </c>
      <c r="G399" s="46" t="n">
        <v>46156</v>
      </c>
      <c r="H399" s="45" t="s">
        <v>167</v>
      </c>
      <c r="I399" s="45" t="s">
        <v>175</v>
      </c>
      <c r="J399" s="45" t="s">
        <v>1054</v>
      </c>
      <c r="K399" s="45" t="n">
        <v>6.5</v>
      </c>
      <c r="L399" s="45" t="s">
        <v>263</v>
      </c>
      <c r="M399" s="45" t="s">
        <v>259</v>
      </c>
      <c r="N399" s="45" t="s">
        <v>167</v>
      </c>
      <c r="O399" s="47" t="n">
        <v>46157.6518981482</v>
      </c>
      <c r="P399" s="47" t="n">
        <v>46157.6563888889</v>
      </c>
    </row>
    <row r="400" customFormat="false" ht="15" hidden="false" customHeight="false" outlineLevel="0" collapsed="false">
      <c r="A400" s="45" t="n">
        <v>605</v>
      </c>
      <c r="B400" s="46" t="n">
        <v>46157</v>
      </c>
      <c r="C400" s="45" t="s">
        <v>133</v>
      </c>
      <c r="D400" s="45" t="s">
        <v>134</v>
      </c>
      <c r="E400" s="45" t="s">
        <v>231</v>
      </c>
      <c r="F400" s="45" t="s">
        <v>1055</v>
      </c>
      <c r="G400" s="46" t="n">
        <v>46156</v>
      </c>
      <c r="H400" s="45" t="s">
        <v>168</v>
      </c>
      <c r="I400" s="45" t="s">
        <v>193</v>
      </c>
      <c r="J400" s="45" t="s">
        <v>1056</v>
      </c>
      <c r="K400" s="45" t="n">
        <v>18</v>
      </c>
      <c r="L400" s="45" t="s">
        <v>263</v>
      </c>
      <c r="M400" s="45" t="s">
        <v>259</v>
      </c>
      <c r="N400" s="45" t="s">
        <v>264</v>
      </c>
      <c r="O400" s="47" t="n">
        <v>46157.6564236111</v>
      </c>
      <c r="P400" s="47" t="n">
        <v>46157.668912037</v>
      </c>
    </row>
    <row r="401" customFormat="false" ht="15" hidden="false" customHeight="false" outlineLevel="0" collapsed="false">
      <c r="A401" s="45" t="n">
        <v>606</v>
      </c>
      <c r="B401" s="46" t="n">
        <v>46157</v>
      </c>
      <c r="C401" s="45" t="s">
        <v>133</v>
      </c>
      <c r="D401" s="45" t="s">
        <v>134</v>
      </c>
      <c r="E401" s="45" t="s">
        <v>231</v>
      </c>
      <c r="F401" s="45" t="s">
        <v>1057</v>
      </c>
      <c r="G401" s="46" t="n">
        <v>46156</v>
      </c>
      <c r="H401" s="45" t="s">
        <v>169</v>
      </c>
      <c r="I401" s="45"/>
      <c r="J401" s="45"/>
      <c r="K401" s="45" t="n">
        <v>36.6</v>
      </c>
      <c r="L401" s="45" t="s">
        <v>263</v>
      </c>
      <c r="M401" s="45" t="s">
        <v>259</v>
      </c>
      <c r="N401" s="45" t="s">
        <v>169</v>
      </c>
      <c r="O401" s="47" t="n">
        <v>46157.6691550926</v>
      </c>
      <c r="P401" s="47" t="n">
        <v>46157.6945949074</v>
      </c>
    </row>
    <row r="402" customFormat="false" ht="15" hidden="false" customHeight="false" outlineLevel="0" collapsed="false">
      <c r="A402" s="45" t="n">
        <v>607</v>
      </c>
      <c r="B402" s="46" t="n">
        <v>46157</v>
      </c>
      <c r="C402" s="45" t="s">
        <v>131</v>
      </c>
      <c r="D402" s="45" t="s">
        <v>132</v>
      </c>
      <c r="E402" s="45" t="s">
        <v>220</v>
      </c>
      <c r="F402" s="45" t="s">
        <v>1058</v>
      </c>
      <c r="G402" s="46" t="n">
        <v>46156</v>
      </c>
      <c r="H402" s="45" t="s">
        <v>167</v>
      </c>
      <c r="I402" s="45" t="s">
        <v>175</v>
      </c>
      <c r="J402" s="45" t="s">
        <v>1059</v>
      </c>
      <c r="K402" s="45" t="n">
        <v>40.4</v>
      </c>
      <c r="L402" s="45" t="s">
        <v>263</v>
      </c>
      <c r="M402" s="45" t="s">
        <v>259</v>
      </c>
      <c r="N402" s="45" t="s">
        <v>167</v>
      </c>
      <c r="O402" s="47" t="n">
        <v>46157.6721759259</v>
      </c>
      <c r="P402" s="47" t="n">
        <v>46157.7002430556</v>
      </c>
    </row>
    <row r="403" customFormat="false" ht="15" hidden="false" customHeight="false" outlineLevel="0" collapsed="false">
      <c r="A403" s="45" t="n">
        <v>608</v>
      </c>
      <c r="B403" s="46" t="n">
        <v>46157</v>
      </c>
      <c r="C403" s="45" t="s">
        <v>131</v>
      </c>
      <c r="D403" s="45" t="s">
        <v>132</v>
      </c>
      <c r="E403" s="45" t="s">
        <v>326</v>
      </c>
      <c r="F403" s="45" t="s">
        <v>1060</v>
      </c>
      <c r="G403" s="46" t="n">
        <v>46156</v>
      </c>
      <c r="H403" s="45" t="s">
        <v>167</v>
      </c>
      <c r="I403" s="45" t="s">
        <v>175</v>
      </c>
      <c r="J403" s="45" t="s">
        <v>1061</v>
      </c>
      <c r="K403" s="45" t="n">
        <v>1.4</v>
      </c>
      <c r="L403" s="45" t="s">
        <v>263</v>
      </c>
      <c r="M403" s="45" t="s">
        <v>259</v>
      </c>
      <c r="N403" s="45" t="s">
        <v>167</v>
      </c>
      <c r="O403" s="47" t="n">
        <v>46157.7011226852</v>
      </c>
      <c r="P403" s="47" t="n">
        <v>46157.7020717593</v>
      </c>
    </row>
    <row r="404" customFormat="false" ht="15" hidden="false" customHeight="false" outlineLevel="0" collapsed="false">
      <c r="A404" s="45" t="n">
        <v>609</v>
      </c>
      <c r="B404" s="46" t="n">
        <v>46157</v>
      </c>
      <c r="C404" s="45" t="s">
        <v>131</v>
      </c>
      <c r="D404" s="45" t="s">
        <v>132</v>
      </c>
      <c r="E404" s="45" t="s">
        <v>222</v>
      </c>
      <c r="F404" s="45" t="s">
        <v>1062</v>
      </c>
      <c r="G404" s="46" t="n">
        <v>46157</v>
      </c>
      <c r="H404" s="45" t="s">
        <v>167</v>
      </c>
      <c r="I404" s="45" t="s">
        <v>175</v>
      </c>
      <c r="J404" s="45" t="s">
        <v>1063</v>
      </c>
      <c r="K404" s="45" t="n">
        <v>11.2</v>
      </c>
      <c r="L404" s="45" t="s">
        <v>263</v>
      </c>
      <c r="M404" s="45" t="s">
        <v>259</v>
      </c>
      <c r="N404" s="45" t="s">
        <v>167</v>
      </c>
      <c r="O404" s="47" t="n">
        <v>46157.7021180556</v>
      </c>
      <c r="P404" s="47" t="n">
        <v>46157.7099074074</v>
      </c>
    </row>
    <row r="405" customFormat="false" ht="15" hidden="false" customHeight="false" outlineLevel="0" collapsed="false">
      <c r="A405" s="45" t="n">
        <v>610</v>
      </c>
      <c r="B405" s="46" t="n">
        <v>46157</v>
      </c>
      <c r="C405" s="45" t="s">
        <v>135</v>
      </c>
      <c r="D405" s="45" t="s">
        <v>136</v>
      </c>
      <c r="E405" s="45" t="s">
        <v>236</v>
      </c>
      <c r="F405" s="45" t="s">
        <v>1064</v>
      </c>
      <c r="G405" s="46" t="n">
        <v>46155</v>
      </c>
      <c r="H405" s="45" t="s">
        <v>167</v>
      </c>
      <c r="I405" s="45" t="s">
        <v>175</v>
      </c>
      <c r="J405" s="45" t="s">
        <v>1065</v>
      </c>
      <c r="K405" s="45" t="n">
        <v>4.5</v>
      </c>
      <c r="L405" s="45" t="s">
        <v>263</v>
      </c>
      <c r="M405" s="45" t="s">
        <v>259</v>
      </c>
      <c r="N405" s="45" t="s">
        <v>167</v>
      </c>
      <c r="O405" s="47" t="n">
        <v>46157.8007060185</v>
      </c>
      <c r="P405" s="47" t="n">
        <v>46157.8038078704</v>
      </c>
    </row>
    <row r="406" customFormat="false" ht="15" hidden="false" customHeight="false" outlineLevel="0" collapsed="false">
      <c r="A406" s="45" t="n">
        <v>611</v>
      </c>
      <c r="B406" s="46" t="n">
        <v>46157</v>
      </c>
      <c r="C406" s="45" t="s">
        <v>135</v>
      </c>
      <c r="D406" s="45" t="s">
        <v>136</v>
      </c>
      <c r="E406" s="45" t="s">
        <v>236</v>
      </c>
      <c r="F406" s="45" t="s">
        <v>1045</v>
      </c>
      <c r="G406" s="46" t="n">
        <v>46155</v>
      </c>
      <c r="H406" s="45" t="s">
        <v>167</v>
      </c>
      <c r="I406" s="45" t="s">
        <v>176</v>
      </c>
      <c r="J406" s="45" t="s">
        <v>1066</v>
      </c>
      <c r="K406" s="45" t="n">
        <v>2</v>
      </c>
      <c r="L406" s="45" t="s">
        <v>259</v>
      </c>
      <c r="M406" s="45" t="s">
        <v>259</v>
      </c>
      <c r="N406" s="45" t="s">
        <v>167</v>
      </c>
      <c r="O406" s="47" t="n">
        <v>46157.8040393519</v>
      </c>
      <c r="P406" s="47" t="n">
        <v>46157.8054513889</v>
      </c>
    </row>
    <row r="407" customFormat="false" ht="15" hidden="false" customHeight="false" outlineLevel="0" collapsed="false">
      <c r="A407" s="45" t="n">
        <v>612</v>
      </c>
      <c r="B407" s="46" t="n">
        <v>46157</v>
      </c>
      <c r="C407" s="45" t="s">
        <v>135</v>
      </c>
      <c r="D407" s="45" t="s">
        <v>136</v>
      </c>
      <c r="E407" s="45" t="s">
        <v>353</v>
      </c>
      <c r="F407" s="45" t="s">
        <v>1067</v>
      </c>
      <c r="G407" s="46" t="n">
        <v>46155</v>
      </c>
      <c r="H407" s="45" t="s">
        <v>167</v>
      </c>
      <c r="I407" s="45" t="s">
        <v>175</v>
      </c>
      <c r="J407" s="45" t="s">
        <v>1068</v>
      </c>
      <c r="K407" s="45" t="n">
        <v>2.8</v>
      </c>
      <c r="L407" s="45" t="s">
        <v>263</v>
      </c>
      <c r="M407" s="45" t="s">
        <v>259</v>
      </c>
      <c r="N407" s="45" t="s">
        <v>167</v>
      </c>
      <c r="O407" s="47" t="n">
        <v>46157.8054861111</v>
      </c>
      <c r="P407" s="47" t="n">
        <v>46157.8074305556</v>
      </c>
    </row>
    <row r="408" customFormat="false" ht="15" hidden="false" customHeight="false" outlineLevel="0" collapsed="false">
      <c r="A408" s="45" t="n">
        <v>613</v>
      </c>
      <c r="B408" s="46" t="n">
        <v>46157</v>
      </c>
      <c r="C408" s="45" t="s">
        <v>145</v>
      </c>
      <c r="D408" s="45" t="s">
        <v>146</v>
      </c>
      <c r="E408" s="45" t="s">
        <v>1027</v>
      </c>
      <c r="F408" s="45" t="s">
        <v>1069</v>
      </c>
      <c r="G408" s="46" t="n">
        <v>46156</v>
      </c>
      <c r="H408" s="45" t="s">
        <v>167</v>
      </c>
      <c r="I408" s="45" t="s">
        <v>177</v>
      </c>
      <c r="J408" s="45" t="s">
        <v>1070</v>
      </c>
      <c r="K408" s="45" t="n">
        <v>30</v>
      </c>
      <c r="L408" s="45" t="s">
        <v>263</v>
      </c>
      <c r="M408" s="45" t="s">
        <v>259</v>
      </c>
      <c r="N408" s="45" t="s">
        <v>167</v>
      </c>
      <c r="O408" s="47" t="n">
        <v>46157.9280671296</v>
      </c>
      <c r="P408" s="47" t="n">
        <v>46157.948912037</v>
      </c>
    </row>
    <row r="409" customFormat="false" ht="15" hidden="false" customHeight="false" outlineLevel="0" collapsed="false">
      <c r="A409" s="45" t="n">
        <v>614</v>
      </c>
      <c r="B409" s="46" t="n">
        <v>46157</v>
      </c>
      <c r="C409" s="45" t="s">
        <v>145</v>
      </c>
      <c r="D409" s="45" t="s">
        <v>146</v>
      </c>
      <c r="E409" s="45" t="s">
        <v>284</v>
      </c>
      <c r="F409" s="45" t="s">
        <v>1071</v>
      </c>
      <c r="G409" s="46" t="n">
        <v>46156</v>
      </c>
      <c r="H409" s="45" t="s">
        <v>168</v>
      </c>
      <c r="I409" s="45" t="s">
        <v>192</v>
      </c>
      <c r="J409" s="45" t="s">
        <v>1072</v>
      </c>
      <c r="K409" s="45" t="n">
        <v>3.7</v>
      </c>
      <c r="L409" s="45" t="s">
        <v>263</v>
      </c>
      <c r="M409" s="45" t="s">
        <v>259</v>
      </c>
      <c r="N409" s="45" t="s">
        <v>264</v>
      </c>
      <c r="O409" s="47" t="n">
        <v>46157.9490972222</v>
      </c>
      <c r="P409" s="47" t="n">
        <v>46157.9516666667</v>
      </c>
    </row>
    <row r="410" customFormat="false" ht="15" hidden="false" customHeight="false" outlineLevel="0" collapsed="false">
      <c r="A410" s="45" t="n">
        <v>615</v>
      </c>
      <c r="B410" s="46" t="n">
        <v>46157</v>
      </c>
      <c r="C410" s="45" t="s">
        <v>133</v>
      </c>
      <c r="D410" s="45" t="s">
        <v>134</v>
      </c>
      <c r="E410" s="45" t="s">
        <v>917</v>
      </c>
      <c r="F410" s="45" t="s">
        <v>1073</v>
      </c>
      <c r="G410" s="46" t="n">
        <v>46157</v>
      </c>
      <c r="H410" s="45" t="s">
        <v>168</v>
      </c>
      <c r="I410" s="45" t="s">
        <v>192</v>
      </c>
      <c r="J410" s="45" t="s">
        <v>1074</v>
      </c>
      <c r="K410" s="45" t="n">
        <v>12</v>
      </c>
      <c r="L410" s="45" t="s">
        <v>263</v>
      </c>
      <c r="M410" s="45" t="s">
        <v>259</v>
      </c>
      <c r="N410" s="45" t="s">
        <v>264</v>
      </c>
      <c r="O410" s="47" t="n">
        <v>46157.9864467593</v>
      </c>
      <c r="P410" s="47" t="n">
        <v>46157.9947685185</v>
      </c>
    </row>
    <row r="411" customFormat="false" ht="15" hidden="false" customHeight="false" outlineLevel="0" collapsed="false">
      <c r="A411" s="45" t="n">
        <v>616</v>
      </c>
      <c r="B411" s="46" t="n">
        <v>46158</v>
      </c>
      <c r="C411" s="45" t="s">
        <v>133</v>
      </c>
      <c r="D411" s="45" t="s">
        <v>134</v>
      </c>
      <c r="E411" s="45" t="s">
        <v>405</v>
      </c>
      <c r="F411" s="45" t="s">
        <v>1075</v>
      </c>
      <c r="G411" s="46" t="n">
        <v>46157</v>
      </c>
      <c r="H411" s="45" t="s">
        <v>169</v>
      </c>
      <c r="I411" s="45"/>
      <c r="J411" s="45"/>
      <c r="K411" s="45" t="n">
        <v>7.4</v>
      </c>
      <c r="L411" s="45" t="s">
        <v>263</v>
      </c>
      <c r="M411" s="45" t="s">
        <v>259</v>
      </c>
      <c r="N411" s="45" t="s">
        <v>169</v>
      </c>
      <c r="O411" s="47" t="n">
        <v>46158.0006481482</v>
      </c>
      <c r="P411" s="47" t="n">
        <v>46158.0057986111</v>
      </c>
    </row>
    <row r="412" customFormat="false" ht="15" hidden="false" customHeight="false" outlineLevel="0" collapsed="false">
      <c r="A412" s="45" t="n">
        <v>617</v>
      </c>
      <c r="B412" s="46" t="n">
        <v>46158</v>
      </c>
      <c r="C412" s="45" t="s">
        <v>143</v>
      </c>
      <c r="D412" s="45" t="s">
        <v>144</v>
      </c>
      <c r="E412" s="45" t="s">
        <v>564</v>
      </c>
      <c r="F412" s="45" t="s">
        <v>1076</v>
      </c>
      <c r="G412" s="46" t="n">
        <v>46156</v>
      </c>
      <c r="H412" s="45" t="s">
        <v>167</v>
      </c>
      <c r="I412" s="45" t="s">
        <v>175</v>
      </c>
      <c r="J412" s="45" t="s">
        <v>1077</v>
      </c>
      <c r="K412" s="45" t="n">
        <v>5.5</v>
      </c>
      <c r="L412" s="45" t="s">
        <v>263</v>
      </c>
      <c r="M412" s="45" t="s">
        <v>259</v>
      </c>
      <c r="N412" s="45" t="s">
        <v>167</v>
      </c>
      <c r="O412" s="47" t="n">
        <v>46158.016412037</v>
      </c>
      <c r="P412" s="47" t="n">
        <v>46158.0202314815</v>
      </c>
    </row>
    <row r="413" customFormat="false" ht="15" hidden="false" customHeight="false" outlineLevel="0" collapsed="false">
      <c r="A413" s="45" t="n">
        <v>618</v>
      </c>
      <c r="B413" s="46" t="n">
        <v>46158</v>
      </c>
      <c r="C413" s="45" t="s">
        <v>143</v>
      </c>
      <c r="D413" s="45" t="s">
        <v>144</v>
      </c>
      <c r="E413" s="45" t="s">
        <v>564</v>
      </c>
      <c r="F413" s="45" t="s">
        <v>1078</v>
      </c>
      <c r="G413" s="46" t="n">
        <v>46156</v>
      </c>
      <c r="H413" s="45" t="s">
        <v>167</v>
      </c>
      <c r="I413" s="45" t="s">
        <v>175</v>
      </c>
      <c r="J413" s="45" t="s">
        <v>1079</v>
      </c>
      <c r="K413" s="45" t="n">
        <v>4.4</v>
      </c>
      <c r="L413" s="45" t="s">
        <v>263</v>
      </c>
      <c r="M413" s="45" t="s">
        <v>259</v>
      </c>
      <c r="N413" s="45" t="s">
        <v>167</v>
      </c>
      <c r="O413" s="47" t="n">
        <v>46158.0203009259</v>
      </c>
      <c r="P413" s="47" t="n">
        <v>46158.0233333333</v>
      </c>
    </row>
    <row r="414" customFormat="false" ht="15" hidden="false" customHeight="false" outlineLevel="0" collapsed="false">
      <c r="A414" s="45" t="n">
        <v>619</v>
      </c>
      <c r="B414" s="46" t="n">
        <v>46158</v>
      </c>
      <c r="C414" s="45" t="s">
        <v>143</v>
      </c>
      <c r="D414" s="45" t="s">
        <v>144</v>
      </c>
      <c r="E414" s="45" t="s">
        <v>385</v>
      </c>
      <c r="F414" s="45" t="s">
        <v>1080</v>
      </c>
      <c r="G414" s="46" t="n">
        <v>46156</v>
      </c>
      <c r="H414" s="45" t="s">
        <v>167</v>
      </c>
      <c r="I414" s="45" t="s">
        <v>175</v>
      </c>
      <c r="J414" s="45" t="s">
        <v>1081</v>
      </c>
      <c r="K414" s="45" t="n">
        <v>4.1</v>
      </c>
      <c r="L414" s="45" t="s">
        <v>263</v>
      </c>
      <c r="M414" s="45" t="s">
        <v>259</v>
      </c>
      <c r="N414" s="45" t="s">
        <v>167</v>
      </c>
      <c r="O414" s="47" t="n">
        <v>46158.0233680556</v>
      </c>
      <c r="P414" s="47" t="n">
        <v>46158.0262384259</v>
      </c>
    </row>
    <row r="415" customFormat="false" ht="15" hidden="false" customHeight="false" outlineLevel="0" collapsed="false">
      <c r="A415" s="45" t="n">
        <v>635</v>
      </c>
      <c r="B415" s="46" t="n">
        <v>46158</v>
      </c>
      <c r="C415" s="45" t="s">
        <v>143</v>
      </c>
      <c r="D415" s="45" t="s">
        <v>144</v>
      </c>
      <c r="E415" s="45" t="s">
        <v>605</v>
      </c>
      <c r="F415" s="45" t="s">
        <v>1082</v>
      </c>
      <c r="G415" s="46" t="n">
        <v>46157</v>
      </c>
      <c r="H415" s="45" t="s">
        <v>167</v>
      </c>
      <c r="I415" s="45" t="s">
        <v>175</v>
      </c>
      <c r="J415" s="45" t="s">
        <v>1083</v>
      </c>
      <c r="K415" s="45" t="n">
        <v>4273.1</v>
      </c>
      <c r="L415" s="45" t="s">
        <v>263</v>
      </c>
      <c r="M415" s="45" t="s">
        <v>259</v>
      </c>
      <c r="N415" s="45" t="s">
        <v>167</v>
      </c>
      <c r="O415" s="47" t="n">
        <v>46158.0262847222</v>
      </c>
      <c r="P415" s="47" t="n">
        <v>46160.9937268519</v>
      </c>
    </row>
    <row r="416" customFormat="false" ht="15" hidden="false" customHeight="false" outlineLevel="0" collapsed="false">
      <c r="A416" s="45" t="n">
        <v>620</v>
      </c>
      <c r="B416" s="46" t="n">
        <v>46160</v>
      </c>
      <c r="C416" s="45" t="s">
        <v>133</v>
      </c>
      <c r="D416" s="45" t="s">
        <v>134</v>
      </c>
      <c r="E416" s="45" t="s">
        <v>405</v>
      </c>
      <c r="F416" s="45" t="s">
        <v>1084</v>
      </c>
      <c r="G416" s="46" t="n">
        <v>46157</v>
      </c>
      <c r="H416" s="45" t="s">
        <v>168</v>
      </c>
      <c r="I416" s="45" t="s">
        <v>191</v>
      </c>
      <c r="J416" s="45" t="s">
        <v>1085</v>
      </c>
      <c r="K416" s="45" t="n">
        <v>36.2</v>
      </c>
      <c r="L416" s="45" t="s">
        <v>263</v>
      </c>
      <c r="M416" s="45" t="s">
        <v>259</v>
      </c>
      <c r="N416" s="45" t="s">
        <v>264</v>
      </c>
      <c r="O416" s="47" t="n">
        <v>46160.6324884259</v>
      </c>
      <c r="P416" s="47" t="n">
        <v>46160.657662037</v>
      </c>
    </row>
    <row r="417" customFormat="false" ht="15" hidden="false" customHeight="false" outlineLevel="0" collapsed="false">
      <c r="A417" s="45" t="n">
        <v>621</v>
      </c>
      <c r="B417" s="46" t="n">
        <v>46160</v>
      </c>
      <c r="C417" s="45" t="s">
        <v>131</v>
      </c>
      <c r="D417" s="45" t="s">
        <v>132</v>
      </c>
      <c r="E417" s="45" t="s">
        <v>577</v>
      </c>
      <c r="F417" s="45" t="s">
        <v>1086</v>
      </c>
      <c r="G417" s="46" t="n">
        <v>46157</v>
      </c>
      <c r="H417" s="45" t="s">
        <v>167</v>
      </c>
      <c r="I417" s="45" t="s">
        <v>175</v>
      </c>
      <c r="J417" s="45" t="s">
        <v>1087</v>
      </c>
      <c r="K417" s="45" t="n">
        <v>2.8</v>
      </c>
      <c r="L417" s="45" t="s">
        <v>263</v>
      </c>
      <c r="M417" s="45" t="s">
        <v>259</v>
      </c>
      <c r="N417" s="45" t="s">
        <v>167</v>
      </c>
      <c r="O417" s="47" t="n">
        <v>46160.7388888889</v>
      </c>
      <c r="P417" s="47" t="n">
        <v>46160.7408217593</v>
      </c>
    </row>
    <row r="418" customFormat="false" ht="15" hidden="false" customHeight="false" outlineLevel="0" collapsed="false">
      <c r="A418" s="45" t="n">
        <v>622</v>
      </c>
      <c r="B418" s="46" t="n">
        <v>46160</v>
      </c>
      <c r="C418" s="45" t="s">
        <v>131</v>
      </c>
      <c r="D418" s="45" t="s">
        <v>132</v>
      </c>
      <c r="E418" s="45" t="s">
        <v>415</v>
      </c>
      <c r="F418" s="45" t="s">
        <v>1088</v>
      </c>
      <c r="G418" s="46" t="n">
        <v>46157</v>
      </c>
      <c r="H418" s="45" t="s">
        <v>167</v>
      </c>
      <c r="I418" s="45" t="s">
        <v>175</v>
      </c>
      <c r="J418" s="45" t="s">
        <v>1089</v>
      </c>
      <c r="K418" s="45" t="n">
        <v>2.4</v>
      </c>
      <c r="L418" s="45" t="s">
        <v>263</v>
      </c>
      <c r="M418" s="45" t="s">
        <v>259</v>
      </c>
      <c r="N418" s="45" t="s">
        <v>167</v>
      </c>
      <c r="O418" s="47" t="n">
        <v>46160.74125</v>
      </c>
      <c r="P418" s="47" t="n">
        <v>46160.7429398148</v>
      </c>
    </row>
    <row r="419" customFormat="false" ht="15" hidden="false" customHeight="false" outlineLevel="0" collapsed="false">
      <c r="A419" s="45" t="n">
        <v>623</v>
      </c>
      <c r="B419" s="46" t="n">
        <v>46160</v>
      </c>
      <c r="C419" s="45" t="s">
        <v>131</v>
      </c>
      <c r="D419" s="45" t="s">
        <v>132</v>
      </c>
      <c r="E419" s="45" t="s">
        <v>326</v>
      </c>
      <c r="F419" s="45" t="s">
        <v>1090</v>
      </c>
      <c r="G419" s="46" t="n">
        <v>46157</v>
      </c>
      <c r="H419" s="45" t="s">
        <v>167</v>
      </c>
      <c r="I419" s="45" t="s">
        <v>175</v>
      </c>
      <c r="J419" s="45" t="s">
        <v>1091</v>
      </c>
      <c r="K419" s="45" t="n">
        <v>3.4</v>
      </c>
      <c r="L419" s="45" t="s">
        <v>263</v>
      </c>
      <c r="M419" s="45" t="s">
        <v>259</v>
      </c>
      <c r="N419" s="45" t="s">
        <v>167</v>
      </c>
      <c r="O419" s="47" t="n">
        <v>46160.7434027778</v>
      </c>
      <c r="P419" s="47" t="n">
        <v>46160.745775463</v>
      </c>
    </row>
    <row r="420" customFormat="false" ht="15" hidden="false" customHeight="false" outlineLevel="0" collapsed="false">
      <c r="A420" s="45" t="n">
        <v>624</v>
      </c>
      <c r="B420" s="46" t="n">
        <v>46160</v>
      </c>
      <c r="C420" s="45" t="s">
        <v>131</v>
      </c>
      <c r="D420" s="45" t="s">
        <v>132</v>
      </c>
      <c r="E420" s="45" t="s">
        <v>218</v>
      </c>
      <c r="F420" s="45" t="s">
        <v>1092</v>
      </c>
      <c r="G420" s="46" t="n">
        <v>46157</v>
      </c>
      <c r="H420" s="45" t="s">
        <v>167</v>
      </c>
      <c r="I420" s="45" t="s">
        <v>175</v>
      </c>
      <c r="J420" s="45" t="s">
        <v>1093</v>
      </c>
      <c r="K420" s="45" t="n">
        <v>1.7</v>
      </c>
      <c r="L420" s="45" t="s">
        <v>263</v>
      </c>
      <c r="M420" s="45" t="s">
        <v>259</v>
      </c>
      <c r="N420" s="45" t="s">
        <v>167</v>
      </c>
      <c r="O420" s="47" t="n">
        <v>46160.7475925926</v>
      </c>
      <c r="P420" s="47" t="n">
        <v>46160.7487615741</v>
      </c>
    </row>
    <row r="421" customFormat="false" ht="15" hidden="false" customHeight="false" outlineLevel="0" collapsed="false">
      <c r="A421" s="45" t="n">
        <v>625</v>
      </c>
      <c r="B421" s="46" t="n">
        <v>46160</v>
      </c>
      <c r="C421" s="45" t="s">
        <v>131</v>
      </c>
      <c r="D421" s="45" t="s">
        <v>132</v>
      </c>
      <c r="E421" s="45" t="s">
        <v>220</v>
      </c>
      <c r="F421" s="45" t="s">
        <v>1094</v>
      </c>
      <c r="G421" s="46" t="n">
        <v>46157</v>
      </c>
      <c r="H421" s="45" t="s">
        <v>167</v>
      </c>
      <c r="I421" s="45" t="s">
        <v>175</v>
      </c>
      <c r="J421" s="45" t="s">
        <v>989</v>
      </c>
      <c r="K421" s="45" t="n">
        <v>2.2</v>
      </c>
      <c r="L421" s="45" t="s">
        <v>263</v>
      </c>
      <c r="M421" s="45" t="s">
        <v>259</v>
      </c>
      <c r="N421" s="45" t="s">
        <v>167</v>
      </c>
      <c r="O421" s="47" t="n">
        <v>46160.7496759259</v>
      </c>
      <c r="P421" s="47" t="n">
        <v>46160.7512037037</v>
      </c>
    </row>
    <row r="422" customFormat="false" ht="15" hidden="false" customHeight="false" outlineLevel="0" collapsed="false">
      <c r="A422" s="45" t="n">
        <v>626</v>
      </c>
      <c r="B422" s="46" t="n">
        <v>46160</v>
      </c>
      <c r="C422" s="45" t="s">
        <v>131</v>
      </c>
      <c r="D422" s="45" t="s">
        <v>132</v>
      </c>
      <c r="E422" s="45" t="s">
        <v>220</v>
      </c>
      <c r="F422" s="45" t="s">
        <v>1095</v>
      </c>
      <c r="G422" s="46" t="n">
        <v>46157</v>
      </c>
      <c r="H422" s="45" t="s">
        <v>167</v>
      </c>
      <c r="I422" s="45" t="s">
        <v>175</v>
      </c>
      <c r="J422" s="45" t="s">
        <v>1096</v>
      </c>
      <c r="K422" s="45" t="n">
        <v>1.1</v>
      </c>
      <c r="L422" s="45" t="s">
        <v>263</v>
      </c>
      <c r="M422" s="45" t="s">
        <v>259</v>
      </c>
      <c r="N422" s="45" t="s">
        <v>167</v>
      </c>
      <c r="O422" s="47" t="n">
        <v>46160.7513425926</v>
      </c>
      <c r="P422" s="47" t="n">
        <v>46160.7520717593</v>
      </c>
    </row>
    <row r="423" customFormat="false" ht="15" hidden="false" customHeight="false" outlineLevel="0" collapsed="false">
      <c r="A423" s="45" t="n">
        <v>627</v>
      </c>
      <c r="B423" s="46" t="n">
        <v>46160</v>
      </c>
      <c r="C423" s="45" t="s">
        <v>131</v>
      </c>
      <c r="D423" s="45" t="s">
        <v>132</v>
      </c>
      <c r="E423" s="45" t="s">
        <v>218</v>
      </c>
      <c r="F423" s="45" t="s">
        <v>1097</v>
      </c>
      <c r="G423" s="46" t="n">
        <v>46157</v>
      </c>
      <c r="H423" s="45" t="s">
        <v>167</v>
      </c>
      <c r="I423" s="45" t="s">
        <v>175</v>
      </c>
      <c r="J423" s="45" t="s">
        <v>1098</v>
      </c>
      <c r="K423" s="45" t="n">
        <v>2.3</v>
      </c>
      <c r="L423" s="45" t="s">
        <v>263</v>
      </c>
      <c r="M423" s="45" t="s">
        <v>259</v>
      </c>
      <c r="N423" s="45" t="s">
        <v>167</v>
      </c>
      <c r="O423" s="47" t="n">
        <v>46160.7526273148</v>
      </c>
      <c r="P423" s="47" t="n">
        <v>46160.7542361111</v>
      </c>
    </row>
    <row r="424" customFormat="false" ht="15" hidden="false" customHeight="false" outlineLevel="0" collapsed="false">
      <c r="A424" s="45" t="n">
        <v>628</v>
      </c>
      <c r="B424" s="46" t="n">
        <v>46160</v>
      </c>
      <c r="C424" s="45" t="s">
        <v>135</v>
      </c>
      <c r="D424" s="45" t="s">
        <v>136</v>
      </c>
      <c r="E424" s="45" t="s">
        <v>226</v>
      </c>
      <c r="F424" s="45" t="s">
        <v>1099</v>
      </c>
      <c r="G424" s="46" t="n">
        <v>46156</v>
      </c>
      <c r="H424" s="45" t="s">
        <v>167</v>
      </c>
      <c r="I424" s="45" t="s">
        <v>175</v>
      </c>
      <c r="J424" s="45" t="s">
        <v>1100</v>
      </c>
      <c r="K424" s="45" t="n">
        <v>8.2</v>
      </c>
      <c r="L424" s="45" t="s">
        <v>263</v>
      </c>
      <c r="M424" s="45" t="s">
        <v>259</v>
      </c>
      <c r="N424" s="45" t="s">
        <v>167</v>
      </c>
      <c r="O424" s="47" t="n">
        <v>46160.7714236111</v>
      </c>
      <c r="P424" s="47" t="n">
        <v>46160.7771412037</v>
      </c>
    </row>
    <row r="425" customFormat="false" ht="15" hidden="false" customHeight="false" outlineLevel="0" collapsed="false">
      <c r="A425" s="45" t="n">
        <v>629</v>
      </c>
      <c r="B425" s="46" t="n">
        <v>46160</v>
      </c>
      <c r="C425" s="45" t="s">
        <v>135</v>
      </c>
      <c r="D425" s="45" t="s">
        <v>136</v>
      </c>
      <c r="E425" s="45" t="s">
        <v>381</v>
      </c>
      <c r="F425" s="45" t="s">
        <v>1101</v>
      </c>
      <c r="G425" s="46" t="n">
        <v>46156</v>
      </c>
      <c r="H425" s="45" t="s">
        <v>167</v>
      </c>
      <c r="I425" s="45" t="s">
        <v>175</v>
      </c>
      <c r="J425" s="45" t="s">
        <v>1102</v>
      </c>
      <c r="K425" s="45" t="n">
        <v>8</v>
      </c>
      <c r="L425" s="45" t="s">
        <v>263</v>
      </c>
      <c r="M425" s="45" t="s">
        <v>259</v>
      </c>
      <c r="N425" s="45" t="s">
        <v>167</v>
      </c>
      <c r="O425" s="47" t="n">
        <v>46160.7771990741</v>
      </c>
      <c r="P425" s="47" t="n">
        <v>46160.7827199074</v>
      </c>
    </row>
    <row r="426" customFormat="false" ht="15" hidden="false" customHeight="false" outlineLevel="0" collapsed="false">
      <c r="A426" s="45" t="n">
        <v>630</v>
      </c>
      <c r="B426" s="46" t="n">
        <v>46160</v>
      </c>
      <c r="C426" s="45" t="s">
        <v>135</v>
      </c>
      <c r="D426" s="45" t="s">
        <v>136</v>
      </c>
      <c r="E426" s="45" t="s">
        <v>819</v>
      </c>
      <c r="F426" s="45" t="s">
        <v>1103</v>
      </c>
      <c r="G426" s="46" t="n">
        <v>46156</v>
      </c>
      <c r="H426" s="45" t="s">
        <v>168</v>
      </c>
      <c r="I426" s="45" t="s">
        <v>195</v>
      </c>
      <c r="J426" s="45" t="s">
        <v>1104</v>
      </c>
      <c r="K426" s="45" t="n">
        <v>4.8</v>
      </c>
      <c r="L426" s="45" t="s">
        <v>263</v>
      </c>
      <c r="M426" s="45" t="s">
        <v>259</v>
      </c>
      <c r="N426" s="45" t="s">
        <v>264</v>
      </c>
      <c r="O426" s="47" t="n">
        <v>46160.7830671296</v>
      </c>
      <c r="P426" s="47" t="n">
        <v>46160.786412037</v>
      </c>
    </row>
    <row r="427" customFormat="false" ht="15" hidden="false" customHeight="false" outlineLevel="0" collapsed="false">
      <c r="A427" s="45" t="n">
        <v>631</v>
      </c>
      <c r="B427" s="46" t="n">
        <v>46160</v>
      </c>
      <c r="C427" s="45" t="s">
        <v>135</v>
      </c>
      <c r="D427" s="45" t="s">
        <v>136</v>
      </c>
      <c r="E427" s="45" t="s">
        <v>492</v>
      </c>
      <c r="F427" s="45" t="s">
        <v>1105</v>
      </c>
      <c r="G427" s="46" t="n">
        <v>46156</v>
      </c>
      <c r="H427" s="45" t="s">
        <v>167</v>
      </c>
      <c r="I427" s="45" t="s">
        <v>175</v>
      </c>
      <c r="J427" s="45" t="s">
        <v>1106</v>
      </c>
      <c r="K427" s="45" t="n">
        <v>8.9</v>
      </c>
      <c r="L427" s="45" t="s">
        <v>263</v>
      </c>
      <c r="M427" s="45" t="s">
        <v>259</v>
      </c>
      <c r="N427" s="45" t="s">
        <v>167</v>
      </c>
      <c r="O427" s="47" t="n">
        <v>46160.7866550926</v>
      </c>
      <c r="P427" s="47" t="n">
        <v>46160.7928703704</v>
      </c>
    </row>
    <row r="428" customFormat="false" ht="15" hidden="false" customHeight="false" outlineLevel="0" collapsed="false">
      <c r="A428" s="45" t="n">
        <v>632</v>
      </c>
      <c r="B428" s="46" t="n">
        <v>46160</v>
      </c>
      <c r="C428" s="45" t="s">
        <v>135</v>
      </c>
      <c r="D428" s="45" t="s">
        <v>136</v>
      </c>
      <c r="E428" s="45" t="s">
        <v>381</v>
      </c>
      <c r="F428" s="45" t="s">
        <v>1107</v>
      </c>
      <c r="G428" s="46" t="n">
        <v>46157</v>
      </c>
      <c r="H428" s="45" t="s">
        <v>167</v>
      </c>
      <c r="I428" s="45" t="s">
        <v>175</v>
      </c>
      <c r="J428" s="45" t="s">
        <v>1108</v>
      </c>
      <c r="K428" s="45" t="n">
        <v>23.9</v>
      </c>
      <c r="L428" s="45" t="s">
        <v>263</v>
      </c>
      <c r="M428" s="45" t="s">
        <v>259</v>
      </c>
      <c r="N428" s="45" t="s">
        <v>167</v>
      </c>
      <c r="O428" s="47" t="n">
        <v>46160.8194560185</v>
      </c>
      <c r="P428" s="47" t="n">
        <v>46160.8360763889</v>
      </c>
    </row>
    <row r="429" customFormat="false" ht="15" hidden="false" customHeight="false" outlineLevel="0" collapsed="false">
      <c r="A429" s="45" t="n">
        <v>633</v>
      </c>
      <c r="B429" s="46" t="n">
        <v>46160</v>
      </c>
      <c r="C429" s="45" t="s">
        <v>135</v>
      </c>
      <c r="D429" s="45" t="s">
        <v>136</v>
      </c>
      <c r="E429" s="45" t="s">
        <v>492</v>
      </c>
      <c r="F429" s="45" t="s">
        <v>1109</v>
      </c>
      <c r="G429" s="46" t="n">
        <v>46157</v>
      </c>
      <c r="H429" s="45" t="s">
        <v>167</v>
      </c>
      <c r="I429" s="45" t="s">
        <v>175</v>
      </c>
      <c r="J429" s="45" t="s">
        <v>1110</v>
      </c>
      <c r="K429" s="45" t="n">
        <v>5.5</v>
      </c>
      <c r="L429" s="45" t="s">
        <v>263</v>
      </c>
      <c r="M429" s="45" t="s">
        <v>259</v>
      </c>
      <c r="N429" s="45" t="s">
        <v>167</v>
      </c>
      <c r="O429" s="47" t="n">
        <v>46160.8361111111</v>
      </c>
      <c r="P429" s="47" t="n">
        <v>46160.8399537037</v>
      </c>
    </row>
    <row r="430" customFormat="false" ht="15" hidden="false" customHeight="false" outlineLevel="0" collapsed="false">
      <c r="A430" s="45" t="n">
        <v>634</v>
      </c>
      <c r="B430" s="46" t="n">
        <v>46160</v>
      </c>
      <c r="C430" s="45" t="s">
        <v>133</v>
      </c>
      <c r="D430" s="45" t="s">
        <v>134</v>
      </c>
      <c r="E430" s="45" t="s">
        <v>219</v>
      </c>
      <c r="F430" s="45" t="s">
        <v>1111</v>
      </c>
      <c r="G430" s="46" t="n">
        <v>46160</v>
      </c>
      <c r="H430" s="45" t="s">
        <v>168</v>
      </c>
      <c r="I430" s="45" t="s">
        <v>191</v>
      </c>
      <c r="J430" s="45" t="s">
        <v>1112</v>
      </c>
      <c r="K430" s="45" t="n">
        <v>11.6</v>
      </c>
      <c r="L430" s="45" t="s">
        <v>263</v>
      </c>
      <c r="M430" s="45" t="s">
        <v>259</v>
      </c>
      <c r="N430" s="45" t="s">
        <v>264</v>
      </c>
      <c r="O430" s="47" t="n">
        <v>46160.9113541667</v>
      </c>
      <c r="P430" s="47" t="n">
        <v>46160.919375</v>
      </c>
    </row>
    <row r="431" customFormat="false" ht="15" hidden="false" customHeight="false" outlineLevel="0" collapsed="false">
      <c r="A431" s="45" t="n">
        <v>636</v>
      </c>
      <c r="B431" s="46" t="n">
        <v>46160</v>
      </c>
      <c r="C431" s="45" t="s">
        <v>143</v>
      </c>
      <c r="D431" s="45" t="s">
        <v>144</v>
      </c>
      <c r="E431" s="45" t="s">
        <v>564</v>
      </c>
      <c r="F431" s="45" t="s">
        <v>1113</v>
      </c>
      <c r="G431" s="46" t="n">
        <v>46157</v>
      </c>
      <c r="H431" s="45" t="s">
        <v>167</v>
      </c>
      <c r="I431" s="45" t="s">
        <v>175</v>
      </c>
      <c r="J431" s="45" t="s">
        <v>1114</v>
      </c>
      <c r="K431" s="45" t="n">
        <v>11.6</v>
      </c>
      <c r="L431" s="45" t="s">
        <v>263</v>
      </c>
      <c r="M431" s="45" t="s">
        <v>259</v>
      </c>
      <c r="N431" s="45" t="s">
        <v>167</v>
      </c>
      <c r="O431" s="47" t="n">
        <v>46160.9938310185</v>
      </c>
      <c r="P431" s="47" t="n">
        <v>46161.0019097222</v>
      </c>
    </row>
    <row r="432" customFormat="false" ht="15" hidden="false" customHeight="false" outlineLevel="0" collapsed="false">
      <c r="A432" s="45" t="n">
        <v>637</v>
      </c>
      <c r="B432" s="46" t="n">
        <v>46161</v>
      </c>
      <c r="C432" s="45" t="s">
        <v>143</v>
      </c>
      <c r="D432" s="45" t="s">
        <v>144</v>
      </c>
      <c r="E432" s="45" t="s">
        <v>228</v>
      </c>
      <c r="F432" s="45" t="s">
        <v>1115</v>
      </c>
      <c r="G432" s="46" t="n">
        <v>46157</v>
      </c>
      <c r="H432" s="45" t="s">
        <v>167</v>
      </c>
      <c r="I432" s="45" t="s">
        <v>175</v>
      </c>
      <c r="J432" s="45" t="s">
        <v>1116</v>
      </c>
      <c r="K432" s="45" t="n">
        <v>2</v>
      </c>
      <c r="L432" s="45" t="s">
        <v>263</v>
      </c>
      <c r="M432" s="45" t="s">
        <v>259</v>
      </c>
      <c r="N432" s="45" t="s">
        <v>167</v>
      </c>
      <c r="O432" s="47" t="n">
        <v>46161.0093055556</v>
      </c>
      <c r="P432" s="47" t="n">
        <v>46161.0106944444</v>
      </c>
    </row>
    <row r="433" customFormat="false" ht="15" hidden="false" customHeight="false" outlineLevel="0" collapsed="false">
      <c r="A433" s="45" t="n">
        <v>638</v>
      </c>
      <c r="B433" s="46" t="n">
        <v>46161</v>
      </c>
      <c r="C433" s="45" t="s">
        <v>143</v>
      </c>
      <c r="D433" s="45" t="s">
        <v>144</v>
      </c>
      <c r="E433" s="45" t="s">
        <v>223</v>
      </c>
      <c r="F433" s="45" t="s">
        <v>1117</v>
      </c>
      <c r="G433" s="46" t="n">
        <v>46157</v>
      </c>
      <c r="H433" s="45" t="s">
        <v>57</v>
      </c>
      <c r="I433" s="45" t="s">
        <v>200</v>
      </c>
      <c r="J433" s="45" t="s">
        <v>1118</v>
      </c>
      <c r="K433" s="45" t="n">
        <v>5</v>
      </c>
      <c r="L433" s="45" t="s">
        <v>263</v>
      </c>
      <c r="M433" s="45" t="s">
        <v>259</v>
      </c>
      <c r="N433" s="45" t="s">
        <v>57</v>
      </c>
      <c r="O433" s="47" t="n">
        <v>46161.0107407407</v>
      </c>
      <c r="P433" s="47" t="n">
        <v>46161.014212963</v>
      </c>
    </row>
    <row r="434" customFormat="false" ht="15" hidden="false" customHeight="false" outlineLevel="0" collapsed="false">
      <c r="A434" s="45" t="n">
        <v>639</v>
      </c>
      <c r="B434" s="46" t="n">
        <v>46161</v>
      </c>
      <c r="C434" s="45" t="s">
        <v>131</v>
      </c>
      <c r="D434" s="45" t="s">
        <v>132</v>
      </c>
      <c r="E434" s="45" t="s">
        <v>242</v>
      </c>
      <c r="F434" s="45" t="s">
        <v>1119</v>
      </c>
      <c r="G434" s="46" t="n">
        <v>46160</v>
      </c>
      <c r="H434" s="45" t="s">
        <v>167</v>
      </c>
      <c r="I434" s="45" t="s">
        <v>175</v>
      </c>
      <c r="J434" s="45" t="s">
        <v>1120</v>
      </c>
      <c r="K434" s="45" t="n">
        <v>3.9</v>
      </c>
      <c r="L434" s="45" t="s">
        <v>263</v>
      </c>
      <c r="M434" s="45" t="s">
        <v>259</v>
      </c>
      <c r="N434" s="45" t="s">
        <v>167</v>
      </c>
      <c r="O434" s="47" t="n">
        <v>46161.6505555556</v>
      </c>
      <c r="P434" s="47" t="n">
        <v>46161.653275463</v>
      </c>
    </row>
    <row r="435" customFormat="false" ht="15" hidden="false" customHeight="false" outlineLevel="0" collapsed="false">
      <c r="A435" s="45" t="n">
        <v>640</v>
      </c>
      <c r="B435" s="46" t="n">
        <v>46161</v>
      </c>
      <c r="C435" s="45" t="s">
        <v>131</v>
      </c>
      <c r="D435" s="45" t="s">
        <v>132</v>
      </c>
      <c r="E435" s="45" t="s">
        <v>218</v>
      </c>
      <c r="F435" s="45" t="s">
        <v>1121</v>
      </c>
      <c r="G435" s="46" t="n">
        <v>46160</v>
      </c>
      <c r="H435" s="45" t="s">
        <v>167</v>
      </c>
      <c r="I435" s="45" t="s">
        <v>175</v>
      </c>
      <c r="J435" s="45" t="s">
        <v>1122</v>
      </c>
      <c r="K435" s="45" t="n">
        <v>2.6</v>
      </c>
      <c r="L435" s="45" t="s">
        <v>263</v>
      </c>
      <c r="M435" s="45" t="s">
        <v>259</v>
      </c>
      <c r="N435" s="45" t="s">
        <v>167</v>
      </c>
      <c r="O435" s="47" t="n">
        <v>46161.6532986111</v>
      </c>
      <c r="P435" s="47" t="n">
        <v>46161.6551041667</v>
      </c>
    </row>
    <row r="436" customFormat="false" ht="15" hidden="false" customHeight="false" outlineLevel="0" collapsed="false">
      <c r="A436" s="45" t="n">
        <v>641</v>
      </c>
      <c r="B436" s="46" t="n">
        <v>46161</v>
      </c>
      <c r="C436" s="45" t="s">
        <v>131</v>
      </c>
      <c r="D436" s="45" t="s">
        <v>132</v>
      </c>
      <c r="E436" s="45" t="s">
        <v>242</v>
      </c>
      <c r="F436" s="45" t="s">
        <v>1123</v>
      </c>
      <c r="G436" s="46" t="n">
        <v>46160</v>
      </c>
      <c r="H436" s="45" t="s">
        <v>168</v>
      </c>
      <c r="I436" s="45" t="s">
        <v>192</v>
      </c>
      <c r="J436" s="45" t="s">
        <v>1124</v>
      </c>
      <c r="K436" s="45" t="n">
        <v>2.2</v>
      </c>
      <c r="L436" s="45" t="s">
        <v>263</v>
      </c>
      <c r="M436" s="45" t="s">
        <v>259</v>
      </c>
      <c r="N436" s="45" t="s">
        <v>264</v>
      </c>
      <c r="O436" s="47" t="n">
        <v>46161.6551273148</v>
      </c>
      <c r="P436" s="47" t="n">
        <v>46161.6566319445</v>
      </c>
    </row>
    <row r="437" customFormat="false" ht="15" hidden="false" customHeight="false" outlineLevel="0" collapsed="false">
      <c r="A437" s="45" t="n">
        <v>642</v>
      </c>
      <c r="B437" s="46" t="n">
        <v>46162</v>
      </c>
      <c r="C437" s="45" t="s">
        <v>133</v>
      </c>
      <c r="D437" s="45" t="s">
        <v>134</v>
      </c>
      <c r="E437" s="45" t="s">
        <v>466</v>
      </c>
      <c r="F437" s="45" t="s">
        <v>1125</v>
      </c>
      <c r="G437" s="46" t="n">
        <v>46161</v>
      </c>
      <c r="H437" s="45" t="s">
        <v>57</v>
      </c>
      <c r="I437" s="45" t="s">
        <v>201</v>
      </c>
      <c r="J437" s="45" t="s">
        <v>1126</v>
      </c>
      <c r="K437" s="45" t="n">
        <v>1.6</v>
      </c>
      <c r="L437" s="45" t="s">
        <v>263</v>
      </c>
      <c r="M437" s="45" t="s">
        <v>259</v>
      </c>
      <c r="N437" s="45" t="s">
        <v>57</v>
      </c>
      <c r="O437" s="47" t="n">
        <v>46162.0451388889</v>
      </c>
      <c r="P437" s="47" t="n">
        <v>46162.0462615741</v>
      </c>
    </row>
    <row r="438" customFormat="false" ht="15" hidden="false" customHeight="false" outlineLevel="0" collapsed="false">
      <c r="A438" s="45" t="n">
        <v>643</v>
      </c>
      <c r="B438" s="46" t="n">
        <v>46162</v>
      </c>
      <c r="C438" s="45" t="s">
        <v>145</v>
      </c>
      <c r="D438" s="45" t="s">
        <v>146</v>
      </c>
      <c r="E438" s="45" t="s">
        <v>256</v>
      </c>
      <c r="F438" s="45" t="s">
        <v>1127</v>
      </c>
      <c r="G438" s="46" t="n">
        <v>46160</v>
      </c>
      <c r="H438" s="45" t="s">
        <v>167</v>
      </c>
      <c r="I438" s="45" t="s">
        <v>175</v>
      </c>
      <c r="J438" s="45" t="s">
        <v>1128</v>
      </c>
      <c r="K438" s="45" t="n">
        <v>10.8</v>
      </c>
      <c r="L438" s="45" t="s">
        <v>263</v>
      </c>
      <c r="M438" s="45" t="s">
        <v>259</v>
      </c>
      <c r="N438" s="45" t="s">
        <v>167</v>
      </c>
      <c r="O438" s="47" t="n">
        <v>46162.6720023148</v>
      </c>
      <c r="P438" s="47" t="n">
        <v>46162.6794907407</v>
      </c>
    </row>
    <row r="439" customFormat="false" ht="15" hidden="false" customHeight="false" outlineLevel="0" collapsed="false">
      <c r="A439" s="45" t="n">
        <v>644</v>
      </c>
      <c r="B439" s="46" t="n">
        <v>46162</v>
      </c>
      <c r="C439" s="45" t="s">
        <v>145</v>
      </c>
      <c r="D439" s="45" t="s">
        <v>146</v>
      </c>
      <c r="E439" s="45" t="s">
        <v>795</v>
      </c>
      <c r="F439" s="45" t="s">
        <v>1129</v>
      </c>
      <c r="G439" s="46" t="n">
        <v>46161</v>
      </c>
      <c r="H439" s="45" t="s">
        <v>167</v>
      </c>
      <c r="I439" s="45" t="s">
        <v>175</v>
      </c>
      <c r="J439" s="45" t="s">
        <v>1130</v>
      </c>
      <c r="K439" s="45" t="n">
        <v>10.4</v>
      </c>
      <c r="L439" s="45" t="s">
        <v>263</v>
      </c>
      <c r="M439" s="45" t="s">
        <v>259</v>
      </c>
      <c r="N439" s="45" t="s">
        <v>167</v>
      </c>
      <c r="O439" s="47" t="n">
        <v>46162.679525463</v>
      </c>
      <c r="P439" s="47" t="n">
        <v>46162.6867361111</v>
      </c>
    </row>
    <row r="440" customFormat="false" ht="15" hidden="false" customHeight="false" outlineLevel="0" collapsed="false">
      <c r="A440" s="45" t="n">
        <v>645</v>
      </c>
      <c r="B440" s="46" t="n">
        <v>46162</v>
      </c>
      <c r="C440" s="45" t="s">
        <v>145</v>
      </c>
      <c r="D440" s="45" t="s">
        <v>146</v>
      </c>
      <c r="E440" s="45" t="s">
        <v>284</v>
      </c>
      <c r="F440" s="45" t="s">
        <v>1131</v>
      </c>
      <c r="G440" s="46" t="n">
        <v>46161</v>
      </c>
      <c r="H440" s="45" t="s">
        <v>167</v>
      </c>
      <c r="I440" s="45" t="s">
        <v>175</v>
      </c>
      <c r="J440" s="45" t="s">
        <v>1132</v>
      </c>
      <c r="K440" s="45" t="n">
        <v>20.9</v>
      </c>
      <c r="L440" s="45" t="s">
        <v>263</v>
      </c>
      <c r="M440" s="45" t="s">
        <v>259</v>
      </c>
      <c r="N440" s="45" t="s">
        <v>167</v>
      </c>
      <c r="O440" s="47" t="n">
        <v>46162.6867824074</v>
      </c>
      <c r="P440" s="47" t="n">
        <v>46162.7012731481</v>
      </c>
    </row>
    <row r="441" customFormat="false" ht="15" hidden="false" customHeight="false" outlineLevel="0" collapsed="false">
      <c r="A441" s="45" t="n">
        <v>646</v>
      </c>
      <c r="B441" s="46" t="n">
        <v>46162</v>
      </c>
      <c r="C441" s="45" t="s">
        <v>145</v>
      </c>
      <c r="D441" s="45" t="s">
        <v>146</v>
      </c>
      <c r="E441" s="45" t="s">
        <v>256</v>
      </c>
      <c r="F441" s="45" t="s">
        <v>1133</v>
      </c>
      <c r="G441" s="46" t="n">
        <v>46161</v>
      </c>
      <c r="H441" s="45" t="s">
        <v>167</v>
      </c>
      <c r="I441" s="45" t="s">
        <v>175</v>
      </c>
      <c r="J441" s="45" t="s">
        <v>1134</v>
      </c>
      <c r="K441" s="45" t="n">
        <v>23.2</v>
      </c>
      <c r="L441" s="45" t="s">
        <v>263</v>
      </c>
      <c r="M441" s="45" t="s">
        <v>259</v>
      </c>
      <c r="N441" s="45" t="s">
        <v>167</v>
      </c>
      <c r="O441" s="47" t="n">
        <v>46162.7013194444</v>
      </c>
      <c r="P441" s="47" t="n">
        <v>46162.7174305556</v>
      </c>
    </row>
    <row r="442" customFormat="false" ht="15" hidden="false" customHeight="false" outlineLevel="0" collapsed="false">
      <c r="A442" s="45" t="n">
        <v>647</v>
      </c>
      <c r="B442" s="46" t="n">
        <v>46162</v>
      </c>
      <c r="C442" s="45" t="s">
        <v>145</v>
      </c>
      <c r="D442" s="45" t="s">
        <v>146</v>
      </c>
      <c r="E442" s="45" t="s">
        <v>284</v>
      </c>
      <c r="F442" s="45" t="s">
        <v>1135</v>
      </c>
      <c r="G442" s="46" t="n">
        <v>46161</v>
      </c>
      <c r="H442" s="45" t="s">
        <v>167</v>
      </c>
      <c r="I442" s="45" t="s">
        <v>175</v>
      </c>
      <c r="J442" s="45" t="s">
        <v>1136</v>
      </c>
      <c r="K442" s="45" t="n">
        <v>6.5</v>
      </c>
      <c r="L442" s="45" t="s">
        <v>263</v>
      </c>
      <c r="M442" s="45" t="s">
        <v>259</v>
      </c>
      <c r="N442" s="45" t="s">
        <v>167</v>
      </c>
      <c r="O442" s="47" t="n">
        <v>46162.7175347222</v>
      </c>
      <c r="P442" s="47" t="n">
        <v>46162.7220717593</v>
      </c>
    </row>
    <row r="443" customFormat="false" ht="15" hidden="false" customHeight="false" outlineLevel="0" collapsed="false">
      <c r="A443" s="45" t="n">
        <v>648</v>
      </c>
      <c r="B443" s="46" t="n">
        <v>46162</v>
      </c>
      <c r="C443" s="45" t="s">
        <v>145</v>
      </c>
      <c r="D443" s="45" t="s">
        <v>146</v>
      </c>
      <c r="E443" s="45" t="s">
        <v>1027</v>
      </c>
      <c r="F443" s="45" t="s">
        <v>1137</v>
      </c>
      <c r="G443" s="46" t="n">
        <v>46161</v>
      </c>
      <c r="H443" s="45" t="s">
        <v>169</v>
      </c>
      <c r="I443" s="45"/>
      <c r="J443" s="45"/>
      <c r="K443" s="45" t="n">
        <v>2.3</v>
      </c>
      <c r="L443" s="45" t="s">
        <v>263</v>
      </c>
      <c r="M443" s="45" t="s">
        <v>259</v>
      </c>
      <c r="N443" s="45" t="s">
        <v>169</v>
      </c>
      <c r="O443" s="47" t="n">
        <v>46162.7221064815</v>
      </c>
      <c r="P443" s="47" t="n">
        <v>46162.7236805556</v>
      </c>
    </row>
    <row r="444" customFormat="false" ht="15" hidden="false" customHeight="false" outlineLevel="0" collapsed="false">
      <c r="A444" s="45" t="n">
        <v>650</v>
      </c>
      <c r="B444" s="46" t="n">
        <v>46162</v>
      </c>
      <c r="C444" s="45" t="s">
        <v>145</v>
      </c>
      <c r="D444" s="45" t="s">
        <v>146</v>
      </c>
      <c r="E444" s="45" t="s">
        <v>256</v>
      </c>
      <c r="F444" s="45" t="s">
        <v>1138</v>
      </c>
      <c r="G444" s="46" t="n">
        <v>46161</v>
      </c>
      <c r="H444" s="45" t="s">
        <v>167</v>
      </c>
      <c r="I444" s="45" t="s">
        <v>175</v>
      </c>
      <c r="J444" s="45" t="s">
        <v>1139</v>
      </c>
      <c r="K444" s="45" t="n">
        <v>12.1</v>
      </c>
      <c r="L444" s="45" t="s">
        <v>263</v>
      </c>
      <c r="M444" s="45" t="s">
        <v>259</v>
      </c>
      <c r="N444" s="45" t="s">
        <v>167</v>
      </c>
      <c r="O444" s="47" t="n">
        <v>46162.7237384259</v>
      </c>
      <c r="P444" s="47" t="n">
        <v>46162.7321643519</v>
      </c>
    </row>
    <row r="445" customFormat="false" ht="15" hidden="false" customHeight="false" outlineLevel="0" collapsed="false">
      <c r="A445" s="45" t="n">
        <v>649</v>
      </c>
      <c r="B445" s="46" t="n">
        <v>46162</v>
      </c>
      <c r="C445" s="45" t="s">
        <v>131</v>
      </c>
      <c r="D445" s="45" t="s">
        <v>132</v>
      </c>
      <c r="E445" s="45" t="s">
        <v>220</v>
      </c>
      <c r="F445" s="45" t="s">
        <v>1140</v>
      </c>
      <c r="G445" s="46" t="n">
        <v>46161</v>
      </c>
      <c r="H445" s="45" t="s">
        <v>167</v>
      </c>
      <c r="I445" s="45" t="s">
        <v>175</v>
      </c>
      <c r="J445" s="45" t="s">
        <v>1141</v>
      </c>
      <c r="K445" s="45" t="n">
        <v>5.8</v>
      </c>
      <c r="L445" s="45" t="s">
        <v>263</v>
      </c>
      <c r="M445" s="45" t="s">
        <v>259</v>
      </c>
      <c r="N445" s="45" t="s">
        <v>167</v>
      </c>
      <c r="O445" s="47" t="n">
        <v>46162.7267708333</v>
      </c>
      <c r="P445" s="47" t="n">
        <v>46162.730775463</v>
      </c>
    </row>
    <row r="446" customFormat="false" ht="15" hidden="false" customHeight="false" outlineLevel="0" collapsed="false">
      <c r="A446" s="45" t="n">
        <v>656</v>
      </c>
      <c r="B446" s="46" t="n">
        <v>46162</v>
      </c>
      <c r="C446" s="45" t="s">
        <v>131</v>
      </c>
      <c r="D446" s="45" t="s">
        <v>132</v>
      </c>
      <c r="E446" s="45" t="s">
        <v>239</v>
      </c>
      <c r="F446" s="45" t="s">
        <v>1142</v>
      </c>
      <c r="G446" s="46" t="n">
        <v>46162</v>
      </c>
      <c r="H446" s="45" t="s">
        <v>167</v>
      </c>
      <c r="I446" s="45" t="s">
        <v>175</v>
      </c>
      <c r="J446" s="45" t="s">
        <v>1143</v>
      </c>
      <c r="K446" s="45" t="n">
        <v>1451.5</v>
      </c>
      <c r="L446" s="45" t="s">
        <v>263</v>
      </c>
      <c r="M446" s="45" t="s">
        <v>259</v>
      </c>
      <c r="N446" s="45" t="s">
        <v>167</v>
      </c>
      <c r="O446" s="47" t="n">
        <v>46162.7310300926</v>
      </c>
      <c r="P446" s="47" t="n">
        <v>46163.7390046296</v>
      </c>
    </row>
    <row r="447" customFormat="false" ht="15" hidden="false" customHeight="false" outlineLevel="0" collapsed="false">
      <c r="A447" s="45" t="n">
        <v>651</v>
      </c>
      <c r="B447" s="46" t="n">
        <v>46162</v>
      </c>
      <c r="C447" s="45" t="s">
        <v>145</v>
      </c>
      <c r="D447" s="45" t="s">
        <v>146</v>
      </c>
      <c r="E447" s="45" t="s">
        <v>795</v>
      </c>
      <c r="F447" s="45" t="s">
        <v>1144</v>
      </c>
      <c r="G447" s="46" t="n">
        <v>46161</v>
      </c>
      <c r="H447" s="45" t="s">
        <v>57</v>
      </c>
      <c r="I447" s="45" t="s">
        <v>200</v>
      </c>
      <c r="J447" s="45" t="s">
        <v>1145</v>
      </c>
      <c r="K447" s="45" t="n">
        <v>8.6</v>
      </c>
      <c r="L447" s="45" t="s">
        <v>263</v>
      </c>
      <c r="M447" s="45" t="s">
        <v>259</v>
      </c>
      <c r="N447" s="45" t="s">
        <v>57</v>
      </c>
      <c r="O447" s="47" t="n">
        <v>46162.7322569444</v>
      </c>
      <c r="P447" s="47" t="n">
        <v>46162.7381944444</v>
      </c>
    </row>
    <row r="448" customFormat="false" ht="15" hidden="false" customHeight="false" outlineLevel="0" collapsed="false">
      <c r="A448" s="45" t="n">
        <v>652</v>
      </c>
      <c r="B448" s="46" t="n">
        <v>46162</v>
      </c>
      <c r="C448" s="45" t="s">
        <v>145</v>
      </c>
      <c r="D448" s="45" t="s">
        <v>146</v>
      </c>
      <c r="E448" s="45" t="s">
        <v>795</v>
      </c>
      <c r="F448" s="45" t="s">
        <v>1146</v>
      </c>
      <c r="G448" s="46" t="n">
        <v>46161</v>
      </c>
      <c r="H448" s="45" t="s">
        <v>169</v>
      </c>
      <c r="I448" s="45"/>
      <c r="J448" s="45"/>
      <c r="K448" s="45" t="n">
        <v>1.1</v>
      </c>
      <c r="L448" s="45" t="s">
        <v>263</v>
      </c>
      <c r="M448" s="45" t="s">
        <v>259</v>
      </c>
      <c r="N448" s="45" t="s">
        <v>169</v>
      </c>
      <c r="O448" s="47" t="n">
        <v>46162.7382986111</v>
      </c>
      <c r="P448" s="47" t="n">
        <v>46162.7390972222</v>
      </c>
    </row>
    <row r="449" customFormat="false" ht="15" hidden="false" customHeight="false" outlineLevel="0" collapsed="false">
      <c r="A449" s="45" t="n">
        <v>653</v>
      </c>
      <c r="B449" s="46" t="n">
        <v>46162</v>
      </c>
      <c r="C449" s="45" t="s">
        <v>133</v>
      </c>
      <c r="D449" s="45" t="s">
        <v>134</v>
      </c>
      <c r="E449" s="45" t="s">
        <v>234</v>
      </c>
      <c r="F449" s="45" t="s">
        <v>1147</v>
      </c>
      <c r="G449" s="46" t="n">
        <v>46161</v>
      </c>
      <c r="H449" s="45" t="s">
        <v>168</v>
      </c>
      <c r="I449" s="45" t="s">
        <v>192</v>
      </c>
      <c r="J449" s="45" t="s">
        <v>1148</v>
      </c>
      <c r="K449" s="45" t="n">
        <v>4.7</v>
      </c>
      <c r="L449" s="45" t="s">
        <v>263</v>
      </c>
      <c r="M449" s="45" t="s">
        <v>259</v>
      </c>
      <c r="N449" s="45" t="s">
        <v>264</v>
      </c>
      <c r="O449" s="47" t="n">
        <v>46162.7795601852</v>
      </c>
      <c r="P449" s="47" t="n">
        <v>46162.7828125</v>
      </c>
    </row>
    <row r="450" customFormat="false" ht="15" hidden="false" customHeight="false" outlineLevel="0" collapsed="false">
      <c r="A450" s="45" t="n">
        <v>654</v>
      </c>
      <c r="B450" s="46" t="n">
        <v>46162</v>
      </c>
      <c r="C450" s="45" t="s">
        <v>133</v>
      </c>
      <c r="D450" s="45" t="s">
        <v>134</v>
      </c>
      <c r="E450" s="45" t="s">
        <v>917</v>
      </c>
      <c r="F450" s="45" t="s">
        <v>1149</v>
      </c>
      <c r="G450" s="46" t="n">
        <v>46161</v>
      </c>
      <c r="H450" s="45" t="s">
        <v>57</v>
      </c>
      <c r="I450" s="45" t="s">
        <v>201</v>
      </c>
      <c r="J450" s="45" t="s">
        <v>1150</v>
      </c>
      <c r="K450" s="45" t="n">
        <v>6.7</v>
      </c>
      <c r="L450" s="45" t="s">
        <v>263</v>
      </c>
      <c r="M450" s="45" t="s">
        <v>259</v>
      </c>
      <c r="N450" s="45" t="s">
        <v>57</v>
      </c>
      <c r="O450" s="47" t="n">
        <v>46162.7840972222</v>
      </c>
      <c r="P450" s="47" t="n">
        <v>46162.7887731482</v>
      </c>
    </row>
    <row r="451" customFormat="false" ht="15" hidden="false" customHeight="false" outlineLevel="0" collapsed="false">
      <c r="A451" s="45" t="n">
        <v>655</v>
      </c>
      <c r="B451" s="46" t="n">
        <v>46162</v>
      </c>
      <c r="C451" s="45" t="s">
        <v>133</v>
      </c>
      <c r="D451" s="45" t="s">
        <v>134</v>
      </c>
      <c r="E451" s="45" t="s">
        <v>558</v>
      </c>
      <c r="F451" s="45" t="s">
        <v>1151</v>
      </c>
      <c r="G451" s="46" t="n">
        <v>46162</v>
      </c>
      <c r="H451" s="45" t="s">
        <v>169</v>
      </c>
      <c r="I451" s="45"/>
      <c r="J451" s="45"/>
      <c r="K451" s="45" t="n">
        <v>1.6</v>
      </c>
      <c r="L451" s="45" t="s">
        <v>259</v>
      </c>
      <c r="M451" s="45" t="s">
        <v>259</v>
      </c>
      <c r="N451" s="45" t="s">
        <v>169</v>
      </c>
      <c r="O451" s="47" t="n">
        <v>46162.7889583333</v>
      </c>
      <c r="P451" s="47" t="n">
        <v>46162.7900462963</v>
      </c>
    </row>
    <row r="452" customFormat="false" ht="15" hidden="false" customHeight="false" outlineLevel="0" collapsed="false">
      <c r="A452" s="45" t="n">
        <v>657</v>
      </c>
      <c r="B452" s="46" t="n">
        <v>46163</v>
      </c>
      <c r="C452" s="45" t="s">
        <v>131</v>
      </c>
      <c r="D452" s="45" t="s">
        <v>132</v>
      </c>
      <c r="E452" s="45" t="s">
        <v>242</v>
      </c>
      <c r="F452" s="45" t="s">
        <v>1152</v>
      </c>
      <c r="G452" s="46" t="n">
        <v>46162</v>
      </c>
      <c r="H452" s="45" t="s">
        <v>167</v>
      </c>
      <c r="I452" s="45" t="s">
        <v>175</v>
      </c>
      <c r="J452" s="45" t="s">
        <v>1153</v>
      </c>
      <c r="K452" s="45" t="n">
        <v>2.3</v>
      </c>
      <c r="L452" s="45" t="s">
        <v>263</v>
      </c>
      <c r="M452" s="45" t="s">
        <v>259</v>
      </c>
      <c r="N452" s="45" t="s">
        <v>167</v>
      </c>
      <c r="O452" s="47" t="n">
        <v>46163.7397916667</v>
      </c>
      <c r="P452" s="47" t="n">
        <v>46163.7413888889</v>
      </c>
    </row>
    <row r="453" customFormat="false" ht="15" hidden="false" customHeight="false" outlineLevel="0" collapsed="false">
      <c r="A453" s="45" t="n">
        <v>658</v>
      </c>
      <c r="B453" s="46" t="n">
        <v>46163</v>
      </c>
      <c r="C453" s="45" t="s">
        <v>131</v>
      </c>
      <c r="D453" s="45" t="s">
        <v>132</v>
      </c>
      <c r="E453" s="45" t="s">
        <v>239</v>
      </c>
      <c r="F453" s="45" t="s">
        <v>1154</v>
      </c>
      <c r="G453" s="46" t="n">
        <v>46162</v>
      </c>
      <c r="H453" s="45" t="s">
        <v>167</v>
      </c>
      <c r="I453" s="45" t="s">
        <v>175</v>
      </c>
      <c r="J453" s="45" t="s">
        <v>1155</v>
      </c>
      <c r="K453" s="45" t="n">
        <v>1.4</v>
      </c>
      <c r="L453" s="45" t="s">
        <v>263</v>
      </c>
      <c r="M453" s="45" t="s">
        <v>259</v>
      </c>
      <c r="N453" s="45" t="s">
        <v>167</v>
      </c>
      <c r="O453" s="47" t="n">
        <v>46163.7422106482</v>
      </c>
      <c r="P453" s="47" t="n">
        <v>46163.7431944445</v>
      </c>
    </row>
    <row r="454" customFormat="false" ht="15" hidden="false" customHeight="false" outlineLevel="0" collapsed="false">
      <c r="A454" s="45" t="n">
        <v>659</v>
      </c>
      <c r="B454" s="46" t="n">
        <v>46163</v>
      </c>
      <c r="C454" s="45" t="s">
        <v>131</v>
      </c>
      <c r="D454" s="45" t="s">
        <v>132</v>
      </c>
      <c r="E454" s="45" t="s">
        <v>239</v>
      </c>
      <c r="F454" s="45" t="s">
        <v>1156</v>
      </c>
      <c r="G454" s="46" t="n">
        <v>46162</v>
      </c>
      <c r="H454" s="45" t="s">
        <v>167</v>
      </c>
      <c r="I454" s="45" t="s">
        <v>175</v>
      </c>
      <c r="J454" s="45" t="s">
        <v>1157</v>
      </c>
      <c r="K454" s="45" t="n">
        <v>1.4</v>
      </c>
      <c r="L454" s="45" t="s">
        <v>263</v>
      </c>
      <c r="M454" s="45" t="s">
        <v>259</v>
      </c>
      <c r="N454" s="45" t="s">
        <v>167</v>
      </c>
      <c r="O454" s="47" t="n">
        <v>46163.7432291667</v>
      </c>
      <c r="P454" s="47" t="n">
        <v>46163.7442013889</v>
      </c>
    </row>
    <row r="455" customFormat="false" ht="15" hidden="false" customHeight="false" outlineLevel="0" collapsed="false">
      <c r="A455" s="45" t="n">
        <v>660</v>
      </c>
      <c r="B455" s="46" t="n">
        <v>46163</v>
      </c>
      <c r="C455" s="45" t="s">
        <v>131</v>
      </c>
      <c r="D455" s="45" t="s">
        <v>132</v>
      </c>
      <c r="E455" s="45" t="s">
        <v>239</v>
      </c>
      <c r="F455" s="45" t="s">
        <v>1158</v>
      </c>
      <c r="G455" s="46" t="n">
        <v>46162</v>
      </c>
      <c r="H455" s="45" t="s">
        <v>167</v>
      </c>
      <c r="I455" s="45" t="s">
        <v>175</v>
      </c>
      <c r="J455" s="45" t="s">
        <v>1159</v>
      </c>
      <c r="K455" s="45" t="n">
        <v>0.5</v>
      </c>
      <c r="L455" s="45" t="s">
        <v>263</v>
      </c>
      <c r="M455" s="45" t="s">
        <v>259</v>
      </c>
      <c r="N455" s="45" t="s">
        <v>167</v>
      </c>
      <c r="O455" s="47" t="n">
        <v>46163.7449189815</v>
      </c>
      <c r="P455" s="47" t="n">
        <v>46163.7452430556</v>
      </c>
    </row>
    <row r="456" customFormat="false" ht="15" hidden="false" customHeight="false" outlineLevel="0" collapsed="false">
      <c r="A456" s="45" t="n">
        <v>661</v>
      </c>
      <c r="B456" s="46" t="n">
        <v>46163</v>
      </c>
      <c r="C456" s="45" t="s">
        <v>133</v>
      </c>
      <c r="D456" s="45" t="s">
        <v>134</v>
      </c>
      <c r="E456" s="45" t="s">
        <v>558</v>
      </c>
      <c r="F456" s="45" t="s">
        <v>1151</v>
      </c>
      <c r="G456" s="46" t="n">
        <v>46162</v>
      </c>
      <c r="H456" s="45" t="s">
        <v>168</v>
      </c>
      <c r="I456" s="45" t="s">
        <v>191</v>
      </c>
      <c r="J456" s="45" t="s">
        <v>1160</v>
      </c>
      <c r="K456" s="45" t="n">
        <v>5</v>
      </c>
      <c r="L456" s="45" t="s">
        <v>259</v>
      </c>
      <c r="M456" s="45" t="s">
        <v>259</v>
      </c>
      <c r="N456" s="45" t="s">
        <v>264</v>
      </c>
      <c r="O456" s="47" t="n">
        <v>46163.9815277778</v>
      </c>
      <c r="P456" s="47" t="n">
        <v>46163.9849652778</v>
      </c>
    </row>
    <row r="457" customFormat="false" ht="15" hidden="false" customHeight="false" outlineLevel="0" collapsed="false">
      <c r="A457" s="45" t="n">
        <v>662</v>
      </c>
      <c r="B457" s="46" t="n">
        <v>46163</v>
      </c>
      <c r="C457" s="45" t="s">
        <v>133</v>
      </c>
      <c r="D457" s="45" t="s">
        <v>134</v>
      </c>
      <c r="E457" s="45" t="s">
        <v>558</v>
      </c>
      <c r="F457" s="45" t="s">
        <v>1161</v>
      </c>
      <c r="G457" s="46" t="n">
        <v>46162</v>
      </c>
      <c r="H457" s="45" t="s">
        <v>167</v>
      </c>
      <c r="I457" s="45" t="s">
        <v>175</v>
      </c>
      <c r="J457" s="45" t="s">
        <v>1162</v>
      </c>
      <c r="K457" s="45" t="n">
        <v>8.4</v>
      </c>
      <c r="L457" s="45" t="s">
        <v>263</v>
      </c>
      <c r="M457" s="45" t="s">
        <v>259</v>
      </c>
      <c r="N457" s="45" t="s">
        <v>167</v>
      </c>
      <c r="O457" s="47" t="n">
        <v>46163.9851851852</v>
      </c>
      <c r="P457" s="47" t="n">
        <v>46163.9910532407</v>
      </c>
    </row>
    <row r="458" customFormat="false" ht="15" hidden="false" customHeight="false" outlineLevel="0" collapsed="false">
      <c r="A458" s="45" t="n">
        <v>663</v>
      </c>
      <c r="B458" s="46" t="n">
        <v>46163</v>
      </c>
      <c r="C458" s="45" t="s">
        <v>133</v>
      </c>
      <c r="D458" s="45" t="s">
        <v>134</v>
      </c>
      <c r="E458" s="45" t="s">
        <v>219</v>
      </c>
      <c r="F458" s="45" t="s">
        <v>1163</v>
      </c>
      <c r="G458" s="46" t="n">
        <v>46162</v>
      </c>
      <c r="H458" s="45" t="s">
        <v>57</v>
      </c>
      <c r="I458" s="45" t="s">
        <v>200</v>
      </c>
      <c r="J458" s="45" t="s">
        <v>1164</v>
      </c>
      <c r="K458" s="45" t="n">
        <v>33.8</v>
      </c>
      <c r="L458" s="45" t="s">
        <v>263</v>
      </c>
      <c r="M458" s="45" t="s">
        <v>259</v>
      </c>
      <c r="N458" s="45" t="s">
        <v>57</v>
      </c>
      <c r="O458" s="47" t="n">
        <v>46163.9912037037</v>
      </c>
      <c r="P458" s="47" t="n">
        <v>46164.0146990741</v>
      </c>
    </row>
    <row r="459" customFormat="false" ht="15" hidden="false" customHeight="false" outlineLevel="0" collapsed="false">
      <c r="A459" s="45" t="n">
        <v>664</v>
      </c>
      <c r="B459" s="46" t="n">
        <v>46164</v>
      </c>
      <c r="C459" s="45" t="s">
        <v>133</v>
      </c>
      <c r="D459" s="45" t="s">
        <v>134</v>
      </c>
      <c r="E459" s="45" t="s">
        <v>543</v>
      </c>
      <c r="F459" s="45" t="s">
        <v>1165</v>
      </c>
      <c r="G459" s="46" t="n">
        <v>46162</v>
      </c>
      <c r="H459" s="45" t="s">
        <v>167</v>
      </c>
      <c r="I459" s="45" t="s">
        <v>175</v>
      </c>
      <c r="J459" s="45" t="s">
        <v>1166</v>
      </c>
      <c r="K459" s="45" t="n">
        <v>4.1</v>
      </c>
      <c r="L459" s="45" t="s">
        <v>263</v>
      </c>
      <c r="M459" s="45" t="s">
        <v>259</v>
      </c>
      <c r="N459" s="45" t="s">
        <v>167</v>
      </c>
      <c r="O459" s="47" t="n">
        <v>46164.0167824074</v>
      </c>
      <c r="P459" s="47" t="n">
        <v>46164.0196064815</v>
      </c>
    </row>
    <row r="460" customFormat="false" ht="15" hidden="false" customHeight="false" outlineLevel="0" collapsed="false">
      <c r="A460" s="45" t="n">
        <v>665</v>
      </c>
      <c r="B460" s="46" t="n">
        <v>46164</v>
      </c>
      <c r="C460" s="45" t="s">
        <v>133</v>
      </c>
      <c r="D460" s="45" t="s">
        <v>134</v>
      </c>
      <c r="E460" s="45" t="s">
        <v>543</v>
      </c>
      <c r="F460" s="45" t="s">
        <v>1167</v>
      </c>
      <c r="G460" s="46" t="n">
        <v>46162</v>
      </c>
      <c r="H460" s="45" t="s">
        <v>167</v>
      </c>
      <c r="I460" s="45" t="s">
        <v>175</v>
      </c>
      <c r="J460" s="45" t="s">
        <v>1168</v>
      </c>
      <c r="K460" s="45" t="n">
        <v>5.8</v>
      </c>
      <c r="L460" s="45" t="s">
        <v>263</v>
      </c>
      <c r="M460" s="45" t="s">
        <v>259</v>
      </c>
      <c r="N460" s="45" t="s">
        <v>167</v>
      </c>
      <c r="O460" s="47" t="n">
        <v>46164.0200810185</v>
      </c>
      <c r="P460" s="47" t="n">
        <v>46164.0241203704</v>
      </c>
    </row>
    <row r="461" customFormat="false" ht="15" hidden="false" customHeight="false" outlineLevel="0" collapsed="false">
      <c r="A461" s="45" t="n">
        <v>666</v>
      </c>
      <c r="B461" s="46" t="n">
        <v>46164</v>
      </c>
      <c r="C461" s="45" t="s">
        <v>133</v>
      </c>
      <c r="D461" s="45" t="s">
        <v>134</v>
      </c>
      <c r="E461" s="45" t="s">
        <v>234</v>
      </c>
      <c r="F461" s="45" t="s">
        <v>1169</v>
      </c>
      <c r="G461" s="46" t="n">
        <v>46163</v>
      </c>
      <c r="H461" s="45" t="s">
        <v>167</v>
      </c>
      <c r="I461" s="45" t="s">
        <v>175</v>
      </c>
      <c r="J461" s="45" t="s">
        <v>1170</v>
      </c>
      <c r="K461" s="45" t="n">
        <v>8.4</v>
      </c>
      <c r="L461" s="45" t="s">
        <v>263</v>
      </c>
      <c r="M461" s="45" t="s">
        <v>259</v>
      </c>
      <c r="N461" s="45" t="s">
        <v>167</v>
      </c>
      <c r="O461" s="47" t="n">
        <v>46164.0242476852</v>
      </c>
      <c r="P461" s="47" t="n">
        <v>46164.0300578704</v>
      </c>
    </row>
    <row r="462" customFormat="false" ht="15" hidden="false" customHeight="false" outlineLevel="0" collapsed="false">
      <c r="A462" s="45" t="n">
        <v>667</v>
      </c>
      <c r="B462" s="46" t="n">
        <v>46164</v>
      </c>
      <c r="C462" s="45" t="s">
        <v>133</v>
      </c>
      <c r="D462" s="45" t="s">
        <v>134</v>
      </c>
      <c r="E462" s="45" t="s">
        <v>238</v>
      </c>
      <c r="F462" s="45" t="s">
        <v>1171</v>
      </c>
      <c r="G462" s="46" t="n">
        <v>46163</v>
      </c>
      <c r="H462" s="45" t="s">
        <v>57</v>
      </c>
      <c r="I462" s="45" t="s">
        <v>201</v>
      </c>
      <c r="J462" s="45" t="s">
        <v>1172</v>
      </c>
      <c r="K462" s="45" t="n">
        <v>5</v>
      </c>
      <c r="L462" s="45" t="s">
        <v>263</v>
      </c>
      <c r="M462" s="45" t="s">
        <v>259</v>
      </c>
      <c r="N462" s="45" t="s">
        <v>57</v>
      </c>
      <c r="O462" s="47" t="n">
        <v>46164.0301736111</v>
      </c>
      <c r="P462" s="47" t="n">
        <v>46164.0336689815</v>
      </c>
    </row>
    <row r="463" customFormat="false" ht="15" hidden="false" customHeight="false" outlineLevel="0" collapsed="false">
      <c r="A463" s="45" t="n">
        <v>668</v>
      </c>
      <c r="B463" s="46" t="n">
        <v>46164</v>
      </c>
      <c r="C463" s="45" t="s">
        <v>133</v>
      </c>
      <c r="D463" s="45" t="s">
        <v>134</v>
      </c>
      <c r="E463" s="45" t="s">
        <v>405</v>
      </c>
      <c r="F463" s="45" t="s">
        <v>1173</v>
      </c>
      <c r="G463" s="46" t="n">
        <v>46163</v>
      </c>
      <c r="H463" s="45" t="s">
        <v>168</v>
      </c>
      <c r="I463" s="45" t="s">
        <v>191</v>
      </c>
      <c r="J463" s="45" t="s">
        <v>1174</v>
      </c>
      <c r="K463" s="45" t="n">
        <v>5.3</v>
      </c>
      <c r="L463" s="45" t="s">
        <v>263</v>
      </c>
      <c r="M463" s="45" t="s">
        <v>259</v>
      </c>
      <c r="N463" s="45" t="s">
        <v>264</v>
      </c>
      <c r="O463" s="47" t="n">
        <v>46164.0337037037</v>
      </c>
      <c r="P463" s="47" t="n">
        <v>46164.0373611111</v>
      </c>
    </row>
    <row r="464" customFormat="false" ht="15" hidden="false" customHeight="false" outlineLevel="0" collapsed="false">
      <c r="A464" s="45" t="n">
        <v>669</v>
      </c>
      <c r="B464" s="46" t="n">
        <v>46164</v>
      </c>
      <c r="C464" s="45" t="s">
        <v>133</v>
      </c>
      <c r="D464" s="45" t="s">
        <v>134</v>
      </c>
      <c r="E464" s="45" t="s">
        <v>238</v>
      </c>
      <c r="F464" s="45" t="s">
        <v>1175</v>
      </c>
      <c r="G464" s="46" t="n">
        <v>46163</v>
      </c>
      <c r="H464" s="45" t="s">
        <v>168</v>
      </c>
      <c r="I464" s="45" t="s">
        <v>191</v>
      </c>
      <c r="J464" s="45" t="s">
        <v>1176</v>
      </c>
      <c r="K464" s="45" t="n">
        <v>6.9</v>
      </c>
      <c r="L464" s="45" t="s">
        <v>263</v>
      </c>
      <c r="M464" s="45" t="s">
        <v>259</v>
      </c>
      <c r="N464" s="45" t="s">
        <v>264</v>
      </c>
      <c r="O464" s="47" t="n">
        <v>46164.0374537037</v>
      </c>
      <c r="P464" s="47" t="n">
        <v>46164.0422453704</v>
      </c>
    </row>
    <row r="465" customFormat="false" ht="15" hidden="false" customHeight="false" outlineLevel="0" collapsed="false">
      <c r="A465" s="45" t="n">
        <v>670</v>
      </c>
      <c r="B465" s="46" t="n">
        <v>46164</v>
      </c>
      <c r="C465" s="45" t="s">
        <v>133</v>
      </c>
      <c r="D465" s="45" t="s">
        <v>134</v>
      </c>
      <c r="E465" s="45" t="s">
        <v>231</v>
      </c>
      <c r="F465" s="45" t="s">
        <v>1177</v>
      </c>
      <c r="G465" s="46" t="n">
        <v>46163</v>
      </c>
      <c r="H465" s="45" t="s">
        <v>167</v>
      </c>
      <c r="I465" s="45" t="s">
        <v>175</v>
      </c>
      <c r="J465" s="45" t="s">
        <v>1178</v>
      </c>
      <c r="K465" s="45" t="n">
        <v>21.4</v>
      </c>
      <c r="L465" s="45" t="s">
        <v>263</v>
      </c>
      <c r="M465" s="45" t="s">
        <v>259</v>
      </c>
      <c r="N465" s="45" t="s">
        <v>167</v>
      </c>
      <c r="O465" s="47" t="n">
        <v>46164.0422916667</v>
      </c>
      <c r="P465" s="47" t="n">
        <v>46164.0571527778</v>
      </c>
    </row>
    <row r="466" customFormat="false" ht="15" hidden="false" customHeight="false" outlineLevel="0" collapsed="false">
      <c r="A466" s="45" t="n">
        <v>671</v>
      </c>
      <c r="B466" s="46" t="n">
        <v>46164</v>
      </c>
      <c r="C466" s="45" t="s">
        <v>133</v>
      </c>
      <c r="D466" s="45" t="s">
        <v>134</v>
      </c>
      <c r="E466" s="45" t="s">
        <v>238</v>
      </c>
      <c r="F466" s="45" t="s">
        <v>1179</v>
      </c>
      <c r="G466" s="46" t="n">
        <v>46163</v>
      </c>
      <c r="H466" s="45" t="s">
        <v>169</v>
      </c>
      <c r="I466" s="45"/>
      <c r="J466" s="45"/>
      <c r="K466" s="45" t="n">
        <v>0.3</v>
      </c>
      <c r="L466" s="45" t="s">
        <v>263</v>
      </c>
      <c r="M466" s="45" t="s">
        <v>259</v>
      </c>
      <c r="N466" s="45" t="s">
        <v>169</v>
      </c>
      <c r="O466" s="47" t="n">
        <v>46164.0576273148</v>
      </c>
      <c r="P466" s="47" t="n">
        <v>46164.0578125</v>
      </c>
    </row>
    <row r="467" customFormat="false" ht="15" hidden="false" customHeight="false" outlineLevel="0" collapsed="false">
      <c r="A467" s="45" t="n">
        <v>672</v>
      </c>
      <c r="B467" s="46" t="n">
        <v>46164</v>
      </c>
      <c r="C467" s="45" t="s">
        <v>133</v>
      </c>
      <c r="D467" s="45" t="s">
        <v>134</v>
      </c>
      <c r="E467" s="45" t="s">
        <v>231</v>
      </c>
      <c r="F467" s="45" t="s">
        <v>1180</v>
      </c>
      <c r="G467" s="46" t="n">
        <v>46163</v>
      </c>
      <c r="H467" s="45" t="s">
        <v>167</v>
      </c>
      <c r="I467" s="45" t="s">
        <v>175</v>
      </c>
      <c r="J467" s="45" t="s">
        <v>1181</v>
      </c>
      <c r="K467" s="45" t="n">
        <v>37.4</v>
      </c>
      <c r="L467" s="45" t="s">
        <v>263</v>
      </c>
      <c r="M467" s="45" t="s">
        <v>259</v>
      </c>
      <c r="N467" s="45" t="s">
        <v>167</v>
      </c>
      <c r="O467" s="47" t="n">
        <v>46164.7277083333</v>
      </c>
      <c r="P467" s="47" t="n">
        <v>46164.7537037037</v>
      </c>
    </row>
    <row r="468" customFormat="false" ht="15" hidden="false" customHeight="false" outlineLevel="0" collapsed="false">
      <c r="A468" s="45" t="n">
        <v>673</v>
      </c>
      <c r="B468" s="46" t="n">
        <v>46166</v>
      </c>
      <c r="C468" s="45" t="s">
        <v>137</v>
      </c>
      <c r="D468" s="45" t="s">
        <v>138</v>
      </c>
      <c r="E468" s="45" t="s">
        <v>235</v>
      </c>
      <c r="F468" s="45" t="s">
        <v>1182</v>
      </c>
      <c r="G468" s="46" t="n">
        <v>46163</v>
      </c>
      <c r="H468" s="45" t="s">
        <v>167</v>
      </c>
      <c r="I468" s="45" t="s">
        <v>176</v>
      </c>
      <c r="J468" s="45" t="s">
        <v>1183</v>
      </c>
      <c r="K468" s="45" t="n">
        <v>2.8</v>
      </c>
      <c r="L468" s="45" t="s">
        <v>263</v>
      </c>
      <c r="M468" s="45" t="s">
        <v>259</v>
      </c>
      <c r="N468" s="45" t="s">
        <v>167</v>
      </c>
      <c r="O468" s="47" t="n">
        <v>46166.6888425926</v>
      </c>
      <c r="P468" s="47" t="n">
        <v>46166.690787037</v>
      </c>
    </row>
    <row r="469" customFormat="false" ht="15" hidden="false" customHeight="false" outlineLevel="0" collapsed="false">
      <c r="A469" s="45" t="n">
        <v>674</v>
      </c>
      <c r="B469" s="46" t="n">
        <v>46166</v>
      </c>
      <c r="C469" s="45" t="s">
        <v>137</v>
      </c>
      <c r="D469" s="45" t="s">
        <v>138</v>
      </c>
      <c r="E469" s="45" t="s">
        <v>235</v>
      </c>
      <c r="F469" s="45" t="s">
        <v>1184</v>
      </c>
      <c r="G469" s="46" t="n">
        <v>46162</v>
      </c>
      <c r="H469" s="45" t="s">
        <v>168</v>
      </c>
      <c r="I469" s="45" t="s">
        <v>193</v>
      </c>
      <c r="J469" s="45" t="s">
        <v>1185</v>
      </c>
      <c r="K469" s="45" t="n">
        <v>0.7</v>
      </c>
      <c r="L469" s="45" t="s">
        <v>263</v>
      </c>
      <c r="M469" s="45" t="s">
        <v>259</v>
      </c>
      <c r="N469" s="45" t="s">
        <v>264</v>
      </c>
      <c r="O469" s="47" t="n">
        <v>46166.6909953704</v>
      </c>
      <c r="P469" s="47" t="n">
        <v>46166.6914930556</v>
      </c>
    </row>
    <row r="470" customFormat="false" ht="15" hidden="false" customHeight="false" outlineLevel="0" collapsed="false">
      <c r="A470" s="45" t="n">
        <v>675</v>
      </c>
      <c r="B470" s="46" t="n">
        <v>46166</v>
      </c>
      <c r="C470" s="45" t="s">
        <v>137</v>
      </c>
      <c r="D470" s="45" t="s">
        <v>138</v>
      </c>
      <c r="E470" s="45" t="s">
        <v>496</v>
      </c>
      <c r="F470" s="45" t="s">
        <v>1186</v>
      </c>
      <c r="G470" s="46" t="n">
        <v>46143</v>
      </c>
      <c r="H470" s="45" t="s">
        <v>168</v>
      </c>
      <c r="I470" s="45" t="s">
        <v>191</v>
      </c>
      <c r="J470" s="45" t="s">
        <v>1187</v>
      </c>
      <c r="K470" s="45" t="n">
        <v>0.9</v>
      </c>
      <c r="L470" s="45" t="s">
        <v>263</v>
      </c>
      <c r="M470" s="45" t="s">
        <v>259</v>
      </c>
      <c r="N470" s="45" t="s">
        <v>264</v>
      </c>
      <c r="O470" s="47" t="n">
        <v>46166.691712963</v>
      </c>
      <c r="P470" s="47" t="n">
        <v>46166.6923148148</v>
      </c>
    </row>
    <row r="471" customFormat="false" ht="15" hidden="false" customHeight="false" outlineLevel="0" collapsed="false">
      <c r="A471" s="45" t="n">
        <v>676</v>
      </c>
      <c r="B471" s="46" t="n">
        <v>46166</v>
      </c>
      <c r="C471" s="45" t="s">
        <v>137</v>
      </c>
      <c r="D471" s="45" t="s">
        <v>138</v>
      </c>
      <c r="E471" s="45" t="s">
        <v>449</v>
      </c>
      <c r="F471" s="45" t="s">
        <v>1188</v>
      </c>
      <c r="G471" s="46" t="n">
        <v>46140</v>
      </c>
      <c r="H471" s="45" t="s">
        <v>168</v>
      </c>
      <c r="I471" s="45" t="s">
        <v>191</v>
      </c>
      <c r="J471" s="45" t="s">
        <v>1189</v>
      </c>
      <c r="K471" s="45" t="n">
        <v>0.5</v>
      </c>
      <c r="L471" s="45" t="s">
        <v>263</v>
      </c>
      <c r="M471" s="45" t="s">
        <v>259</v>
      </c>
      <c r="N471" s="45" t="s">
        <v>264</v>
      </c>
      <c r="O471" s="47" t="n">
        <v>46166.6925347222</v>
      </c>
      <c r="P471" s="47" t="n">
        <v>46166.6928819444</v>
      </c>
    </row>
    <row r="472" customFormat="false" ht="15" hidden="false" customHeight="false" outlineLevel="0" collapsed="false">
      <c r="A472" s="45" t="n">
        <v>677</v>
      </c>
      <c r="B472" s="46" t="n">
        <v>46166</v>
      </c>
      <c r="C472" s="45" t="s">
        <v>137</v>
      </c>
      <c r="D472" s="45" t="s">
        <v>138</v>
      </c>
      <c r="E472" s="45" t="s">
        <v>338</v>
      </c>
      <c r="F472" s="45" t="s">
        <v>1190</v>
      </c>
      <c r="G472" s="46" t="n">
        <v>46139</v>
      </c>
      <c r="H472" s="45" t="s">
        <v>167</v>
      </c>
      <c r="I472" s="45" t="s">
        <v>176</v>
      </c>
      <c r="J472" s="45" t="s">
        <v>1191</v>
      </c>
      <c r="K472" s="45" t="n">
        <v>0.7</v>
      </c>
      <c r="L472" s="45" t="s">
        <v>263</v>
      </c>
      <c r="M472" s="45" t="s">
        <v>259</v>
      </c>
      <c r="N472" s="45" t="s">
        <v>167</v>
      </c>
      <c r="O472" s="47" t="n">
        <v>46166.6931018519</v>
      </c>
      <c r="P472" s="47" t="n">
        <v>46166.6935648148</v>
      </c>
    </row>
    <row r="473" customFormat="false" ht="15" hidden="false" customHeight="false" outlineLevel="0" collapsed="false">
      <c r="A473" s="45" t="n">
        <v>678</v>
      </c>
      <c r="B473" s="46" t="n">
        <v>46166</v>
      </c>
      <c r="C473" s="45" t="s">
        <v>137</v>
      </c>
      <c r="D473" s="45" t="s">
        <v>138</v>
      </c>
      <c r="E473" s="45" t="s">
        <v>312</v>
      </c>
      <c r="F473" s="45" t="s">
        <v>1192</v>
      </c>
      <c r="G473" s="46" t="n">
        <v>46156</v>
      </c>
      <c r="H473" s="45" t="s">
        <v>167</v>
      </c>
      <c r="I473" s="45" t="s">
        <v>175</v>
      </c>
      <c r="J473" s="45" t="s">
        <v>874</v>
      </c>
      <c r="K473" s="45" t="n">
        <v>0.5</v>
      </c>
      <c r="L473" s="45" t="s">
        <v>263</v>
      </c>
      <c r="M473" s="45" t="s">
        <v>259</v>
      </c>
      <c r="N473" s="45" t="s">
        <v>167</v>
      </c>
      <c r="O473" s="47" t="n">
        <v>46166.6938078704</v>
      </c>
      <c r="P473" s="47" t="n">
        <v>46166.6941435185</v>
      </c>
    </row>
    <row r="474" customFormat="false" ht="15" hidden="false" customHeight="false" outlineLevel="0" collapsed="false">
      <c r="A474" s="45" t="n">
        <v>679</v>
      </c>
      <c r="B474" s="46" t="n">
        <v>46166</v>
      </c>
      <c r="C474" s="45" t="s">
        <v>137</v>
      </c>
      <c r="D474" s="45" t="s">
        <v>138</v>
      </c>
      <c r="E474" s="45" t="s">
        <v>235</v>
      </c>
      <c r="F474" s="45" t="s">
        <v>1193</v>
      </c>
      <c r="G474" s="46" t="n">
        <v>46136</v>
      </c>
      <c r="H474" s="45" t="s">
        <v>170</v>
      </c>
      <c r="I474" s="45" t="s">
        <v>209</v>
      </c>
      <c r="J474" s="45" t="s">
        <v>1194</v>
      </c>
      <c r="K474" s="45" t="n">
        <v>0.8</v>
      </c>
      <c r="L474" s="45" t="s">
        <v>263</v>
      </c>
      <c r="M474" s="45" t="s">
        <v>259</v>
      </c>
      <c r="N474" s="45" t="s">
        <v>478</v>
      </c>
      <c r="O474" s="47" t="n">
        <v>46166.6982060185</v>
      </c>
      <c r="P474" s="47" t="n">
        <v>46166.69875</v>
      </c>
    </row>
    <row r="475" customFormat="false" ht="15" hidden="false" customHeight="false" outlineLevel="0" collapsed="false">
      <c r="A475" s="45" t="n">
        <v>680</v>
      </c>
      <c r="B475" s="46" t="n">
        <v>46166</v>
      </c>
      <c r="C475" s="45" t="s">
        <v>137</v>
      </c>
      <c r="D475" s="45" t="s">
        <v>138</v>
      </c>
      <c r="E475" s="45" t="s">
        <v>449</v>
      </c>
      <c r="F475" s="45" t="s">
        <v>1195</v>
      </c>
      <c r="G475" s="46" t="n">
        <v>46136</v>
      </c>
      <c r="H475" s="45" t="s">
        <v>168</v>
      </c>
      <c r="I475" s="45" t="s">
        <v>195</v>
      </c>
      <c r="J475" s="45" t="s">
        <v>1196</v>
      </c>
      <c r="K475" s="45" t="n">
        <v>0.7</v>
      </c>
      <c r="L475" s="45" t="s">
        <v>263</v>
      </c>
      <c r="M475" s="45" t="s">
        <v>259</v>
      </c>
      <c r="N475" s="45" t="s">
        <v>264</v>
      </c>
      <c r="O475" s="47" t="n">
        <v>46166.6989467593</v>
      </c>
      <c r="P475" s="47" t="n">
        <v>46166.6994560185</v>
      </c>
    </row>
    <row r="476" customFormat="false" ht="15" hidden="false" customHeight="false" outlineLevel="0" collapsed="false">
      <c r="A476" s="45" t="n">
        <v>681</v>
      </c>
      <c r="B476" s="46" t="n">
        <v>46166</v>
      </c>
      <c r="C476" s="45" t="s">
        <v>137</v>
      </c>
      <c r="D476" s="45" t="s">
        <v>138</v>
      </c>
      <c r="E476" s="45" t="s">
        <v>309</v>
      </c>
      <c r="F476" s="45" t="s">
        <v>1197</v>
      </c>
      <c r="G476" s="46" t="n">
        <v>46135</v>
      </c>
      <c r="H476" s="45" t="s">
        <v>167</v>
      </c>
      <c r="I476" s="45" t="s">
        <v>177</v>
      </c>
      <c r="J476" s="45" t="s">
        <v>1198</v>
      </c>
      <c r="K476" s="45" t="n">
        <v>0.8</v>
      </c>
      <c r="L476" s="45" t="s">
        <v>263</v>
      </c>
      <c r="M476" s="45" t="s">
        <v>259</v>
      </c>
      <c r="N476" s="45" t="s">
        <v>167</v>
      </c>
      <c r="O476" s="47" t="n">
        <v>46166.6997222222</v>
      </c>
      <c r="P476" s="47" t="n">
        <v>46166.7003009259</v>
      </c>
    </row>
    <row r="477" customFormat="false" ht="15" hidden="false" customHeight="false" outlineLevel="0" collapsed="false">
      <c r="A477" s="45" t="n">
        <v>682</v>
      </c>
      <c r="B477" s="46" t="n">
        <v>46166</v>
      </c>
      <c r="C477" s="45" t="s">
        <v>137</v>
      </c>
      <c r="D477" s="45" t="s">
        <v>138</v>
      </c>
      <c r="E477" s="45" t="s">
        <v>453</v>
      </c>
      <c r="F477" s="45" t="s">
        <v>1199</v>
      </c>
      <c r="G477" s="46" t="n">
        <v>46135</v>
      </c>
      <c r="H477" s="45" t="s">
        <v>168</v>
      </c>
      <c r="I477" s="45" t="s">
        <v>192</v>
      </c>
      <c r="J477" s="45" t="s">
        <v>1200</v>
      </c>
      <c r="K477" s="45" t="n">
        <v>0.8</v>
      </c>
      <c r="L477" s="45" t="s">
        <v>263</v>
      </c>
      <c r="M477" s="45" t="s">
        <v>259</v>
      </c>
      <c r="N477" s="45" t="s">
        <v>264</v>
      </c>
      <c r="O477" s="47" t="n">
        <v>46166.7009490741</v>
      </c>
      <c r="P477" s="47" t="n">
        <v>46166.7015393519</v>
      </c>
    </row>
    <row r="478" customFormat="false" ht="15" hidden="false" customHeight="false" outlineLevel="0" collapsed="false">
      <c r="A478" s="45" t="n">
        <v>683</v>
      </c>
      <c r="B478" s="46" t="n">
        <v>46166</v>
      </c>
      <c r="C478" s="45" t="s">
        <v>137</v>
      </c>
      <c r="D478" s="45" t="s">
        <v>138</v>
      </c>
      <c r="E478" s="45" t="s">
        <v>453</v>
      </c>
      <c r="F478" s="45" t="s">
        <v>1201</v>
      </c>
      <c r="G478" s="46" t="n">
        <v>46131</v>
      </c>
      <c r="H478" s="45" t="s">
        <v>167</v>
      </c>
      <c r="I478" s="45" t="s">
        <v>175</v>
      </c>
      <c r="J478" s="45" t="s">
        <v>1202</v>
      </c>
      <c r="K478" s="45" t="n">
        <v>1.1</v>
      </c>
      <c r="L478" s="45" t="s">
        <v>263</v>
      </c>
      <c r="M478" s="45" t="s">
        <v>259</v>
      </c>
      <c r="N478" s="45" t="s">
        <v>167</v>
      </c>
      <c r="O478" s="47" t="n">
        <v>46166.7016435185</v>
      </c>
      <c r="P478" s="47" t="n">
        <v>46166.7023958333</v>
      </c>
    </row>
    <row r="479" customFormat="false" ht="15" hidden="false" customHeight="false" outlineLevel="0" collapsed="false">
      <c r="A479" s="45" t="n">
        <v>684</v>
      </c>
      <c r="B479" s="46" t="n">
        <v>46166</v>
      </c>
      <c r="C479" s="45" t="s">
        <v>137</v>
      </c>
      <c r="D479" s="45" t="s">
        <v>138</v>
      </c>
      <c r="E479" s="45" t="s">
        <v>229</v>
      </c>
      <c r="F479" s="45" t="s">
        <v>1203</v>
      </c>
      <c r="G479" s="46" t="n">
        <v>46134</v>
      </c>
      <c r="H479" s="45" t="s">
        <v>167</v>
      </c>
      <c r="I479" s="45" t="s">
        <v>175</v>
      </c>
      <c r="J479" s="45" t="s">
        <v>874</v>
      </c>
      <c r="K479" s="45" t="n">
        <v>0.5</v>
      </c>
      <c r="L479" s="45" t="s">
        <v>263</v>
      </c>
      <c r="M479" s="45" t="s">
        <v>259</v>
      </c>
      <c r="N479" s="45" t="s">
        <v>167</v>
      </c>
      <c r="O479" s="47" t="n">
        <v>46166.7025694445</v>
      </c>
      <c r="P479" s="47" t="n">
        <v>46166.7028819445</v>
      </c>
    </row>
    <row r="480" customFormat="false" ht="15" hidden="false" customHeight="false" outlineLevel="0" collapsed="false">
      <c r="A480" s="45" t="n">
        <v>685</v>
      </c>
      <c r="B480" s="46" t="n">
        <v>46166</v>
      </c>
      <c r="C480" s="45" t="s">
        <v>137</v>
      </c>
      <c r="D480" s="45" t="s">
        <v>138</v>
      </c>
      <c r="E480" s="45" t="s">
        <v>449</v>
      </c>
      <c r="F480" s="45" t="s">
        <v>1204</v>
      </c>
      <c r="G480" s="46" t="n">
        <v>46141</v>
      </c>
      <c r="H480" s="45" t="s">
        <v>168</v>
      </c>
      <c r="I480" s="45" t="s">
        <v>191</v>
      </c>
      <c r="J480" s="45" t="s">
        <v>1205</v>
      </c>
      <c r="K480" s="45" t="n">
        <v>0.4</v>
      </c>
      <c r="L480" s="45" t="s">
        <v>263</v>
      </c>
      <c r="M480" s="45" t="s">
        <v>259</v>
      </c>
      <c r="N480" s="45" t="s">
        <v>264</v>
      </c>
      <c r="O480" s="47" t="n">
        <v>46166.7031597222</v>
      </c>
      <c r="P480" s="47" t="n">
        <v>46166.7034143519</v>
      </c>
    </row>
    <row r="481" customFormat="false" ht="15" hidden="false" customHeight="false" outlineLevel="0" collapsed="false">
      <c r="A481" s="45" t="n">
        <v>686</v>
      </c>
      <c r="B481" s="46" t="n">
        <v>46166</v>
      </c>
      <c r="C481" s="45" t="s">
        <v>137</v>
      </c>
      <c r="D481" s="45" t="s">
        <v>138</v>
      </c>
      <c r="E481" s="45" t="s">
        <v>235</v>
      </c>
      <c r="F481" s="45" t="s">
        <v>1206</v>
      </c>
      <c r="G481" s="46" t="n">
        <v>46157</v>
      </c>
      <c r="H481" s="45" t="s">
        <v>167</v>
      </c>
      <c r="I481" s="45" t="s">
        <v>176</v>
      </c>
      <c r="J481" s="45" t="s">
        <v>445</v>
      </c>
      <c r="K481" s="45" t="n">
        <v>0.5</v>
      </c>
      <c r="L481" s="45" t="s">
        <v>263</v>
      </c>
      <c r="M481" s="45" t="s">
        <v>259</v>
      </c>
      <c r="N481" s="45" t="s">
        <v>167</v>
      </c>
      <c r="O481" s="47" t="n">
        <v>46166.7060763889</v>
      </c>
      <c r="P481" s="47" t="n">
        <v>46166.7064351852</v>
      </c>
    </row>
    <row r="482" customFormat="false" ht="15" hidden="false" customHeight="false" outlineLevel="0" collapsed="false">
      <c r="A482" s="45" t="n">
        <v>687</v>
      </c>
      <c r="B482" s="46" t="n">
        <v>46166</v>
      </c>
      <c r="C482" s="45" t="s">
        <v>137</v>
      </c>
      <c r="D482" s="45" t="s">
        <v>138</v>
      </c>
      <c r="E482" s="45" t="s">
        <v>235</v>
      </c>
      <c r="F482" s="45" t="s">
        <v>1207</v>
      </c>
      <c r="G482" s="46" t="n">
        <v>46156</v>
      </c>
      <c r="H482" s="45" t="s">
        <v>168</v>
      </c>
      <c r="I482" s="45" t="s">
        <v>192</v>
      </c>
      <c r="J482" s="45" t="s">
        <v>1208</v>
      </c>
      <c r="K482" s="45" t="n">
        <v>1.2</v>
      </c>
      <c r="L482" s="45" t="s">
        <v>263</v>
      </c>
      <c r="M482" s="45" t="s">
        <v>259</v>
      </c>
      <c r="N482" s="45" t="s">
        <v>264</v>
      </c>
      <c r="O482" s="47" t="n">
        <v>46166.7064583333</v>
      </c>
      <c r="P482" s="47" t="n">
        <v>46166.7073263889</v>
      </c>
    </row>
    <row r="483" customFormat="false" ht="15" hidden="false" customHeight="false" outlineLevel="0" collapsed="false">
      <c r="A483" s="45" t="n">
        <v>688</v>
      </c>
      <c r="B483" s="46" t="n">
        <v>46166</v>
      </c>
      <c r="C483" s="45" t="s">
        <v>137</v>
      </c>
      <c r="D483" s="45" t="s">
        <v>138</v>
      </c>
      <c r="E483" s="45" t="s">
        <v>229</v>
      </c>
      <c r="F483" s="45" t="s">
        <v>1209</v>
      </c>
      <c r="G483" s="46" t="n">
        <v>46163</v>
      </c>
      <c r="H483" s="45" t="s">
        <v>167</v>
      </c>
      <c r="I483" s="45" t="s">
        <v>175</v>
      </c>
      <c r="J483" s="45" t="s">
        <v>1210</v>
      </c>
      <c r="K483" s="45" t="n">
        <v>0.7</v>
      </c>
      <c r="L483" s="45" t="s">
        <v>263</v>
      </c>
      <c r="M483" s="45" t="s">
        <v>259</v>
      </c>
      <c r="N483" s="45" t="s">
        <v>167</v>
      </c>
      <c r="O483" s="47" t="n">
        <v>46166.7079282407</v>
      </c>
      <c r="P483" s="47" t="n">
        <v>46166.7083796296</v>
      </c>
    </row>
    <row r="484" customFormat="false" ht="15" hidden="false" customHeight="false" outlineLevel="0" collapsed="false">
      <c r="A484" s="45" t="n">
        <v>689</v>
      </c>
      <c r="B484" s="46" t="n">
        <v>46166</v>
      </c>
      <c r="C484" s="45" t="s">
        <v>137</v>
      </c>
      <c r="D484" s="45" t="s">
        <v>138</v>
      </c>
      <c r="E484" s="45" t="s">
        <v>875</v>
      </c>
      <c r="F484" s="45" t="s">
        <v>1211</v>
      </c>
      <c r="G484" s="46" t="n">
        <v>46135</v>
      </c>
      <c r="H484" s="45" t="s">
        <v>167</v>
      </c>
      <c r="I484" s="45" t="s">
        <v>177</v>
      </c>
      <c r="J484" s="45" t="s">
        <v>1212</v>
      </c>
      <c r="K484" s="45" t="n">
        <v>0.4</v>
      </c>
      <c r="L484" s="45" t="s">
        <v>263</v>
      </c>
      <c r="M484" s="45" t="s">
        <v>259</v>
      </c>
      <c r="N484" s="45" t="s">
        <v>167</v>
      </c>
      <c r="O484" s="47" t="n">
        <v>46166.7084722222</v>
      </c>
      <c r="P484" s="47" t="n">
        <v>46166.7087268519</v>
      </c>
    </row>
    <row r="485" customFormat="false" ht="15" hidden="false" customHeight="false" outlineLevel="0" collapsed="false">
      <c r="A485" s="45" t="n">
        <v>690</v>
      </c>
      <c r="B485" s="46" t="n">
        <v>46166</v>
      </c>
      <c r="C485" s="45" t="s">
        <v>137</v>
      </c>
      <c r="D485" s="45" t="s">
        <v>138</v>
      </c>
      <c r="E485" s="45" t="s">
        <v>453</v>
      </c>
      <c r="F485" s="45" t="s">
        <v>1213</v>
      </c>
      <c r="G485" s="46" t="n">
        <v>46140</v>
      </c>
      <c r="H485" s="45" t="s">
        <v>168</v>
      </c>
      <c r="I485" s="45" t="s">
        <v>195</v>
      </c>
      <c r="J485" s="45" t="s">
        <v>1214</v>
      </c>
      <c r="K485" s="45" t="n">
        <v>0.9</v>
      </c>
      <c r="L485" s="45" t="s">
        <v>263</v>
      </c>
      <c r="M485" s="45" t="s">
        <v>259</v>
      </c>
      <c r="N485" s="45" t="s">
        <v>264</v>
      </c>
      <c r="O485" s="47" t="n">
        <v>46166.7088541667</v>
      </c>
      <c r="P485" s="47" t="n">
        <v>46166.7094791667</v>
      </c>
    </row>
    <row r="486" customFormat="false" ht="15" hidden="false" customHeight="false" outlineLevel="0" collapsed="false">
      <c r="A486" s="45" t="n">
        <v>691</v>
      </c>
      <c r="B486" s="46" t="n">
        <v>46166</v>
      </c>
      <c r="C486" s="45" t="s">
        <v>137</v>
      </c>
      <c r="D486" s="45" t="s">
        <v>138</v>
      </c>
      <c r="E486" s="45" t="s">
        <v>338</v>
      </c>
      <c r="F486" s="45" t="s">
        <v>1215</v>
      </c>
      <c r="G486" s="46" t="n">
        <v>46156</v>
      </c>
      <c r="H486" s="45" t="s">
        <v>167</v>
      </c>
      <c r="I486" s="45" t="s">
        <v>177</v>
      </c>
      <c r="J486" s="45" t="s">
        <v>1216</v>
      </c>
      <c r="K486" s="45" t="n">
        <v>0.3</v>
      </c>
      <c r="L486" s="45" t="s">
        <v>263</v>
      </c>
      <c r="M486" s="45" t="s">
        <v>259</v>
      </c>
      <c r="N486" s="45" t="s">
        <v>167</v>
      </c>
      <c r="O486" s="47" t="n">
        <v>46166.7097569444</v>
      </c>
      <c r="P486" s="47" t="n">
        <v>46166.7099537037</v>
      </c>
    </row>
    <row r="487" customFormat="false" ht="15" hidden="false" customHeight="false" outlineLevel="0" collapsed="false">
      <c r="A487" s="45" t="n">
        <v>692</v>
      </c>
      <c r="B487" s="46" t="n">
        <v>46166</v>
      </c>
      <c r="C487" s="45" t="s">
        <v>137</v>
      </c>
      <c r="D487" s="45" t="s">
        <v>138</v>
      </c>
      <c r="E487" s="45" t="s">
        <v>309</v>
      </c>
      <c r="F487" s="45" t="s">
        <v>1217</v>
      </c>
      <c r="G487" s="46" t="n">
        <v>46139</v>
      </c>
      <c r="H487" s="45" t="s">
        <v>167</v>
      </c>
      <c r="I487" s="45" t="s">
        <v>177</v>
      </c>
      <c r="J487" s="45" t="s">
        <v>1218</v>
      </c>
      <c r="K487" s="45" t="n">
        <v>0.3</v>
      </c>
      <c r="L487" s="45" t="s">
        <v>263</v>
      </c>
      <c r="M487" s="45" t="s">
        <v>259</v>
      </c>
      <c r="N487" s="45" t="s">
        <v>167</v>
      </c>
      <c r="O487" s="47" t="n">
        <v>46166.7101157407</v>
      </c>
      <c r="P487" s="47" t="n">
        <v>46166.7103240741</v>
      </c>
    </row>
    <row r="488" customFormat="false" ht="15" hidden="false" customHeight="false" outlineLevel="0" collapsed="false">
      <c r="A488" s="45" t="n">
        <v>693</v>
      </c>
      <c r="B488" s="46" t="n">
        <v>46166</v>
      </c>
      <c r="C488" s="45" t="s">
        <v>137</v>
      </c>
      <c r="D488" s="45" t="s">
        <v>138</v>
      </c>
      <c r="E488" s="45" t="s">
        <v>449</v>
      </c>
      <c r="F488" s="45" t="s">
        <v>1219</v>
      </c>
      <c r="G488" s="46" t="n">
        <v>46156</v>
      </c>
      <c r="H488" s="45" t="s">
        <v>167</v>
      </c>
      <c r="I488" s="45" t="s">
        <v>182</v>
      </c>
      <c r="J488" s="45" t="s">
        <v>1220</v>
      </c>
      <c r="K488" s="45" t="n">
        <v>0.3</v>
      </c>
      <c r="L488" s="45" t="s">
        <v>263</v>
      </c>
      <c r="M488" s="45" t="s">
        <v>259</v>
      </c>
      <c r="N488" s="45" t="s">
        <v>167</v>
      </c>
      <c r="O488" s="47" t="n">
        <v>46166.7105787037</v>
      </c>
      <c r="P488" s="47" t="n">
        <v>46166.7108217593</v>
      </c>
    </row>
    <row r="489" customFormat="false" ht="15" hidden="false" customHeight="false" outlineLevel="0" collapsed="false">
      <c r="A489" s="45" t="n">
        <v>694</v>
      </c>
      <c r="B489" s="46" t="n">
        <v>46166</v>
      </c>
      <c r="C489" s="45" t="s">
        <v>137</v>
      </c>
      <c r="D489" s="45" t="s">
        <v>138</v>
      </c>
      <c r="E489" s="45" t="s">
        <v>875</v>
      </c>
      <c r="F489" s="45" t="s">
        <v>1221</v>
      </c>
      <c r="G489" s="46" t="n">
        <v>46149</v>
      </c>
      <c r="H489" s="45" t="s">
        <v>167</v>
      </c>
      <c r="I489" s="45" t="s">
        <v>182</v>
      </c>
      <c r="J489" s="45" t="s">
        <v>1222</v>
      </c>
      <c r="K489" s="45" t="n">
        <v>0.6</v>
      </c>
      <c r="L489" s="45" t="s">
        <v>263</v>
      </c>
      <c r="M489" s="45" t="s">
        <v>259</v>
      </c>
      <c r="N489" s="45" t="s">
        <v>167</v>
      </c>
      <c r="O489" s="47" t="n">
        <v>46166.7108449074</v>
      </c>
      <c r="P489" s="47" t="n">
        <v>46166.7112268519</v>
      </c>
    </row>
    <row r="490" customFormat="false" ht="15" hidden="false" customHeight="false" outlineLevel="0" collapsed="false">
      <c r="A490" s="45" t="n">
        <v>695</v>
      </c>
      <c r="B490" s="46" t="n">
        <v>46166</v>
      </c>
      <c r="C490" s="45" t="s">
        <v>137</v>
      </c>
      <c r="D490" s="45" t="s">
        <v>138</v>
      </c>
      <c r="E490" s="45" t="s">
        <v>453</v>
      </c>
      <c r="F490" s="45" t="s">
        <v>1223</v>
      </c>
      <c r="G490" s="46" t="n">
        <v>46136</v>
      </c>
      <c r="H490" s="45" t="s">
        <v>168</v>
      </c>
      <c r="I490" s="45" t="s">
        <v>191</v>
      </c>
      <c r="J490" s="45" t="s">
        <v>1205</v>
      </c>
      <c r="K490" s="45" t="n">
        <v>1.1</v>
      </c>
      <c r="L490" s="45" t="s">
        <v>263</v>
      </c>
      <c r="M490" s="45" t="s">
        <v>259</v>
      </c>
      <c r="N490" s="45" t="s">
        <v>264</v>
      </c>
      <c r="O490" s="47" t="n">
        <v>46166.7112384259</v>
      </c>
      <c r="P490" s="47" t="n">
        <v>46166.7119791667</v>
      </c>
    </row>
    <row r="491" customFormat="false" ht="15" hidden="false" customHeight="false" outlineLevel="0" collapsed="false">
      <c r="A491" s="45" t="n">
        <v>696</v>
      </c>
      <c r="B491" s="46" t="n">
        <v>46166</v>
      </c>
      <c r="C491" s="45" t="s">
        <v>137</v>
      </c>
      <c r="D491" s="45" t="s">
        <v>138</v>
      </c>
      <c r="E491" s="45" t="s">
        <v>453</v>
      </c>
      <c r="F491" s="45" t="s">
        <v>1224</v>
      </c>
      <c r="G491" s="46" t="n">
        <v>46162</v>
      </c>
      <c r="H491" s="45" t="s">
        <v>167</v>
      </c>
      <c r="I491" s="45" t="s">
        <v>177</v>
      </c>
      <c r="J491" s="45" t="s">
        <v>1225</v>
      </c>
      <c r="K491" s="45" t="n">
        <v>0.5</v>
      </c>
      <c r="L491" s="45" t="s">
        <v>263</v>
      </c>
      <c r="M491" s="45" t="s">
        <v>259</v>
      </c>
      <c r="N491" s="45" t="s">
        <v>167</v>
      </c>
      <c r="O491" s="47" t="n">
        <v>46166.7121064815</v>
      </c>
      <c r="P491" s="47" t="n">
        <v>46166.7124189815</v>
      </c>
    </row>
    <row r="492" customFormat="false" ht="15" hidden="false" customHeight="false" outlineLevel="0" collapsed="false">
      <c r="A492" s="45" t="n">
        <v>697</v>
      </c>
      <c r="B492" s="46" t="n">
        <v>46166</v>
      </c>
      <c r="C492" s="45" t="s">
        <v>137</v>
      </c>
      <c r="D492" s="45" t="s">
        <v>138</v>
      </c>
      <c r="E492" s="45" t="s">
        <v>235</v>
      </c>
      <c r="F492" s="45" t="s">
        <v>1226</v>
      </c>
      <c r="G492" s="46" t="n">
        <v>46143</v>
      </c>
      <c r="H492" s="45" t="s">
        <v>167</v>
      </c>
      <c r="I492" s="45" t="s">
        <v>176</v>
      </c>
      <c r="J492" s="45" t="s">
        <v>1227</v>
      </c>
      <c r="K492" s="45" t="n">
        <v>0.3</v>
      </c>
      <c r="L492" s="45" t="s">
        <v>263</v>
      </c>
      <c r="M492" s="45" t="s">
        <v>259</v>
      </c>
      <c r="N492" s="45" t="s">
        <v>167</v>
      </c>
      <c r="O492" s="47" t="n">
        <v>46166.7125115741</v>
      </c>
      <c r="P492" s="47" t="n">
        <v>46166.7126967593</v>
      </c>
    </row>
    <row r="493" customFormat="false" ht="15" hidden="false" customHeight="false" outlineLevel="0" collapsed="false">
      <c r="A493" s="45" t="n">
        <v>698</v>
      </c>
      <c r="B493" s="46" t="n">
        <v>46166</v>
      </c>
      <c r="C493" s="45" t="s">
        <v>137</v>
      </c>
      <c r="D493" s="45" t="s">
        <v>138</v>
      </c>
      <c r="E493" s="45" t="s">
        <v>496</v>
      </c>
      <c r="F493" s="45" t="s">
        <v>1228</v>
      </c>
      <c r="G493" s="46" t="n">
        <v>46163</v>
      </c>
      <c r="H493" s="45" t="s">
        <v>167</v>
      </c>
      <c r="I493" s="45" t="s">
        <v>176</v>
      </c>
      <c r="J493" s="45" t="s">
        <v>1229</v>
      </c>
      <c r="K493" s="45" t="n">
        <v>0.3</v>
      </c>
      <c r="L493" s="45" t="s">
        <v>263</v>
      </c>
      <c r="M493" s="45" t="s">
        <v>259</v>
      </c>
      <c r="N493" s="45" t="s">
        <v>167</v>
      </c>
      <c r="O493" s="47" t="n">
        <v>46166.7128935185</v>
      </c>
      <c r="P493" s="47" t="n">
        <v>46166.713125</v>
      </c>
    </row>
    <row r="494" customFormat="false" ht="15" hidden="false" customHeight="false" outlineLevel="0" collapsed="false">
      <c r="A494" s="45" t="n">
        <v>699</v>
      </c>
      <c r="B494" s="46" t="n">
        <v>46166</v>
      </c>
      <c r="C494" s="45" t="s">
        <v>137</v>
      </c>
      <c r="D494" s="45" t="s">
        <v>138</v>
      </c>
      <c r="E494" s="45" t="s">
        <v>229</v>
      </c>
      <c r="F494" s="45" t="s">
        <v>1230</v>
      </c>
      <c r="G494" s="46" t="n">
        <v>46149</v>
      </c>
      <c r="H494" s="45" t="s">
        <v>167</v>
      </c>
      <c r="I494" s="45" t="s">
        <v>177</v>
      </c>
      <c r="J494" s="45" t="s">
        <v>1231</v>
      </c>
      <c r="K494" s="45" t="n">
        <v>0.6</v>
      </c>
      <c r="L494" s="45" t="s">
        <v>263</v>
      </c>
      <c r="M494" s="45" t="s">
        <v>259</v>
      </c>
      <c r="N494" s="45" t="s">
        <v>167</v>
      </c>
      <c r="O494" s="47" t="n">
        <v>46166.7132060185</v>
      </c>
      <c r="P494" s="47" t="n">
        <v>46166.7136111111</v>
      </c>
    </row>
    <row r="495" customFormat="false" ht="15" hidden="false" customHeight="false" outlineLevel="0" collapsed="false">
      <c r="A495" s="45" t="n">
        <v>700</v>
      </c>
      <c r="B495" s="46" t="n">
        <v>46166</v>
      </c>
      <c r="C495" s="45" t="s">
        <v>137</v>
      </c>
      <c r="D495" s="45" t="s">
        <v>138</v>
      </c>
      <c r="E495" s="45" t="s">
        <v>235</v>
      </c>
      <c r="F495" s="45" t="s">
        <v>1232</v>
      </c>
      <c r="G495" s="46" t="n">
        <v>46139</v>
      </c>
      <c r="H495" s="45" t="s">
        <v>167</v>
      </c>
      <c r="I495" s="45" t="s">
        <v>177</v>
      </c>
      <c r="J495" s="45" t="s">
        <v>1233</v>
      </c>
      <c r="K495" s="45" t="n">
        <v>0.5</v>
      </c>
      <c r="L495" s="45" t="s">
        <v>263</v>
      </c>
      <c r="M495" s="45" t="s">
        <v>259</v>
      </c>
      <c r="N495" s="45" t="s">
        <v>167</v>
      </c>
      <c r="O495" s="47" t="n">
        <v>46166.7137615741</v>
      </c>
      <c r="P495" s="47" t="n">
        <v>46166.7140972222</v>
      </c>
    </row>
    <row r="496" customFormat="false" ht="15" hidden="false" customHeight="false" outlineLevel="0" collapsed="false">
      <c r="A496" s="45" t="n">
        <v>701</v>
      </c>
      <c r="B496" s="46" t="n">
        <v>46166</v>
      </c>
      <c r="C496" s="45" t="s">
        <v>137</v>
      </c>
      <c r="D496" s="45" t="s">
        <v>138</v>
      </c>
      <c r="E496" s="45" t="s">
        <v>229</v>
      </c>
      <c r="F496" s="45" t="s">
        <v>1234</v>
      </c>
      <c r="G496" s="46" t="n">
        <v>46163</v>
      </c>
      <c r="H496" s="45" t="s">
        <v>167</v>
      </c>
      <c r="I496" s="45" t="s">
        <v>176</v>
      </c>
      <c r="J496" s="45" t="s">
        <v>1235</v>
      </c>
      <c r="K496" s="45" t="n">
        <v>1.6</v>
      </c>
      <c r="L496" s="45" t="s">
        <v>263</v>
      </c>
      <c r="M496" s="45" t="s">
        <v>259</v>
      </c>
      <c r="N496" s="45" t="s">
        <v>167</v>
      </c>
      <c r="O496" s="47" t="n">
        <v>46166.7141203704</v>
      </c>
      <c r="P496" s="47" t="n">
        <v>46166.7152546296</v>
      </c>
    </row>
    <row r="497" customFormat="false" ht="15" hidden="false" customHeight="false" outlineLevel="0" collapsed="false">
      <c r="A497" s="45" t="n">
        <v>702</v>
      </c>
      <c r="B497" s="46" t="n">
        <v>46166</v>
      </c>
      <c r="C497" s="45" t="s">
        <v>137</v>
      </c>
      <c r="D497" s="45" t="s">
        <v>138</v>
      </c>
      <c r="E497" s="45" t="s">
        <v>496</v>
      </c>
      <c r="F497" s="45" t="s">
        <v>1236</v>
      </c>
      <c r="G497" s="46" t="n">
        <v>46162</v>
      </c>
      <c r="H497" s="45" t="s">
        <v>167</v>
      </c>
      <c r="I497" s="45" t="s">
        <v>176</v>
      </c>
      <c r="J497" s="45" t="s">
        <v>1237</v>
      </c>
      <c r="K497" s="45" t="n">
        <v>0.6</v>
      </c>
      <c r="L497" s="45" t="s">
        <v>263</v>
      </c>
      <c r="M497" s="45" t="s">
        <v>259</v>
      </c>
      <c r="N497" s="45" t="s">
        <v>167</v>
      </c>
      <c r="O497" s="47" t="n">
        <v>46166.7153356482</v>
      </c>
      <c r="P497" s="47" t="n">
        <v>46166.7157638889</v>
      </c>
    </row>
    <row r="498" customFormat="false" ht="15" hidden="false" customHeight="false" outlineLevel="0" collapsed="false">
      <c r="A498" s="45" t="n">
        <v>703</v>
      </c>
      <c r="B498" s="46" t="n">
        <v>46166</v>
      </c>
      <c r="C498" s="45" t="s">
        <v>137</v>
      </c>
      <c r="D498" s="45" t="s">
        <v>138</v>
      </c>
      <c r="E498" s="45" t="s">
        <v>496</v>
      </c>
      <c r="F498" s="45" t="s">
        <v>1238</v>
      </c>
      <c r="G498" s="46" t="n">
        <v>46161</v>
      </c>
      <c r="H498" s="45" t="s">
        <v>167</v>
      </c>
      <c r="I498" s="45" t="s">
        <v>175</v>
      </c>
      <c r="J498" s="45" t="s">
        <v>1239</v>
      </c>
      <c r="K498" s="45" t="n">
        <v>0.9</v>
      </c>
      <c r="L498" s="45" t="s">
        <v>263</v>
      </c>
      <c r="M498" s="45" t="s">
        <v>259</v>
      </c>
      <c r="N498" s="45" t="s">
        <v>167</v>
      </c>
      <c r="O498" s="47" t="n">
        <v>46166.7158449074</v>
      </c>
      <c r="P498" s="47" t="n">
        <v>46166.7164467593</v>
      </c>
    </row>
    <row r="499" customFormat="false" ht="15" hidden="false" customHeight="false" outlineLevel="0" collapsed="false">
      <c r="A499" s="45" t="n">
        <v>704</v>
      </c>
      <c r="B499" s="46" t="n">
        <v>46166</v>
      </c>
      <c r="C499" s="45" t="s">
        <v>137</v>
      </c>
      <c r="D499" s="45" t="s">
        <v>138</v>
      </c>
      <c r="E499" s="45" t="s">
        <v>496</v>
      </c>
      <c r="F499" s="45" t="s">
        <v>1240</v>
      </c>
      <c r="G499" s="46" t="n">
        <v>46140</v>
      </c>
      <c r="H499" s="45" t="s">
        <v>168</v>
      </c>
      <c r="I499" s="45" t="s">
        <v>191</v>
      </c>
      <c r="J499" s="45" t="s">
        <v>1205</v>
      </c>
      <c r="K499" s="45" t="n">
        <v>0.4</v>
      </c>
      <c r="L499" s="45" t="s">
        <v>263</v>
      </c>
      <c r="M499" s="45" t="s">
        <v>259</v>
      </c>
      <c r="N499" s="45" t="s">
        <v>264</v>
      </c>
      <c r="O499" s="47" t="n">
        <v>46166.7165046296</v>
      </c>
      <c r="P499" s="47" t="n">
        <v>46166.7167592593</v>
      </c>
    </row>
    <row r="500" customFormat="false" ht="15" hidden="false" customHeight="false" outlineLevel="0" collapsed="false">
      <c r="A500" s="45" t="n">
        <v>705</v>
      </c>
      <c r="B500" s="46" t="n">
        <v>46166</v>
      </c>
      <c r="C500" s="45" t="s">
        <v>137</v>
      </c>
      <c r="D500" s="45" t="s">
        <v>138</v>
      </c>
      <c r="E500" s="45" t="s">
        <v>312</v>
      </c>
      <c r="F500" s="45" t="s">
        <v>1241</v>
      </c>
      <c r="G500" s="46" t="n">
        <v>46142</v>
      </c>
      <c r="H500" s="45" t="s">
        <v>167</v>
      </c>
      <c r="I500" s="45" t="s">
        <v>175</v>
      </c>
      <c r="J500" s="45" t="s">
        <v>1242</v>
      </c>
      <c r="K500" s="45" t="n">
        <v>0.5</v>
      </c>
      <c r="L500" s="45" t="s">
        <v>263</v>
      </c>
      <c r="M500" s="45" t="s">
        <v>259</v>
      </c>
      <c r="N500" s="45" t="s">
        <v>167</v>
      </c>
      <c r="O500" s="47" t="n">
        <v>46166.7167708333</v>
      </c>
      <c r="P500" s="47" t="n">
        <v>46166.7171412037</v>
      </c>
    </row>
    <row r="501" customFormat="false" ht="15" hidden="false" customHeight="false" outlineLevel="0" collapsed="false">
      <c r="A501" s="45" t="n">
        <v>706</v>
      </c>
      <c r="B501" s="46" t="n">
        <v>46166</v>
      </c>
      <c r="C501" s="45" t="s">
        <v>137</v>
      </c>
      <c r="D501" s="45" t="s">
        <v>138</v>
      </c>
      <c r="E501" s="45" t="s">
        <v>312</v>
      </c>
      <c r="F501" s="45" t="s">
        <v>1243</v>
      </c>
      <c r="G501" s="46" t="n">
        <v>46140</v>
      </c>
      <c r="H501" s="45" t="s">
        <v>168</v>
      </c>
      <c r="I501" s="45" t="s">
        <v>191</v>
      </c>
      <c r="J501" s="45" t="s">
        <v>1244</v>
      </c>
      <c r="K501" s="45" t="n">
        <v>0.4</v>
      </c>
      <c r="L501" s="45" t="s">
        <v>263</v>
      </c>
      <c r="M501" s="45" t="s">
        <v>259</v>
      </c>
      <c r="N501" s="45" t="s">
        <v>264</v>
      </c>
      <c r="O501" s="47" t="n">
        <v>46166.7171643519</v>
      </c>
      <c r="P501" s="47" t="n">
        <v>46166.7174652778</v>
      </c>
    </row>
    <row r="502" customFormat="false" ht="15" hidden="false" customHeight="false" outlineLevel="0" collapsed="false">
      <c r="A502" s="45" t="n">
        <v>707</v>
      </c>
      <c r="B502" s="46" t="n">
        <v>46166</v>
      </c>
      <c r="C502" s="45" t="s">
        <v>137</v>
      </c>
      <c r="D502" s="45" t="s">
        <v>138</v>
      </c>
      <c r="E502" s="45" t="s">
        <v>235</v>
      </c>
      <c r="F502" s="45" t="s">
        <v>1245</v>
      </c>
      <c r="G502" s="46" t="n">
        <v>46141</v>
      </c>
      <c r="H502" s="45" t="s">
        <v>167</v>
      </c>
      <c r="I502" s="45" t="s">
        <v>176</v>
      </c>
      <c r="J502" s="45" t="s">
        <v>1246</v>
      </c>
      <c r="K502" s="45" t="n">
        <v>0.5</v>
      </c>
      <c r="L502" s="45" t="s">
        <v>263</v>
      </c>
      <c r="M502" s="45" t="s">
        <v>259</v>
      </c>
      <c r="N502" s="45" t="s">
        <v>167</v>
      </c>
      <c r="O502" s="47" t="n">
        <v>46166.7174884259</v>
      </c>
      <c r="P502" s="47" t="n">
        <v>46166.7178125</v>
      </c>
    </row>
    <row r="503" customFormat="false" ht="15" hidden="false" customHeight="false" outlineLevel="0" collapsed="false">
      <c r="A503" s="45" t="n">
        <v>708</v>
      </c>
      <c r="B503" s="46" t="n">
        <v>46166</v>
      </c>
      <c r="C503" s="45" t="s">
        <v>137</v>
      </c>
      <c r="D503" s="45" t="s">
        <v>138</v>
      </c>
      <c r="E503" s="45" t="s">
        <v>309</v>
      </c>
      <c r="F503" s="45" t="s">
        <v>1247</v>
      </c>
      <c r="G503" s="46" t="n">
        <v>46170</v>
      </c>
      <c r="H503" s="45" t="s">
        <v>167</v>
      </c>
      <c r="I503" s="45" t="s">
        <v>182</v>
      </c>
      <c r="J503" s="45" t="s">
        <v>1248</v>
      </c>
      <c r="K503" s="45" t="n">
        <v>0.5</v>
      </c>
      <c r="L503" s="45" t="s">
        <v>263</v>
      </c>
      <c r="M503" s="45" t="s">
        <v>259</v>
      </c>
      <c r="N503" s="45" t="s">
        <v>167</v>
      </c>
      <c r="O503" s="47" t="n">
        <v>46166.7178356482</v>
      </c>
      <c r="P503" s="47" t="n">
        <v>46166.7181597222</v>
      </c>
    </row>
    <row r="504" customFormat="false" ht="15" hidden="false" customHeight="false" outlineLevel="0" collapsed="false">
      <c r="A504" s="45" t="n">
        <v>709</v>
      </c>
      <c r="B504" s="46" t="n">
        <v>46166</v>
      </c>
      <c r="C504" s="45" t="s">
        <v>137</v>
      </c>
      <c r="D504" s="45" t="s">
        <v>138</v>
      </c>
      <c r="E504" s="45" t="s">
        <v>309</v>
      </c>
      <c r="F504" s="45" t="s">
        <v>1249</v>
      </c>
      <c r="G504" s="46" t="n">
        <v>46163</v>
      </c>
      <c r="H504" s="45" t="s">
        <v>167</v>
      </c>
      <c r="I504" s="45" t="s">
        <v>177</v>
      </c>
      <c r="J504" s="45" t="s">
        <v>1250</v>
      </c>
      <c r="K504" s="45" t="n">
        <v>0.4</v>
      </c>
      <c r="L504" s="45" t="s">
        <v>263</v>
      </c>
      <c r="M504" s="45" t="s">
        <v>259</v>
      </c>
      <c r="N504" s="45" t="s">
        <v>167</v>
      </c>
      <c r="O504" s="47" t="n">
        <v>46166.7182291667</v>
      </c>
      <c r="P504" s="47" t="n">
        <v>46166.7185069445</v>
      </c>
    </row>
    <row r="505" customFormat="false" ht="15" hidden="false" customHeight="false" outlineLevel="0" collapsed="false">
      <c r="A505" s="45" t="n">
        <v>710</v>
      </c>
      <c r="B505" s="46" t="n">
        <v>46166</v>
      </c>
      <c r="C505" s="45" t="s">
        <v>137</v>
      </c>
      <c r="D505" s="45" t="s">
        <v>138</v>
      </c>
      <c r="E505" s="45" t="s">
        <v>449</v>
      </c>
      <c r="F505" s="45" t="s">
        <v>1251</v>
      </c>
      <c r="G505" s="46" t="n">
        <v>46139</v>
      </c>
      <c r="H505" s="45" t="s">
        <v>168</v>
      </c>
      <c r="I505" s="45" t="s">
        <v>191</v>
      </c>
      <c r="J505" s="45" t="s">
        <v>1244</v>
      </c>
      <c r="K505" s="45" t="n">
        <v>0.3</v>
      </c>
      <c r="L505" s="45" t="s">
        <v>263</v>
      </c>
      <c r="M505" s="45" t="s">
        <v>259</v>
      </c>
      <c r="N505" s="45" t="s">
        <v>264</v>
      </c>
      <c r="O505" s="47" t="n">
        <v>46166.7185763889</v>
      </c>
      <c r="P505" s="47" t="n">
        <v>46166.7188194445</v>
      </c>
    </row>
    <row r="506" customFormat="false" ht="15" hidden="false" customHeight="false" outlineLevel="0" collapsed="false">
      <c r="A506" s="45" t="n">
        <v>711</v>
      </c>
      <c r="B506" s="46" t="n">
        <v>46166</v>
      </c>
      <c r="C506" s="45" t="s">
        <v>137</v>
      </c>
      <c r="D506" s="45" t="s">
        <v>138</v>
      </c>
      <c r="E506" s="45" t="s">
        <v>449</v>
      </c>
      <c r="F506" s="45" t="s">
        <v>1252</v>
      </c>
      <c r="G506" s="46" t="n">
        <v>46143</v>
      </c>
      <c r="H506" s="45" t="s">
        <v>168</v>
      </c>
      <c r="I506" s="45" t="s">
        <v>191</v>
      </c>
      <c r="J506" s="45" t="s">
        <v>869</v>
      </c>
      <c r="K506" s="45" t="n">
        <v>0.3</v>
      </c>
      <c r="L506" s="45" t="s">
        <v>263</v>
      </c>
      <c r="M506" s="45" t="s">
        <v>259</v>
      </c>
      <c r="N506" s="45" t="s">
        <v>264</v>
      </c>
      <c r="O506" s="47" t="n">
        <v>46166.7188888889</v>
      </c>
      <c r="P506" s="47" t="n">
        <v>46166.7190972222</v>
      </c>
    </row>
    <row r="507" customFormat="false" ht="15" hidden="false" customHeight="false" outlineLevel="0" collapsed="false">
      <c r="A507" s="45" t="n">
        <v>712</v>
      </c>
      <c r="B507" s="46" t="n">
        <v>46166</v>
      </c>
      <c r="C507" s="45" t="s">
        <v>137</v>
      </c>
      <c r="D507" s="45" t="s">
        <v>138</v>
      </c>
      <c r="E507" s="45" t="s">
        <v>229</v>
      </c>
      <c r="F507" s="45" t="s">
        <v>1253</v>
      </c>
      <c r="G507" s="46" t="n">
        <v>46141</v>
      </c>
      <c r="H507" s="45" t="s">
        <v>167</v>
      </c>
      <c r="I507" s="45" t="s">
        <v>175</v>
      </c>
      <c r="J507" s="45" t="s">
        <v>1242</v>
      </c>
      <c r="K507" s="45" t="n">
        <v>0.6</v>
      </c>
      <c r="L507" s="45" t="s">
        <v>263</v>
      </c>
      <c r="M507" s="45" t="s">
        <v>259</v>
      </c>
      <c r="N507" s="45" t="s">
        <v>167</v>
      </c>
      <c r="O507" s="47" t="n">
        <v>46166.7191087963</v>
      </c>
      <c r="P507" s="47" t="n">
        <v>46166.7195486111</v>
      </c>
    </row>
    <row r="508" customFormat="false" ht="15" hidden="false" customHeight="false" outlineLevel="0" collapsed="false">
      <c r="A508" s="45" t="n">
        <v>713</v>
      </c>
      <c r="B508" s="46" t="n">
        <v>46166</v>
      </c>
      <c r="C508" s="45" t="s">
        <v>137</v>
      </c>
      <c r="D508" s="45" t="s">
        <v>138</v>
      </c>
      <c r="E508" s="45" t="s">
        <v>449</v>
      </c>
      <c r="F508" s="45" t="s">
        <v>1254</v>
      </c>
      <c r="G508" s="46" t="n">
        <v>46142</v>
      </c>
      <c r="H508" s="45" t="s">
        <v>167</v>
      </c>
      <c r="I508" s="45" t="s">
        <v>177</v>
      </c>
      <c r="J508" s="45" t="s">
        <v>1218</v>
      </c>
      <c r="K508" s="45" t="n">
        <v>0.4</v>
      </c>
      <c r="L508" s="45" t="s">
        <v>263</v>
      </c>
      <c r="M508" s="45" t="s">
        <v>259</v>
      </c>
      <c r="N508" s="45" t="s">
        <v>167</v>
      </c>
      <c r="O508" s="47" t="n">
        <v>46166.7195717593</v>
      </c>
      <c r="P508" s="47" t="n">
        <v>46166.7198726852</v>
      </c>
    </row>
    <row r="509" customFormat="false" ht="15" hidden="false" customHeight="false" outlineLevel="0" collapsed="false">
      <c r="A509" s="45" t="n">
        <v>714</v>
      </c>
      <c r="B509" s="46" t="n">
        <v>46166</v>
      </c>
      <c r="C509" s="45" t="s">
        <v>137</v>
      </c>
      <c r="D509" s="45" t="s">
        <v>138</v>
      </c>
      <c r="E509" s="45" t="s">
        <v>229</v>
      </c>
      <c r="F509" s="45" t="s">
        <v>1255</v>
      </c>
      <c r="G509" s="46" t="n">
        <v>46142</v>
      </c>
      <c r="H509" s="45" t="s">
        <v>170</v>
      </c>
      <c r="I509" s="45" t="s">
        <v>207</v>
      </c>
      <c r="J509" s="45" t="s">
        <v>445</v>
      </c>
      <c r="K509" s="45" t="n">
        <v>0.4</v>
      </c>
      <c r="L509" s="45" t="s">
        <v>263</v>
      </c>
      <c r="M509" s="45" t="s">
        <v>259</v>
      </c>
      <c r="N509" s="45" t="s">
        <v>478</v>
      </c>
      <c r="O509" s="47" t="n">
        <v>46166.7198842593</v>
      </c>
      <c r="P509" s="47" t="n">
        <v>46166.720162037</v>
      </c>
    </row>
    <row r="510" customFormat="false" ht="15" hidden="false" customHeight="false" outlineLevel="0" collapsed="false">
      <c r="A510" s="45" t="n">
        <v>715</v>
      </c>
      <c r="B510" s="46" t="n">
        <v>46166</v>
      </c>
      <c r="C510" s="45" t="s">
        <v>137</v>
      </c>
      <c r="D510" s="45" t="s">
        <v>138</v>
      </c>
      <c r="E510" s="45" t="s">
        <v>235</v>
      </c>
      <c r="F510" s="45" t="s">
        <v>1256</v>
      </c>
      <c r="G510" s="46" t="n">
        <v>46142</v>
      </c>
      <c r="H510" s="45" t="s">
        <v>170</v>
      </c>
      <c r="I510" s="45" t="s">
        <v>207</v>
      </c>
      <c r="J510" s="45" t="s">
        <v>445</v>
      </c>
      <c r="K510" s="45" t="n">
        <v>0.3</v>
      </c>
      <c r="L510" s="45" t="s">
        <v>263</v>
      </c>
      <c r="M510" s="45" t="s">
        <v>259</v>
      </c>
      <c r="N510" s="45" t="s">
        <v>478</v>
      </c>
      <c r="O510" s="47" t="n">
        <v>46166.7202314815</v>
      </c>
      <c r="P510" s="47" t="n">
        <v>46166.7204282407</v>
      </c>
    </row>
    <row r="511" customFormat="false" ht="15" hidden="false" customHeight="false" outlineLevel="0" collapsed="false">
      <c r="A511" s="45" t="n">
        <v>716</v>
      </c>
      <c r="B511" s="46" t="n">
        <v>46166</v>
      </c>
      <c r="C511" s="45" t="s">
        <v>137</v>
      </c>
      <c r="D511" s="45" t="s">
        <v>138</v>
      </c>
      <c r="E511" s="45" t="s">
        <v>309</v>
      </c>
      <c r="F511" s="45" t="s">
        <v>1257</v>
      </c>
      <c r="G511" s="46" t="n">
        <v>46134</v>
      </c>
      <c r="H511" s="45" t="s">
        <v>170</v>
      </c>
      <c r="I511" s="45" t="s">
        <v>206</v>
      </c>
      <c r="J511" s="45" t="s">
        <v>445</v>
      </c>
      <c r="K511" s="45" t="n">
        <v>0.3</v>
      </c>
      <c r="L511" s="45" t="s">
        <v>263</v>
      </c>
      <c r="M511" s="45" t="s">
        <v>259</v>
      </c>
      <c r="N511" s="45" t="s">
        <v>478</v>
      </c>
      <c r="O511" s="47" t="n">
        <v>46166.7205092593</v>
      </c>
      <c r="P511" s="47" t="n">
        <v>46166.7207175926</v>
      </c>
    </row>
    <row r="512" customFormat="false" ht="15" hidden="false" customHeight="false" outlineLevel="0" collapsed="false">
      <c r="A512" s="45" t="n">
        <v>717</v>
      </c>
      <c r="B512" s="46" t="n">
        <v>46166</v>
      </c>
      <c r="C512" s="45" t="s">
        <v>137</v>
      </c>
      <c r="D512" s="45" t="s">
        <v>138</v>
      </c>
      <c r="E512" s="45" t="s">
        <v>309</v>
      </c>
      <c r="F512" s="45" t="s">
        <v>1258</v>
      </c>
      <c r="G512" s="46" t="n">
        <v>46134</v>
      </c>
      <c r="H512" s="45" t="s">
        <v>170</v>
      </c>
      <c r="I512" s="45" t="s">
        <v>207</v>
      </c>
      <c r="J512" s="45" t="s">
        <v>445</v>
      </c>
      <c r="K512" s="45" t="n">
        <v>0.4</v>
      </c>
      <c r="L512" s="45" t="s">
        <v>263</v>
      </c>
      <c r="M512" s="45" t="s">
        <v>259</v>
      </c>
      <c r="N512" s="45" t="s">
        <v>478</v>
      </c>
      <c r="O512" s="47" t="n">
        <v>46166.7207291667</v>
      </c>
      <c r="P512" s="47" t="n">
        <v>46166.7210069444</v>
      </c>
    </row>
    <row r="513" customFormat="false" ht="15" hidden="false" customHeight="false" outlineLevel="0" collapsed="false">
      <c r="A513" s="45" t="n">
        <v>718</v>
      </c>
      <c r="B513" s="46" t="n">
        <v>46166</v>
      </c>
      <c r="C513" s="45" t="s">
        <v>137</v>
      </c>
      <c r="D513" s="45" t="s">
        <v>138</v>
      </c>
      <c r="E513" s="45" t="s">
        <v>309</v>
      </c>
      <c r="F513" s="45" t="s">
        <v>1259</v>
      </c>
      <c r="G513" s="46" t="n">
        <v>46160</v>
      </c>
      <c r="H513" s="45" t="s">
        <v>167</v>
      </c>
      <c r="I513" s="45" t="s">
        <v>175</v>
      </c>
      <c r="J513" s="45" t="s">
        <v>1260</v>
      </c>
      <c r="K513" s="45" t="n">
        <v>0.3</v>
      </c>
      <c r="L513" s="45" t="s">
        <v>263</v>
      </c>
      <c r="M513" s="45" t="s">
        <v>259</v>
      </c>
      <c r="N513" s="45" t="s">
        <v>167</v>
      </c>
      <c r="O513" s="47" t="n">
        <v>46166.7210300926</v>
      </c>
      <c r="P513" s="47" t="n">
        <v>46166.7212268519</v>
      </c>
    </row>
    <row r="514" customFormat="false" ht="15" hidden="false" customHeight="false" outlineLevel="0" collapsed="false">
      <c r="A514" s="45" t="n">
        <v>719</v>
      </c>
      <c r="B514" s="46" t="n">
        <v>46167</v>
      </c>
      <c r="C514" s="45" t="s">
        <v>131</v>
      </c>
      <c r="D514" s="45" t="s">
        <v>132</v>
      </c>
      <c r="E514" s="45" t="s">
        <v>239</v>
      </c>
      <c r="F514" s="45" t="s">
        <v>1261</v>
      </c>
      <c r="G514" s="46" t="n">
        <v>46164</v>
      </c>
      <c r="H514" s="45" t="s">
        <v>167</v>
      </c>
      <c r="I514" s="45" t="s">
        <v>175</v>
      </c>
      <c r="J514" s="45" t="s">
        <v>1262</v>
      </c>
      <c r="K514" s="45" t="n">
        <v>3.2</v>
      </c>
      <c r="L514" s="45" t="s">
        <v>263</v>
      </c>
      <c r="M514" s="45" t="s">
        <v>259</v>
      </c>
      <c r="N514" s="45" t="s">
        <v>167</v>
      </c>
      <c r="O514" s="47" t="n">
        <v>46167.74625</v>
      </c>
      <c r="P514" s="47" t="n">
        <v>46167.7484722222</v>
      </c>
    </row>
    <row r="515" customFormat="false" ht="15" hidden="false" customHeight="false" outlineLevel="0" collapsed="false">
      <c r="A515" s="45" t="n">
        <v>720</v>
      </c>
      <c r="B515" s="46" t="n">
        <v>46167</v>
      </c>
      <c r="C515" s="45" t="s">
        <v>131</v>
      </c>
      <c r="D515" s="45" t="s">
        <v>132</v>
      </c>
      <c r="E515" s="45" t="s">
        <v>487</v>
      </c>
      <c r="F515" s="45" t="s">
        <v>1263</v>
      </c>
      <c r="G515" s="46" t="n">
        <v>46164</v>
      </c>
      <c r="H515" s="45" t="s">
        <v>167</v>
      </c>
      <c r="I515" s="45" t="s">
        <v>175</v>
      </c>
      <c r="J515" s="45" t="s">
        <v>1264</v>
      </c>
      <c r="K515" s="45" t="n">
        <v>1.5</v>
      </c>
      <c r="L515" s="45" t="s">
        <v>263</v>
      </c>
      <c r="M515" s="45" t="s">
        <v>259</v>
      </c>
      <c r="N515" s="45" t="s">
        <v>167</v>
      </c>
      <c r="O515" s="47" t="n">
        <v>46167.7495717593</v>
      </c>
      <c r="P515" s="47" t="n">
        <v>46167.7506365741</v>
      </c>
    </row>
    <row r="516" customFormat="false" ht="15" hidden="false" customHeight="false" outlineLevel="0" collapsed="false">
      <c r="A516" s="45" t="n">
        <v>721</v>
      </c>
      <c r="B516" s="46" t="n">
        <v>46167</v>
      </c>
      <c r="C516" s="45" t="s">
        <v>131</v>
      </c>
      <c r="D516" s="45" t="s">
        <v>132</v>
      </c>
      <c r="E516" s="45" t="s">
        <v>242</v>
      </c>
      <c r="F516" s="45" t="s">
        <v>1265</v>
      </c>
      <c r="G516" s="46" t="n">
        <v>46164</v>
      </c>
      <c r="H516" s="45" t="s">
        <v>167</v>
      </c>
      <c r="I516" s="45" t="s">
        <v>177</v>
      </c>
      <c r="J516" s="45" t="s">
        <v>1266</v>
      </c>
      <c r="K516" s="45" t="n">
        <v>1.4</v>
      </c>
      <c r="L516" s="45" t="s">
        <v>263</v>
      </c>
      <c r="M516" s="45" t="s">
        <v>259</v>
      </c>
      <c r="N516" s="45" t="s">
        <v>167</v>
      </c>
      <c r="O516" s="47" t="n">
        <v>46167.7509606482</v>
      </c>
      <c r="P516" s="47" t="n">
        <v>46167.7519212963</v>
      </c>
    </row>
    <row r="517" customFormat="false" ht="15" hidden="false" customHeight="false" outlineLevel="0" collapsed="false">
      <c r="A517" s="45" t="n">
        <v>722</v>
      </c>
      <c r="B517" s="46" t="n">
        <v>46167</v>
      </c>
      <c r="C517" s="45" t="s">
        <v>131</v>
      </c>
      <c r="D517" s="45" t="s">
        <v>132</v>
      </c>
      <c r="E517" s="45" t="s">
        <v>239</v>
      </c>
      <c r="F517" s="45" t="s">
        <v>1267</v>
      </c>
      <c r="G517" s="46" t="n">
        <v>46164</v>
      </c>
      <c r="H517" s="45" t="s">
        <v>167</v>
      </c>
      <c r="I517" s="45" t="s">
        <v>175</v>
      </c>
      <c r="J517" s="45" t="s">
        <v>1268</v>
      </c>
      <c r="K517" s="45" t="n">
        <v>1.5</v>
      </c>
      <c r="L517" s="45" t="s">
        <v>263</v>
      </c>
      <c r="M517" s="45" t="s">
        <v>259</v>
      </c>
      <c r="N517" s="45" t="s">
        <v>167</v>
      </c>
      <c r="O517" s="47" t="n">
        <v>46167.7525694444</v>
      </c>
      <c r="P517" s="47" t="n">
        <v>46167.7536226852</v>
      </c>
    </row>
    <row r="518" customFormat="false" ht="15" hidden="false" customHeight="false" outlineLevel="0" collapsed="false">
      <c r="A518" s="45" t="n">
        <v>723</v>
      </c>
      <c r="B518" s="46" t="n">
        <v>46167</v>
      </c>
      <c r="C518" s="45" t="s">
        <v>141</v>
      </c>
      <c r="D518" s="45" t="s">
        <v>142</v>
      </c>
      <c r="E518" s="45" t="s">
        <v>1027</v>
      </c>
      <c r="F518" s="45" t="s">
        <v>1269</v>
      </c>
      <c r="G518" s="46" t="n">
        <v>46164</v>
      </c>
      <c r="H518" s="45" t="s">
        <v>167</v>
      </c>
      <c r="I518" s="45" t="s">
        <v>175</v>
      </c>
      <c r="J518" s="45" t="s">
        <v>1270</v>
      </c>
      <c r="K518" s="45" t="n">
        <v>11</v>
      </c>
      <c r="L518" s="45" t="s">
        <v>263</v>
      </c>
      <c r="M518" s="45" t="s">
        <v>259</v>
      </c>
      <c r="N518" s="45" t="s">
        <v>167</v>
      </c>
      <c r="O518" s="47" t="n">
        <v>46167.7955092593</v>
      </c>
      <c r="P518" s="47" t="n">
        <v>46167.8031597222</v>
      </c>
    </row>
    <row r="519" customFormat="false" ht="15" hidden="false" customHeight="false" outlineLevel="0" collapsed="false">
      <c r="A519" s="45" t="n">
        <v>724</v>
      </c>
      <c r="B519" s="46" t="n">
        <v>46167</v>
      </c>
      <c r="C519" s="45" t="s">
        <v>143</v>
      </c>
      <c r="D519" s="45" t="s">
        <v>144</v>
      </c>
      <c r="E519" s="45" t="s">
        <v>1271</v>
      </c>
      <c r="F519" s="45" t="s">
        <v>1272</v>
      </c>
      <c r="G519" s="46" t="n">
        <v>46164</v>
      </c>
      <c r="H519" s="45" t="s">
        <v>57</v>
      </c>
      <c r="I519" s="45" t="s">
        <v>203</v>
      </c>
      <c r="J519" s="45" t="s">
        <v>1273</v>
      </c>
      <c r="K519" s="45" t="n">
        <v>0.2</v>
      </c>
      <c r="L519" s="45" t="s">
        <v>263</v>
      </c>
      <c r="M519" s="45" t="s">
        <v>259</v>
      </c>
      <c r="N519" s="45" t="s">
        <v>57</v>
      </c>
      <c r="O519" s="47" t="n">
        <v>46167.8443171296</v>
      </c>
      <c r="P519" s="47" t="n">
        <v>46167.8444907407</v>
      </c>
    </row>
    <row r="520" customFormat="false" ht="15" hidden="false" customHeight="false" outlineLevel="0" collapsed="false">
      <c r="A520" s="45" t="n">
        <v>725</v>
      </c>
      <c r="B520" s="46" t="n">
        <v>46167</v>
      </c>
      <c r="C520" s="45" t="s">
        <v>143</v>
      </c>
      <c r="D520" s="45" t="s">
        <v>144</v>
      </c>
      <c r="E520" s="45" t="s">
        <v>1274</v>
      </c>
      <c r="F520" s="45" t="s">
        <v>1275</v>
      </c>
      <c r="G520" s="46" t="n">
        <v>46164</v>
      </c>
      <c r="H520" s="45" t="s">
        <v>57</v>
      </c>
      <c r="I520" s="45" t="s">
        <v>200</v>
      </c>
      <c r="J520" s="45" t="s">
        <v>1276</v>
      </c>
      <c r="K520" s="45" t="n">
        <v>17.5</v>
      </c>
      <c r="L520" s="45" t="s">
        <v>263</v>
      </c>
      <c r="M520" s="45" t="s">
        <v>263</v>
      </c>
      <c r="N520" s="45" t="s">
        <v>57</v>
      </c>
      <c r="O520" s="47" t="n">
        <v>46167.844525463</v>
      </c>
      <c r="P520" s="47" t="n">
        <v>46167.8566782407</v>
      </c>
    </row>
    <row r="521" customFormat="false" ht="15" hidden="false" customHeight="false" outlineLevel="0" collapsed="false">
      <c r="A521" s="45" t="n">
        <v>726</v>
      </c>
      <c r="B521" s="46" t="n">
        <v>46167</v>
      </c>
      <c r="C521" s="45" t="s">
        <v>141</v>
      </c>
      <c r="D521" s="45" t="s">
        <v>142</v>
      </c>
      <c r="E521" s="45" t="s">
        <v>795</v>
      </c>
      <c r="F521" s="45" t="s">
        <v>1277</v>
      </c>
      <c r="G521" s="46" t="n">
        <v>46164</v>
      </c>
      <c r="H521" s="45" t="s">
        <v>169</v>
      </c>
      <c r="I521" s="45"/>
      <c r="J521" s="45"/>
      <c r="K521" s="45" t="n">
        <v>0.1</v>
      </c>
      <c r="L521" s="45" t="s">
        <v>263</v>
      </c>
      <c r="M521" s="45" t="s">
        <v>259</v>
      </c>
      <c r="N521" s="45" t="s">
        <v>169</v>
      </c>
      <c r="O521" s="47" t="n">
        <v>46167.9895833333</v>
      </c>
      <c r="P521" s="47" t="n">
        <v>46167.9896875</v>
      </c>
    </row>
    <row r="522" customFormat="false" ht="15" hidden="false" customHeight="false" outlineLevel="0" collapsed="false">
      <c r="A522" s="45" t="n">
        <v>727</v>
      </c>
      <c r="B522" s="46" t="n">
        <v>46167</v>
      </c>
      <c r="C522" s="45" t="s">
        <v>141</v>
      </c>
      <c r="D522" s="45" t="s">
        <v>142</v>
      </c>
      <c r="E522" s="45" t="s">
        <v>795</v>
      </c>
      <c r="F522" s="45" t="s">
        <v>1278</v>
      </c>
      <c r="G522" s="46" t="n">
        <v>46164</v>
      </c>
      <c r="H522" s="45" t="s">
        <v>169</v>
      </c>
      <c r="I522" s="45"/>
      <c r="J522" s="45"/>
      <c r="K522" s="45" t="n">
        <v>0.5</v>
      </c>
      <c r="L522" s="45" t="s">
        <v>263</v>
      </c>
      <c r="M522" s="45" t="s">
        <v>259</v>
      </c>
      <c r="N522" s="45" t="s">
        <v>169</v>
      </c>
      <c r="O522" s="47" t="n">
        <v>46167.9897106482</v>
      </c>
      <c r="P522" s="47" t="n">
        <v>46167.9900347222</v>
      </c>
    </row>
    <row r="523" customFormat="false" ht="15" hidden="false" customHeight="false" outlineLevel="0" collapsed="false">
      <c r="A523" s="45" t="n">
        <v>728</v>
      </c>
      <c r="B523" s="46" t="n">
        <v>46168</v>
      </c>
      <c r="C523" s="45" t="s">
        <v>135</v>
      </c>
      <c r="D523" s="45" t="s">
        <v>136</v>
      </c>
      <c r="E523" s="45" t="s">
        <v>492</v>
      </c>
      <c r="F523" s="45" t="s">
        <v>1279</v>
      </c>
      <c r="G523" s="46" t="n">
        <v>46164</v>
      </c>
      <c r="H523" s="45" t="s">
        <v>167</v>
      </c>
      <c r="I523" s="45" t="s">
        <v>175</v>
      </c>
      <c r="J523" s="45" t="s">
        <v>1280</v>
      </c>
      <c r="K523" s="45" t="n">
        <v>5.8</v>
      </c>
      <c r="L523" s="45" t="s">
        <v>263</v>
      </c>
      <c r="M523" s="45" t="s">
        <v>259</v>
      </c>
      <c r="N523" s="45" t="s">
        <v>167</v>
      </c>
      <c r="O523" s="47" t="n">
        <v>46168.6817013889</v>
      </c>
      <c r="P523" s="47" t="n">
        <v>46168.6856944444</v>
      </c>
    </row>
    <row r="524" customFormat="false" ht="15" hidden="false" customHeight="false" outlineLevel="0" collapsed="false">
      <c r="A524" s="45" t="n">
        <v>729</v>
      </c>
      <c r="B524" s="46" t="n">
        <v>46168</v>
      </c>
      <c r="C524" s="45" t="s">
        <v>135</v>
      </c>
      <c r="D524" s="45" t="s">
        <v>136</v>
      </c>
      <c r="E524" s="45" t="s">
        <v>218</v>
      </c>
      <c r="F524" s="45" t="s">
        <v>1281</v>
      </c>
      <c r="G524" s="46" t="n">
        <v>46164</v>
      </c>
      <c r="H524" s="45" t="s">
        <v>167</v>
      </c>
      <c r="I524" s="45" t="s">
        <v>176</v>
      </c>
      <c r="J524" s="45" t="s">
        <v>1282</v>
      </c>
      <c r="K524" s="45" t="n">
        <v>14.3</v>
      </c>
      <c r="L524" s="45" t="s">
        <v>263</v>
      </c>
      <c r="M524" s="45" t="s">
        <v>259</v>
      </c>
      <c r="N524" s="45" t="s">
        <v>167</v>
      </c>
      <c r="O524" s="47" t="n">
        <v>46168.6858217593</v>
      </c>
      <c r="P524" s="47" t="n">
        <v>46168.6957407407</v>
      </c>
    </row>
    <row r="525" customFormat="false" ht="15" hidden="false" customHeight="false" outlineLevel="0" collapsed="false">
      <c r="A525" s="45" t="n">
        <v>740</v>
      </c>
      <c r="B525" s="46" t="n">
        <v>46168</v>
      </c>
      <c r="C525" s="45" t="s">
        <v>135</v>
      </c>
      <c r="D525" s="45" t="s">
        <v>136</v>
      </c>
      <c r="E525" s="45" t="s">
        <v>408</v>
      </c>
      <c r="F525" s="45" t="s">
        <v>1283</v>
      </c>
      <c r="G525" s="46" t="n">
        <v>46164</v>
      </c>
      <c r="H525" s="45" t="s">
        <v>167</v>
      </c>
      <c r="I525" s="45" t="s">
        <v>175</v>
      </c>
      <c r="J525" s="45" t="s">
        <v>1284</v>
      </c>
      <c r="K525" s="45" t="n">
        <v>1212.6</v>
      </c>
      <c r="L525" s="45" t="s">
        <v>263</v>
      </c>
      <c r="M525" s="45" t="s">
        <v>259</v>
      </c>
      <c r="N525" s="45" t="s">
        <v>167</v>
      </c>
      <c r="O525" s="47" t="n">
        <v>46168.8974768519</v>
      </c>
      <c r="P525" s="47" t="n">
        <v>46169.739537037</v>
      </c>
    </row>
    <row r="526" customFormat="false" ht="15" hidden="false" customHeight="false" outlineLevel="0" collapsed="false">
      <c r="A526" s="45" t="n">
        <v>739</v>
      </c>
      <c r="B526" s="46" t="n">
        <v>46168</v>
      </c>
      <c r="C526" s="45" t="s">
        <v>141</v>
      </c>
      <c r="D526" s="45" t="s">
        <v>142</v>
      </c>
      <c r="E526" s="45" t="s">
        <v>227</v>
      </c>
      <c r="F526" s="45" t="s">
        <v>1285</v>
      </c>
      <c r="G526" s="46" t="n">
        <v>46164</v>
      </c>
      <c r="H526" s="45" t="s">
        <v>168</v>
      </c>
      <c r="I526" s="45" t="s">
        <v>192</v>
      </c>
      <c r="J526" s="45" t="s">
        <v>1286</v>
      </c>
      <c r="K526" s="45" t="n">
        <v>1052.7</v>
      </c>
      <c r="L526" s="45" t="s">
        <v>263</v>
      </c>
      <c r="M526" s="45" t="s">
        <v>259</v>
      </c>
      <c r="N526" s="45" t="s">
        <v>264</v>
      </c>
      <c r="O526" s="47" t="n">
        <v>46168.9844328704</v>
      </c>
      <c r="P526" s="47" t="n">
        <v>46169.715474537</v>
      </c>
    </row>
    <row r="527" customFormat="false" ht="15" hidden="false" customHeight="false" outlineLevel="0" collapsed="false">
      <c r="A527" s="45" t="n">
        <v>730</v>
      </c>
      <c r="B527" s="46" t="n">
        <v>46169</v>
      </c>
      <c r="C527" s="45" t="s">
        <v>133</v>
      </c>
      <c r="D527" s="45" t="s">
        <v>134</v>
      </c>
      <c r="E527" s="45" t="s">
        <v>385</v>
      </c>
      <c r="F527" s="45" t="s">
        <v>1287</v>
      </c>
      <c r="G527" s="46" t="n">
        <v>46168</v>
      </c>
      <c r="H527" s="45" t="s">
        <v>167</v>
      </c>
      <c r="I527" s="45" t="s">
        <v>175</v>
      </c>
      <c r="J527" s="45" t="s">
        <v>1288</v>
      </c>
      <c r="K527" s="45" t="n">
        <v>2.8</v>
      </c>
      <c r="L527" s="45" t="s">
        <v>263</v>
      </c>
      <c r="M527" s="45" t="s">
        <v>259</v>
      </c>
      <c r="N527" s="45" t="s">
        <v>167</v>
      </c>
      <c r="O527" s="47" t="n">
        <v>46169.0334375</v>
      </c>
      <c r="P527" s="47" t="n">
        <v>46169.0353472222</v>
      </c>
    </row>
    <row r="528" customFormat="false" ht="15" hidden="false" customHeight="false" outlineLevel="0" collapsed="false">
      <c r="A528" s="45" t="n">
        <v>731</v>
      </c>
      <c r="B528" s="46" t="n">
        <v>46169</v>
      </c>
      <c r="C528" s="45" t="s">
        <v>133</v>
      </c>
      <c r="D528" s="45" t="s">
        <v>134</v>
      </c>
      <c r="E528" s="45" t="s">
        <v>219</v>
      </c>
      <c r="F528" s="45" t="s">
        <v>1289</v>
      </c>
      <c r="G528" s="46" t="n">
        <v>46168</v>
      </c>
      <c r="H528" s="45" t="s">
        <v>57</v>
      </c>
      <c r="I528" s="45" t="s">
        <v>200</v>
      </c>
      <c r="J528" s="45" t="s">
        <v>1290</v>
      </c>
      <c r="K528" s="45" t="n">
        <v>6.5</v>
      </c>
      <c r="L528" s="45" t="s">
        <v>263</v>
      </c>
      <c r="M528" s="45" t="s">
        <v>259</v>
      </c>
      <c r="N528" s="45" t="s">
        <v>57</v>
      </c>
      <c r="O528" s="47" t="n">
        <v>46169.0353819444</v>
      </c>
      <c r="P528" s="47" t="n">
        <v>46169.0398726852</v>
      </c>
    </row>
    <row r="529" customFormat="false" ht="15" hidden="false" customHeight="false" outlineLevel="0" collapsed="false">
      <c r="A529" s="45" t="n">
        <v>732</v>
      </c>
      <c r="B529" s="46" t="n">
        <v>46169</v>
      </c>
      <c r="C529" s="45" t="s">
        <v>133</v>
      </c>
      <c r="D529" s="45" t="s">
        <v>134</v>
      </c>
      <c r="E529" s="45" t="s">
        <v>219</v>
      </c>
      <c r="F529" s="45" t="s">
        <v>1291</v>
      </c>
      <c r="G529" s="46" t="n">
        <v>46168</v>
      </c>
      <c r="H529" s="45" t="s">
        <v>57</v>
      </c>
      <c r="I529" s="45" t="s">
        <v>201</v>
      </c>
      <c r="J529" s="45" t="s">
        <v>1292</v>
      </c>
      <c r="K529" s="45" t="n">
        <v>4.7</v>
      </c>
      <c r="L529" s="45" t="s">
        <v>263</v>
      </c>
      <c r="M529" s="45" t="s">
        <v>259</v>
      </c>
      <c r="N529" s="45" t="s">
        <v>57</v>
      </c>
      <c r="O529" s="47" t="n">
        <v>46169.0409722222</v>
      </c>
      <c r="P529" s="47" t="n">
        <v>46169.044212963</v>
      </c>
    </row>
    <row r="530" customFormat="false" ht="15" hidden="false" customHeight="false" outlineLevel="0" collapsed="false">
      <c r="A530" s="45" t="n">
        <v>733</v>
      </c>
      <c r="B530" s="46" t="n">
        <v>46169</v>
      </c>
      <c r="C530" s="45" t="s">
        <v>133</v>
      </c>
      <c r="D530" s="45" t="s">
        <v>134</v>
      </c>
      <c r="E530" s="45" t="s">
        <v>219</v>
      </c>
      <c r="F530" s="45" t="s">
        <v>1293</v>
      </c>
      <c r="G530" s="46" t="n">
        <v>46168</v>
      </c>
      <c r="H530" s="45" t="s">
        <v>167</v>
      </c>
      <c r="I530" s="45" t="s">
        <v>175</v>
      </c>
      <c r="J530" s="45" t="s">
        <v>1294</v>
      </c>
      <c r="K530" s="45" t="n">
        <v>3.9</v>
      </c>
      <c r="L530" s="45" t="s">
        <v>263</v>
      </c>
      <c r="M530" s="45" t="s">
        <v>259</v>
      </c>
      <c r="N530" s="45" t="s">
        <v>167</v>
      </c>
      <c r="O530" s="47" t="n">
        <v>46169.0443055556</v>
      </c>
      <c r="P530" s="47" t="n">
        <v>46169.047025463</v>
      </c>
    </row>
    <row r="531" customFormat="false" ht="15" hidden="false" customHeight="false" outlineLevel="0" collapsed="false">
      <c r="A531" s="45" t="n">
        <v>734</v>
      </c>
      <c r="B531" s="46" t="n">
        <v>46169</v>
      </c>
      <c r="C531" s="45" t="s">
        <v>131</v>
      </c>
      <c r="D531" s="45" t="s">
        <v>132</v>
      </c>
      <c r="E531" s="45" t="s">
        <v>234</v>
      </c>
      <c r="F531" s="45" t="s">
        <v>1295</v>
      </c>
      <c r="G531" s="46" t="n">
        <v>46162</v>
      </c>
      <c r="H531" s="45" t="s">
        <v>167</v>
      </c>
      <c r="I531" s="45" t="s">
        <v>177</v>
      </c>
      <c r="J531" s="45" t="s">
        <v>1296</v>
      </c>
      <c r="K531" s="45" t="n">
        <v>8.5</v>
      </c>
      <c r="L531" s="45" t="s">
        <v>259</v>
      </c>
      <c r="M531" s="45" t="s">
        <v>259</v>
      </c>
      <c r="N531" s="45" t="s">
        <v>167</v>
      </c>
      <c r="O531" s="47" t="n">
        <v>46169.6929976852</v>
      </c>
      <c r="P531" s="47" t="n">
        <v>46169.6988888889</v>
      </c>
    </row>
    <row r="532" customFormat="false" ht="15" hidden="false" customHeight="false" outlineLevel="0" collapsed="false">
      <c r="A532" s="45" t="n">
        <v>735</v>
      </c>
      <c r="B532" s="46" t="n">
        <v>46169</v>
      </c>
      <c r="C532" s="45" t="s">
        <v>131</v>
      </c>
      <c r="D532" s="45" t="s">
        <v>132</v>
      </c>
      <c r="E532" s="45" t="s">
        <v>415</v>
      </c>
      <c r="F532" s="45" t="s">
        <v>1297</v>
      </c>
      <c r="G532" s="46" t="n">
        <v>46168</v>
      </c>
      <c r="H532" s="45" t="s">
        <v>167</v>
      </c>
      <c r="I532" s="45" t="s">
        <v>175</v>
      </c>
      <c r="J532" s="45" t="s">
        <v>1298</v>
      </c>
      <c r="K532" s="45" t="n">
        <v>1.1</v>
      </c>
      <c r="L532" s="45" t="s">
        <v>263</v>
      </c>
      <c r="M532" s="45" t="s">
        <v>259</v>
      </c>
      <c r="N532" s="45" t="s">
        <v>167</v>
      </c>
      <c r="O532" s="47" t="n">
        <v>46169.6992708333</v>
      </c>
      <c r="P532" s="47" t="n">
        <v>46169.7000115741</v>
      </c>
    </row>
    <row r="533" customFormat="false" ht="15" hidden="false" customHeight="false" outlineLevel="0" collapsed="false">
      <c r="A533" s="45" t="n">
        <v>736</v>
      </c>
      <c r="B533" s="46" t="n">
        <v>46169</v>
      </c>
      <c r="C533" s="45" t="s">
        <v>131</v>
      </c>
      <c r="D533" s="45" t="s">
        <v>132</v>
      </c>
      <c r="E533" s="45" t="s">
        <v>1034</v>
      </c>
      <c r="F533" s="45" t="s">
        <v>1295</v>
      </c>
      <c r="G533" s="46" t="n">
        <v>46168</v>
      </c>
      <c r="H533" s="45" t="s">
        <v>167</v>
      </c>
      <c r="I533" s="45" t="s">
        <v>175</v>
      </c>
      <c r="J533" s="45" t="s">
        <v>1299</v>
      </c>
      <c r="K533" s="45" t="n">
        <v>1.3</v>
      </c>
      <c r="L533" s="45" t="s">
        <v>259</v>
      </c>
      <c r="M533" s="45" t="s">
        <v>259</v>
      </c>
      <c r="N533" s="45" t="s">
        <v>167</v>
      </c>
      <c r="O533" s="47" t="n">
        <v>46169.7000347222</v>
      </c>
      <c r="P533" s="47" t="n">
        <v>46169.7009490741</v>
      </c>
    </row>
    <row r="534" customFormat="false" ht="15" hidden="false" customHeight="false" outlineLevel="0" collapsed="false">
      <c r="A534" s="45" t="n">
        <v>737</v>
      </c>
      <c r="B534" s="46" t="n">
        <v>46169</v>
      </c>
      <c r="C534" s="45" t="s">
        <v>131</v>
      </c>
      <c r="D534" s="45" t="s">
        <v>132</v>
      </c>
      <c r="E534" s="45" t="s">
        <v>415</v>
      </c>
      <c r="F534" s="45" t="s">
        <v>1300</v>
      </c>
      <c r="G534" s="46" t="n">
        <v>46168</v>
      </c>
      <c r="H534" s="45" t="s">
        <v>167</v>
      </c>
      <c r="I534" s="45" t="s">
        <v>175</v>
      </c>
      <c r="J534" s="45" t="s">
        <v>1301</v>
      </c>
      <c r="K534" s="45" t="n">
        <v>1.7</v>
      </c>
      <c r="L534" s="45" t="s">
        <v>263</v>
      </c>
      <c r="M534" s="45" t="s">
        <v>259</v>
      </c>
      <c r="N534" s="45" t="s">
        <v>167</v>
      </c>
      <c r="O534" s="47" t="n">
        <v>46169.701400463</v>
      </c>
      <c r="P534" s="47" t="n">
        <v>46169.7025810185</v>
      </c>
    </row>
    <row r="535" customFormat="false" ht="15" hidden="false" customHeight="false" outlineLevel="0" collapsed="false">
      <c r="A535" s="45" t="n">
        <v>738</v>
      </c>
      <c r="B535" s="46" t="n">
        <v>46169</v>
      </c>
      <c r="C535" s="45" t="s">
        <v>131</v>
      </c>
      <c r="D535" s="45" t="s">
        <v>132</v>
      </c>
      <c r="E535" s="45" t="s">
        <v>220</v>
      </c>
      <c r="F535" s="45" t="s">
        <v>1302</v>
      </c>
      <c r="G535" s="46" t="n">
        <v>46168</v>
      </c>
      <c r="H535" s="45" t="s">
        <v>167</v>
      </c>
      <c r="I535" s="45" t="s">
        <v>175</v>
      </c>
      <c r="J535" s="45" t="s">
        <v>1303</v>
      </c>
      <c r="K535" s="45" t="n">
        <v>2.5</v>
      </c>
      <c r="L535" s="45" t="s">
        <v>259</v>
      </c>
      <c r="M535" s="45" t="s">
        <v>259</v>
      </c>
      <c r="N535" s="45" t="s">
        <v>167</v>
      </c>
      <c r="O535" s="47" t="n">
        <v>46169.7050578704</v>
      </c>
      <c r="P535" s="47" t="n">
        <v>46169.7067708333</v>
      </c>
    </row>
    <row r="536" customFormat="false" ht="15" hidden="false" customHeight="false" outlineLevel="0" collapsed="false">
      <c r="A536" s="45" t="n">
        <v>756</v>
      </c>
      <c r="B536" s="46" t="n">
        <v>46169</v>
      </c>
      <c r="C536" s="45" t="s">
        <v>131</v>
      </c>
      <c r="D536" s="45" t="s">
        <v>132</v>
      </c>
      <c r="E536" s="45" t="s">
        <v>220</v>
      </c>
      <c r="F536" s="45" t="s">
        <v>1302</v>
      </c>
      <c r="G536" s="46" t="n">
        <v>46169</v>
      </c>
      <c r="H536" s="45" t="s">
        <v>167</v>
      </c>
      <c r="I536" s="45" t="s">
        <v>177</v>
      </c>
      <c r="J536" s="45" t="s">
        <v>1304</v>
      </c>
      <c r="K536" s="45" t="n">
        <v>1426.5</v>
      </c>
      <c r="L536" s="45" t="s">
        <v>259</v>
      </c>
      <c r="M536" s="45" t="s">
        <v>259</v>
      </c>
      <c r="N536" s="45" t="s">
        <v>167</v>
      </c>
      <c r="O536" s="47" t="n">
        <v>46169.7076967593</v>
      </c>
      <c r="P536" s="47" t="n">
        <v>46170.6983333333</v>
      </c>
    </row>
    <row r="537" customFormat="false" ht="15" hidden="false" customHeight="false" outlineLevel="0" collapsed="false">
      <c r="A537" s="45" t="n">
        <v>741</v>
      </c>
      <c r="B537" s="46" t="n">
        <v>46169</v>
      </c>
      <c r="C537" s="45" t="s">
        <v>141</v>
      </c>
      <c r="D537" s="45" t="s">
        <v>142</v>
      </c>
      <c r="E537" s="45" t="s">
        <v>227</v>
      </c>
      <c r="F537" s="45" t="s">
        <v>1305</v>
      </c>
      <c r="G537" s="46" t="n">
        <v>46167</v>
      </c>
      <c r="H537" s="45" t="s">
        <v>167</v>
      </c>
      <c r="I537" s="45" t="s">
        <v>176</v>
      </c>
      <c r="J537" s="45" t="s">
        <v>1306</v>
      </c>
      <c r="K537" s="45" t="n">
        <v>38.7</v>
      </c>
      <c r="L537" s="45" t="s">
        <v>263</v>
      </c>
      <c r="M537" s="45" t="s">
        <v>259</v>
      </c>
      <c r="N537" s="45" t="s">
        <v>167</v>
      </c>
      <c r="O537" s="47" t="n">
        <v>46169.7157986111</v>
      </c>
      <c r="P537" s="47" t="n">
        <v>46169.7426967593</v>
      </c>
    </row>
    <row r="538" customFormat="false" ht="15" hidden="false" customHeight="false" outlineLevel="0" collapsed="false">
      <c r="A538" s="45" t="n">
        <v>742</v>
      </c>
      <c r="B538" s="46" t="n">
        <v>46169</v>
      </c>
      <c r="C538" s="45" t="s">
        <v>135</v>
      </c>
      <c r="D538" s="45" t="s">
        <v>136</v>
      </c>
      <c r="E538" s="45" t="s">
        <v>218</v>
      </c>
      <c r="F538" s="45" t="s">
        <v>1307</v>
      </c>
      <c r="G538" s="46" t="n">
        <v>46164</v>
      </c>
      <c r="H538" s="45" t="s">
        <v>167</v>
      </c>
      <c r="I538" s="45" t="s">
        <v>175</v>
      </c>
      <c r="J538" s="45" t="s">
        <v>1308</v>
      </c>
      <c r="K538" s="45" t="n">
        <v>1.4</v>
      </c>
      <c r="L538" s="45" t="s">
        <v>263</v>
      </c>
      <c r="M538" s="45" t="s">
        <v>259</v>
      </c>
      <c r="N538" s="45" t="s">
        <v>167</v>
      </c>
      <c r="O538" s="47" t="n">
        <v>46169.7434606482</v>
      </c>
      <c r="P538" s="47" t="n">
        <v>46169.7444097222</v>
      </c>
    </row>
    <row r="539" customFormat="false" ht="15" hidden="false" customHeight="false" outlineLevel="0" collapsed="false">
      <c r="A539" s="45" t="n">
        <v>743</v>
      </c>
      <c r="B539" s="46" t="n">
        <v>46169</v>
      </c>
      <c r="C539" s="45" t="s">
        <v>135</v>
      </c>
      <c r="D539" s="45" t="s">
        <v>136</v>
      </c>
      <c r="E539" s="45" t="s">
        <v>819</v>
      </c>
      <c r="F539" s="45" t="s">
        <v>1309</v>
      </c>
      <c r="G539" s="46" t="n">
        <v>46167</v>
      </c>
      <c r="H539" s="45" t="s">
        <v>168</v>
      </c>
      <c r="I539" s="45" t="s">
        <v>195</v>
      </c>
      <c r="J539" s="45" t="s">
        <v>1310</v>
      </c>
      <c r="K539" s="45" t="n">
        <v>4.7</v>
      </c>
      <c r="L539" s="45" t="s">
        <v>263</v>
      </c>
      <c r="M539" s="45" t="s">
        <v>259</v>
      </c>
      <c r="N539" s="45" t="s">
        <v>264</v>
      </c>
      <c r="O539" s="47" t="n">
        <v>46169.7444328704</v>
      </c>
      <c r="P539" s="47" t="n">
        <v>46169.7477199074</v>
      </c>
    </row>
    <row r="540" customFormat="false" ht="15" hidden="false" customHeight="false" outlineLevel="0" collapsed="false">
      <c r="A540" s="45" t="n">
        <v>744</v>
      </c>
      <c r="B540" s="46" t="n">
        <v>46169</v>
      </c>
      <c r="C540" s="45" t="s">
        <v>135</v>
      </c>
      <c r="D540" s="45" t="s">
        <v>136</v>
      </c>
      <c r="E540" s="45" t="s">
        <v>819</v>
      </c>
      <c r="F540" s="45" t="s">
        <v>1311</v>
      </c>
      <c r="G540" s="46" t="n">
        <v>46168</v>
      </c>
      <c r="H540" s="45" t="s">
        <v>168</v>
      </c>
      <c r="I540" s="45" t="s">
        <v>192</v>
      </c>
      <c r="J540" s="45" t="s">
        <v>1312</v>
      </c>
      <c r="K540" s="45" t="n">
        <v>25</v>
      </c>
      <c r="L540" s="45" t="s">
        <v>259</v>
      </c>
      <c r="M540" s="45" t="s">
        <v>259</v>
      </c>
      <c r="N540" s="45" t="s">
        <v>264</v>
      </c>
      <c r="O540" s="47" t="n">
        <v>46169.7480671296</v>
      </c>
      <c r="P540" s="47" t="n">
        <v>46169.7654166667</v>
      </c>
    </row>
    <row r="541" customFormat="false" ht="15" hidden="false" customHeight="false" outlineLevel="0" collapsed="false">
      <c r="A541" s="45" t="n">
        <v>745</v>
      </c>
      <c r="B541" s="46" t="n">
        <v>46169</v>
      </c>
      <c r="C541" s="45" t="s">
        <v>135</v>
      </c>
      <c r="D541" s="45" t="s">
        <v>136</v>
      </c>
      <c r="E541" s="45" t="s">
        <v>238</v>
      </c>
      <c r="F541" s="45" t="s">
        <v>1313</v>
      </c>
      <c r="G541" s="46" t="n">
        <v>46168</v>
      </c>
      <c r="H541" s="45" t="s">
        <v>167</v>
      </c>
      <c r="I541" s="45" t="s">
        <v>175</v>
      </c>
      <c r="J541" s="45" t="s">
        <v>1314</v>
      </c>
      <c r="K541" s="45" t="n">
        <v>11</v>
      </c>
      <c r="L541" s="45" t="s">
        <v>263</v>
      </c>
      <c r="M541" s="45" t="s">
        <v>259</v>
      </c>
      <c r="N541" s="45" t="s">
        <v>167</v>
      </c>
      <c r="O541" s="47" t="n">
        <v>46169.766099537</v>
      </c>
      <c r="P541" s="47" t="n">
        <v>46169.7737152778</v>
      </c>
    </row>
    <row r="542" customFormat="false" ht="15" hidden="false" customHeight="false" outlineLevel="0" collapsed="false">
      <c r="A542" s="45" t="n">
        <v>786</v>
      </c>
      <c r="B542" s="46" t="n">
        <v>46169</v>
      </c>
      <c r="C542" s="45" t="s">
        <v>135</v>
      </c>
      <c r="D542" s="45" t="s">
        <v>136</v>
      </c>
      <c r="E542" s="45" t="s">
        <v>226</v>
      </c>
      <c r="F542" s="45" t="s">
        <v>1315</v>
      </c>
      <c r="G542" s="46" t="n">
        <v>46168</v>
      </c>
      <c r="H542" s="45" t="s">
        <v>167</v>
      </c>
      <c r="I542" s="45" t="s">
        <v>182</v>
      </c>
      <c r="J542" s="45" t="s">
        <v>1316</v>
      </c>
      <c r="K542" s="45" t="n">
        <v>2748.8</v>
      </c>
      <c r="L542" s="45" t="s">
        <v>263</v>
      </c>
      <c r="M542" s="45" t="s">
        <v>259</v>
      </c>
      <c r="N542" s="45" t="s">
        <v>167</v>
      </c>
      <c r="O542" s="47" t="n">
        <v>46169.9006365741</v>
      </c>
      <c r="P542" s="47" t="n">
        <v>46171.809537037</v>
      </c>
    </row>
    <row r="543" customFormat="false" ht="15" hidden="false" customHeight="false" outlineLevel="0" collapsed="false">
      <c r="A543" s="45" t="n">
        <v>746</v>
      </c>
      <c r="B543" s="46" t="n">
        <v>46169</v>
      </c>
      <c r="C543" s="45" t="s">
        <v>143</v>
      </c>
      <c r="D543" s="45" t="s">
        <v>144</v>
      </c>
      <c r="E543" s="45" t="s">
        <v>564</v>
      </c>
      <c r="F543" s="45" t="s">
        <v>1317</v>
      </c>
      <c r="G543" s="46" t="n">
        <v>46168</v>
      </c>
      <c r="H543" s="45" t="s">
        <v>167</v>
      </c>
      <c r="I543" s="45" t="s">
        <v>175</v>
      </c>
      <c r="J543" s="45" t="s">
        <v>1318</v>
      </c>
      <c r="K543" s="45" t="n">
        <v>2.9</v>
      </c>
      <c r="L543" s="45" t="s">
        <v>263</v>
      </c>
      <c r="M543" s="45" t="s">
        <v>259</v>
      </c>
      <c r="N543" s="45" t="s">
        <v>167</v>
      </c>
      <c r="O543" s="47" t="n">
        <v>46169.9831712963</v>
      </c>
      <c r="P543" s="47" t="n">
        <v>46169.9851967593</v>
      </c>
    </row>
    <row r="544" customFormat="false" ht="15" hidden="false" customHeight="false" outlineLevel="0" collapsed="false">
      <c r="A544" s="45" t="n">
        <v>747</v>
      </c>
      <c r="B544" s="46" t="n">
        <v>46169</v>
      </c>
      <c r="C544" s="45" t="s">
        <v>143</v>
      </c>
      <c r="D544" s="45" t="s">
        <v>144</v>
      </c>
      <c r="E544" s="45" t="s">
        <v>228</v>
      </c>
      <c r="F544" s="45" t="s">
        <v>1319</v>
      </c>
      <c r="G544" s="46" t="n">
        <v>46168</v>
      </c>
      <c r="H544" s="45" t="s">
        <v>57</v>
      </c>
      <c r="I544" s="45" t="s">
        <v>200</v>
      </c>
      <c r="J544" s="45" t="s">
        <v>1320</v>
      </c>
      <c r="K544" s="45" t="n">
        <v>7.4</v>
      </c>
      <c r="L544" s="45" t="s">
        <v>263</v>
      </c>
      <c r="M544" s="45" t="s">
        <v>259</v>
      </c>
      <c r="N544" s="45" t="s">
        <v>57</v>
      </c>
      <c r="O544" s="47" t="n">
        <v>46169.9852546296</v>
      </c>
      <c r="P544" s="47" t="n">
        <v>46169.9903819444</v>
      </c>
    </row>
    <row r="545" customFormat="false" ht="15" hidden="false" customHeight="false" outlineLevel="0" collapsed="false">
      <c r="A545" s="45" t="n">
        <v>748</v>
      </c>
      <c r="B545" s="46" t="n">
        <v>46169</v>
      </c>
      <c r="C545" s="45" t="s">
        <v>143</v>
      </c>
      <c r="D545" s="45" t="s">
        <v>144</v>
      </c>
      <c r="E545" s="45" t="s">
        <v>228</v>
      </c>
      <c r="F545" s="45" t="s">
        <v>1321</v>
      </c>
      <c r="G545" s="46" t="n">
        <v>46168</v>
      </c>
      <c r="H545" s="45" t="s">
        <v>167</v>
      </c>
      <c r="I545" s="45" t="s">
        <v>175</v>
      </c>
      <c r="J545" s="45" t="s">
        <v>1322</v>
      </c>
      <c r="K545" s="45" t="n">
        <v>10.4</v>
      </c>
      <c r="L545" s="45" t="s">
        <v>263</v>
      </c>
      <c r="M545" s="45" t="s">
        <v>259</v>
      </c>
      <c r="N545" s="45" t="s">
        <v>167</v>
      </c>
      <c r="O545" s="47" t="n">
        <v>46169.990462963</v>
      </c>
      <c r="P545" s="47" t="n">
        <v>46169.9976851852</v>
      </c>
    </row>
    <row r="546" customFormat="false" ht="15" hidden="false" customHeight="false" outlineLevel="0" collapsed="false">
      <c r="A546" s="45" t="n">
        <v>749</v>
      </c>
      <c r="B546" s="46" t="n">
        <v>46169</v>
      </c>
      <c r="C546" s="45" t="s">
        <v>143</v>
      </c>
      <c r="D546" s="45" t="s">
        <v>144</v>
      </c>
      <c r="E546" s="45" t="s">
        <v>372</v>
      </c>
      <c r="F546" s="45" t="s">
        <v>1323</v>
      </c>
      <c r="G546" s="46" t="n">
        <v>46168</v>
      </c>
      <c r="H546" s="45" t="s">
        <v>167</v>
      </c>
      <c r="I546" s="45" t="s">
        <v>175</v>
      </c>
      <c r="J546" s="45" t="s">
        <v>1324</v>
      </c>
      <c r="K546" s="45" t="n">
        <v>7.5</v>
      </c>
      <c r="L546" s="45" t="s">
        <v>263</v>
      </c>
      <c r="M546" s="45" t="s">
        <v>259</v>
      </c>
      <c r="N546" s="45" t="s">
        <v>167</v>
      </c>
      <c r="O546" s="47" t="n">
        <v>46169.997974537</v>
      </c>
      <c r="P546" s="47" t="n">
        <v>46170.0031481482</v>
      </c>
    </row>
    <row r="547" customFormat="false" ht="15" hidden="false" customHeight="false" outlineLevel="0" collapsed="false">
      <c r="A547" s="45" t="n">
        <v>765</v>
      </c>
      <c r="B547" s="46" t="n">
        <v>46170</v>
      </c>
      <c r="C547" s="45" t="s">
        <v>143</v>
      </c>
      <c r="D547" s="45" t="s">
        <v>144</v>
      </c>
      <c r="E547" s="45" t="s">
        <v>564</v>
      </c>
      <c r="F547" s="45" t="s">
        <v>1325</v>
      </c>
      <c r="G547" s="46" t="n">
        <v>46169</v>
      </c>
      <c r="H547" s="45" t="s">
        <v>167</v>
      </c>
      <c r="I547" s="45" t="s">
        <v>175</v>
      </c>
      <c r="J547" s="45" t="s">
        <v>1326</v>
      </c>
      <c r="K547" s="45" t="n">
        <v>1164.7</v>
      </c>
      <c r="L547" s="45" t="s">
        <v>263</v>
      </c>
      <c r="M547" s="45" t="s">
        <v>259</v>
      </c>
      <c r="N547" s="45" t="s">
        <v>167</v>
      </c>
      <c r="O547" s="47" t="n">
        <v>46170.0033564815</v>
      </c>
      <c r="P547" s="47" t="n">
        <v>46170.8121759259</v>
      </c>
    </row>
    <row r="548" customFormat="false" ht="15" hidden="false" customHeight="false" outlineLevel="0" collapsed="false">
      <c r="A548" s="45" t="n">
        <v>750</v>
      </c>
      <c r="B548" s="46" t="n">
        <v>46170</v>
      </c>
      <c r="C548" s="45" t="s">
        <v>133</v>
      </c>
      <c r="D548" s="45" t="s">
        <v>134</v>
      </c>
      <c r="E548" s="45" t="s">
        <v>219</v>
      </c>
      <c r="F548" s="45" t="s">
        <v>1327</v>
      </c>
      <c r="G548" s="46" t="n">
        <v>46169</v>
      </c>
      <c r="H548" s="45" t="s">
        <v>57</v>
      </c>
      <c r="I548" s="45" t="s">
        <v>201</v>
      </c>
      <c r="J548" s="45" t="s">
        <v>1328</v>
      </c>
      <c r="K548" s="45" t="n">
        <v>7.9</v>
      </c>
      <c r="L548" s="45" t="s">
        <v>259</v>
      </c>
      <c r="M548" s="45" t="s">
        <v>259</v>
      </c>
      <c r="N548" s="45" t="s">
        <v>57</v>
      </c>
      <c r="O548" s="47" t="n">
        <v>46170.0109722222</v>
      </c>
      <c r="P548" s="47" t="n">
        <v>46170.0164814815</v>
      </c>
    </row>
    <row r="549" customFormat="false" ht="15" hidden="false" customHeight="false" outlineLevel="0" collapsed="false">
      <c r="A549" s="45" t="n">
        <v>751</v>
      </c>
      <c r="B549" s="46" t="n">
        <v>46170</v>
      </c>
      <c r="C549" s="45" t="s">
        <v>133</v>
      </c>
      <c r="D549" s="45" t="s">
        <v>134</v>
      </c>
      <c r="E549" s="45" t="s">
        <v>385</v>
      </c>
      <c r="F549" s="45" t="s">
        <v>1329</v>
      </c>
      <c r="G549" s="46" t="n">
        <v>46169</v>
      </c>
      <c r="H549" s="45" t="s">
        <v>167</v>
      </c>
      <c r="I549" s="45" t="s">
        <v>175</v>
      </c>
      <c r="J549" s="45" t="s">
        <v>1330</v>
      </c>
      <c r="K549" s="45" t="n">
        <v>53.2</v>
      </c>
      <c r="L549" s="45" t="s">
        <v>263</v>
      </c>
      <c r="M549" s="45" t="s">
        <v>259</v>
      </c>
      <c r="N549" s="45" t="s">
        <v>167</v>
      </c>
      <c r="O549" s="47" t="n">
        <v>46170.0165277778</v>
      </c>
      <c r="P549" s="47" t="n">
        <v>46170.0534490741</v>
      </c>
    </row>
    <row r="550" customFormat="false" ht="15" hidden="false" customHeight="false" outlineLevel="0" collapsed="false">
      <c r="A550" s="45" t="n">
        <v>752</v>
      </c>
      <c r="B550" s="46" t="n">
        <v>46170</v>
      </c>
      <c r="C550" s="45" t="s">
        <v>133</v>
      </c>
      <c r="D550" s="45" t="s">
        <v>134</v>
      </c>
      <c r="E550" s="45" t="s">
        <v>219</v>
      </c>
      <c r="F550" s="45" t="s">
        <v>1331</v>
      </c>
      <c r="G550" s="46" t="n">
        <v>46169</v>
      </c>
      <c r="H550" s="45" t="s">
        <v>167</v>
      </c>
      <c r="I550" s="45" t="s">
        <v>175</v>
      </c>
      <c r="J550" s="45" t="s">
        <v>1332</v>
      </c>
      <c r="K550" s="45" t="n">
        <v>10.3</v>
      </c>
      <c r="L550" s="45" t="s">
        <v>263</v>
      </c>
      <c r="M550" s="45" t="s">
        <v>259</v>
      </c>
      <c r="N550" s="45" t="s">
        <v>167</v>
      </c>
      <c r="O550" s="47" t="n">
        <v>46170.1567592593</v>
      </c>
      <c r="P550" s="47" t="n">
        <v>46170.163912037</v>
      </c>
    </row>
    <row r="551" customFormat="false" ht="15" hidden="false" customHeight="false" outlineLevel="0" collapsed="false">
      <c r="A551" s="45" t="n">
        <v>753</v>
      </c>
      <c r="B551" s="46" t="n">
        <v>46170</v>
      </c>
      <c r="C551" s="45" t="s">
        <v>133</v>
      </c>
      <c r="D551" s="45" t="s">
        <v>134</v>
      </c>
      <c r="E551" s="45" t="s">
        <v>734</v>
      </c>
      <c r="F551" s="45" t="s">
        <v>1327</v>
      </c>
      <c r="G551" s="46" t="n">
        <v>46169</v>
      </c>
      <c r="H551" s="45" t="s">
        <v>167</v>
      </c>
      <c r="I551" s="45" t="s">
        <v>175</v>
      </c>
      <c r="J551" s="45" t="s">
        <v>1333</v>
      </c>
      <c r="K551" s="45" t="n">
        <v>12.7</v>
      </c>
      <c r="L551" s="45" t="s">
        <v>259</v>
      </c>
      <c r="M551" s="45" t="s">
        <v>259</v>
      </c>
      <c r="N551" s="45" t="s">
        <v>167</v>
      </c>
      <c r="O551" s="47" t="n">
        <v>46170.1675810185</v>
      </c>
      <c r="P551" s="47" t="n">
        <v>46170.1763657407</v>
      </c>
    </row>
    <row r="552" customFormat="false" ht="15" hidden="false" customHeight="false" outlineLevel="0" collapsed="false">
      <c r="A552" s="45" t="n">
        <v>754</v>
      </c>
      <c r="B552" s="46" t="n">
        <v>46170</v>
      </c>
      <c r="C552" s="45" t="s">
        <v>133</v>
      </c>
      <c r="D552" s="45" t="s">
        <v>134</v>
      </c>
      <c r="E552" s="45" t="s">
        <v>353</v>
      </c>
      <c r="F552" s="45" t="s">
        <v>1334</v>
      </c>
      <c r="G552" s="46" t="n">
        <v>46169</v>
      </c>
      <c r="H552" s="45" t="s">
        <v>167</v>
      </c>
      <c r="I552" s="45" t="s">
        <v>175</v>
      </c>
      <c r="J552" s="45" t="s">
        <v>1335</v>
      </c>
      <c r="K552" s="45" t="n">
        <v>3.6</v>
      </c>
      <c r="L552" s="45" t="s">
        <v>263</v>
      </c>
      <c r="M552" s="45" t="s">
        <v>259</v>
      </c>
      <c r="N552" s="45" t="s">
        <v>167</v>
      </c>
      <c r="O552" s="47" t="n">
        <v>46170.1772800926</v>
      </c>
      <c r="P552" s="47" t="n">
        <v>46170.1797569445</v>
      </c>
    </row>
    <row r="553" customFormat="false" ht="15" hidden="false" customHeight="false" outlineLevel="0" collapsed="false">
      <c r="A553" s="45" t="n">
        <v>755</v>
      </c>
      <c r="B553" s="46" t="n">
        <v>46170</v>
      </c>
      <c r="C553" s="45" t="s">
        <v>141</v>
      </c>
      <c r="D553" s="45" t="s">
        <v>142</v>
      </c>
      <c r="E553" s="45" t="s">
        <v>227</v>
      </c>
      <c r="F553" s="45" t="s">
        <v>1336</v>
      </c>
      <c r="G553" s="46" t="n">
        <v>46168</v>
      </c>
      <c r="H553" s="45" t="s">
        <v>167</v>
      </c>
      <c r="I553" s="45" t="s">
        <v>175</v>
      </c>
      <c r="J553" s="45" t="s">
        <v>1337</v>
      </c>
      <c r="K553" s="45" t="n">
        <v>0.8</v>
      </c>
      <c r="L553" s="45" t="s">
        <v>263</v>
      </c>
      <c r="M553" s="45" t="s">
        <v>259</v>
      </c>
      <c r="N553" s="45" t="s">
        <v>167</v>
      </c>
      <c r="O553" s="47" t="n">
        <v>46170.6652546296</v>
      </c>
      <c r="P553" s="47" t="n">
        <v>46170.665787037</v>
      </c>
    </row>
    <row r="554" customFormat="false" ht="15" hidden="false" customHeight="false" outlineLevel="0" collapsed="false">
      <c r="A554" s="45" t="n">
        <v>762</v>
      </c>
      <c r="B554" s="46" t="n">
        <v>46170</v>
      </c>
      <c r="C554" s="45" t="s">
        <v>141</v>
      </c>
      <c r="D554" s="45" t="s">
        <v>142</v>
      </c>
      <c r="E554" s="45" t="s">
        <v>227</v>
      </c>
      <c r="F554" s="45" t="s">
        <v>1338</v>
      </c>
      <c r="G554" s="46" t="n">
        <v>46168</v>
      </c>
      <c r="H554" s="45" t="s">
        <v>167</v>
      </c>
      <c r="I554" s="45" t="s">
        <v>176</v>
      </c>
      <c r="J554" s="45" t="s">
        <v>1339</v>
      </c>
      <c r="K554" s="45" t="n">
        <v>155.3</v>
      </c>
      <c r="L554" s="45" t="s">
        <v>263</v>
      </c>
      <c r="M554" s="45" t="s">
        <v>259</v>
      </c>
      <c r="N554" s="45" t="s">
        <v>167</v>
      </c>
      <c r="O554" s="47" t="n">
        <v>46170.6658449074</v>
      </c>
      <c r="P554" s="47" t="n">
        <v>46170.7737037037</v>
      </c>
    </row>
    <row r="555" customFormat="false" ht="15" hidden="false" customHeight="false" outlineLevel="0" collapsed="false">
      <c r="A555" s="45" t="n">
        <v>757</v>
      </c>
      <c r="B555" s="46" t="n">
        <v>46170</v>
      </c>
      <c r="C555" s="45" t="s">
        <v>131</v>
      </c>
      <c r="D555" s="45" t="s">
        <v>132</v>
      </c>
      <c r="E555" s="45" t="s">
        <v>220</v>
      </c>
      <c r="F555" s="45" t="s">
        <v>1340</v>
      </c>
      <c r="G555" s="46" t="n">
        <v>46169</v>
      </c>
      <c r="H555" s="45" t="s">
        <v>167</v>
      </c>
      <c r="I555" s="45" t="s">
        <v>175</v>
      </c>
      <c r="J555" s="45" t="s">
        <v>1341</v>
      </c>
      <c r="K555" s="45" t="n">
        <v>1.3</v>
      </c>
      <c r="L555" s="45" t="s">
        <v>259</v>
      </c>
      <c r="M555" s="45" t="s">
        <v>259</v>
      </c>
      <c r="N555" s="45" t="s">
        <v>167</v>
      </c>
      <c r="O555" s="47" t="n">
        <v>46170.6987962963</v>
      </c>
      <c r="P555" s="47" t="n">
        <v>46170.6996875</v>
      </c>
    </row>
    <row r="556" customFormat="false" ht="15" hidden="false" customHeight="false" outlineLevel="0" collapsed="false">
      <c r="A556" s="45" t="n">
        <v>758</v>
      </c>
      <c r="B556" s="46" t="n">
        <v>46170</v>
      </c>
      <c r="C556" s="45" t="s">
        <v>131</v>
      </c>
      <c r="D556" s="45" t="s">
        <v>132</v>
      </c>
      <c r="E556" s="45" t="s">
        <v>220</v>
      </c>
      <c r="F556" s="45" t="s">
        <v>1340</v>
      </c>
      <c r="G556" s="46" t="n">
        <v>46170</v>
      </c>
      <c r="H556" s="45" t="s">
        <v>167</v>
      </c>
      <c r="I556" s="45" t="s">
        <v>177</v>
      </c>
      <c r="J556" s="45" t="s">
        <v>1342</v>
      </c>
      <c r="K556" s="45" t="n">
        <v>2.1</v>
      </c>
      <c r="L556" s="45" t="s">
        <v>259</v>
      </c>
      <c r="M556" s="45" t="s">
        <v>259</v>
      </c>
      <c r="N556" s="45" t="s">
        <v>167</v>
      </c>
      <c r="O556" s="47" t="n">
        <v>46170.7017708333</v>
      </c>
      <c r="P556" s="47" t="n">
        <v>46170.7032638889</v>
      </c>
    </row>
    <row r="557" customFormat="false" ht="15" hidden="false" customHeight="false" outlineLevel="0" collapsed="false">
      <c r="A557" s="45" t="n">
        <v>759</v>
      </c>
      <c r="B557" s="46" t="n">
        <v>46170</v>
      </c>
      <c r="C557" s="45" t="s">
        <v>131</v>
      </c>
      <c r="D557" s="45" t="s">
        <v>132</v>
      </c>
      <c r="E557" s="45" t="s">
        <v>239</v>
      </c>
      <c r="F557" s="45" t="s">
        <v>1343</v>
      </c>
      <c r="G557" s="46" t="n">
        <v>46170</v>
      </c>
      <c r="H557" s="45" t="s">
        <v>167</v>
      </c>
      <c r="I557" s="45" t="s">
        <v>175</v>
      </c>
      <c r="J557" s="45" t="s">
        <v>1344</v>
      </c>
      <c r="K557" s="45" t="n">
        <v>1.1</v>
      </c>
      <c r="L557" s="45" t="s">
        <v>263</v>
      </c>
      <c r="M557" s="45" t="s">
        <v>259</v>
      </c>
      <c r="N557" s="45" t="s">
        <v>167</v>
      </c>
      <c r="O557" s="47" t="n">
        <v>46170.706724537</v>
      </c>
      <c r="P557" s="47" t="n">
        <v>46170.7074652778</v>
      </c>
    </row>
    <row r="558" customFormat="false" ht="15" hidden="false" customHeight="false" outlineLevel="0" collapsed="false">
      <c r="A558" s="45" t="n">
        <v>760</v>
      </c>
      <c r="B558" s="46" t="n">
        <v>46170</v>
      </c>
      <c r="C558" s="45" t="s">
        <v>131</v>
      </c>
      <c r="D558" s="45" t="s">
        <v>132</v>
      </c>
      <c r="E558" s="45" t="s">
        <v>239</v>
      </c>
      <c r="F558" s="45" t="s">
        <v>1345</v>
      </c>
      <c r="G558" s="46" t="n">
        <v>46170</v>
      </c>
      <c r="H558" s="45" t="s">
        <v>168</v>
      </c>
      <c r="I558" s="45" t="s">
        <v>194</v>
      </c>
      <c r="J558" s="45" t="s">
        <v>1346</v>
      </c>
      <c r="K558" s="45" t="n">
        <v>1.4</v>
      </c>
      <c r="L558" s="45" t="s">
        <v>263</v>
      </c>
      <c r="M558" s="45" t="s">
        <v>259</v>
      </c>
      <c r="N558" s="45" t="s">
        <v>264</v>
      </c>
      <c r="O558" s="47" t="n">
        <v>46170.7095023148</v>
      </c>
      <c r="P558" s="47" t="n">
        <v>46170.7105092593</v>
      </c>
    </row>
    <row r="559" customFormat="false" ht="15" hidden="false" customHeight="false" outlineLevel="0" collapsed="false">
      <c r="A559" s="45" t="n">
        <v>761</v>
      </c>
      <c r="B559" s="46" t="n">
        <v>46170</v>
      </c>
      <c r="C559" s="45" t="s">
        <v>131</v>
      </c>
      <c r="D559" s="45" t="s">
        <v>132</v>
      </c>
      <c r="E559" s="45" t="s">
        <v>242</v>
      </c>
      <c r="F559" s="45" t="s">
        <v>1347</v>
      </c>
      <c r="G559" s="46" t="n">
        <v>46169</v>
      </c>
      <c r="H559" s="45" t="s">
        <v>167</v>
      </c>
      <c r="I559" s="45" t="s">
        <v>175</v>
      </c>
      <c r="J559" s="45" t="s">
        <v>1157</v>
      </c>
      <c r="K559" s="45" t="n">
        <v>1.1</v>
      </c>
      <c r="L559" s="45" t="s">
        <v>263</v>
      </c>
      <c r="M559" s="45" t="s">
        <v>259</v>
      </c>
      <c r="N559" s="45" t="s">
        <v>167</v>
      </c>
      <c r="O559" s="47" t="n">
        <v>46170.7123263889</v>
      </c>
      <c r="P559" s="47" t="n">
        <v>46170.7130671296</v>
      </c>
    </row>
    <row r="560" customFormat="false" ht="15" hidden="false" customHeight="false" outlineLevel="0" collapsed="false">
      <c r="A560" s="45" t="n">
        <v>763</v>
      </c>
      <c r="B560" s="46" t="n">
        <v>46170</v>
      </c>
      <c r="C560" s="45" t="s">
        <v>141</v>
      </c>
      <c r="D560" s="45" t="s">
        <v>142</v>
      </c>
      <c r="E560" s="45" t="s">
        <v>227</v>
      </c>
      <c r="F560" s="45" t="s">
        <v>1348</v>
      </c>
      <c r="G560" s="46" t="n">
        <v>46168</v>
      </c>
      <c r="H560" s="45" t="s">
        <v>167</v>
      </c>
      <c r="I560" s="45" t="s">
        <v>177</v>
      </c>
      <c r="J560" s="45" t="s">
        <v>1349</v>
      </c>
      <c r="K560" s="45" t="n">
        <v>6.5</v>
      </c>
      <c r="L560" s="45" t="s">
        <v>263</v>
      </c>
      <c r="M560" s="45" t="s">
        <v>259</v>
      </c>
      <c r="N560" s="45" t="s">
        <v>167</v>
      </c>
      <c r="O560" s="47" t="n">
        <v>46170.7737384259</v>
      </c>
      <c r="P560" s="47" t="n">
        <v>46170.778287037</v>
      </c>
    </row>
    <row r="561" customFormat="false" ht="15" hidden="false" customHeight="false" outlineLevel="0" collapsed="false">
      <c r="A561" s="45" t="n">
        <v>764</v>
      </c>
      <c r="B561" s="46" t="n">
        <v>46170</v>
      </c>
      <c r="C561" s="45" t="s">
        <v>141</v>
      </c>
      <c r="D561" s="45" t="s">
        <v>142</v>
      </c>
      <c r="E561" s="45" t="s">
        <v>1027</v>
      </c>
      <c r="F561" s="45" t="s">
        <v>1350</v>
      </c>
      <c r="G561" s="46" t="n">
        <v>46168</v>
      </c>
      <c r="H561" s="45" t="s">
        <v>57</v>
      </c>
      <c r="I561" s="45" t="s">
        <v>200</v>
      </c>
      <c r="J561" s="45" t="s">
        <v>1351</v>
      </c>
      <c r="K561" s="45" t="n">
        <v>42.7</v>
      </c>
      <c r="L561" s="45" t="s">
        <v>263</v>
      </c>
      <c r="M561" s="45" t="s">
        <v>259</v>
      </c>
      <c r="N561" s="45" t="s">
        <v>57</v>
      </c>
      <c r="O561" s="47" t="n">
        <v>46170.7783564815</v>
      </c>
      <c r="P561" s="47" t="n">
        <v>46170.8080208333</v>
      </c>
    </row>
    <row r="562" customFormat="false" ht="15" hidden="false" customHeight="false" outlineLevel="0" collapsed="false">
      <c r="A562" s="45" t="n">
        <v>766</v>
      </c>
      <c r="B562" s="46" t="n">
        <v>46170</v>
      </c>
      <c r="C562" s="45" t="s">
        <v>143</v>
      </c>
      <c r="D562" s="45" t="s">
        <v>144</v>
      </c>
      <c r="E562" s="45" t="s">
        <v>372</v>
      </c>
      <c r="F562" s="45" t="s">
        <v>1352</v>
      </c>
      <c r="G562" s="46" t="n">
        <v>46169</v>
      </c>
      <c r="H562" s="45" t="s">
        <v>167</v>
      </c>
      <c r="I562" s="45" t="s">
        <v>175</v>
      </c>
      <c r="J562" s="45" t="s">
        <v>1353</v>
      </c>
      <c r="K562" s="45" t="n">
        <v>167.6</v>
      </c>
      <c r="L562" s="45" t="s">
        <v>263</v>
      </c>
      <c r="M562" s="45" t="s">
        <v>259</v>
      </c>
      <c r="N562" s="45" t="s">
        <v>167</v>
      </c>
      <c r="O562" s="47" t="n">
        <v>46170.8126851852</v>
      </c>
      <c r="P562" s="47" t="n">
        <v>46170.9290625</v>
      </c>
    </row>
    <row r="563" customFormat="false" ht="15" hidden="false" customHeight="false" outlineLevel="0" collapsed="false">
      <c r="A563" s="45" t="n">
        <v>767</v>
      </c>
      <c r="B563" s="46" t="n">
        <v>46170</v>
      </c>
      <c r="C563" s="45" t="s">
        <v>143</v>
      </c>
      <c r="D563" s="45" t="s">
        <v>144</v>
      </c>
      <c r="E563" s="45" t="s">
        <v>558</v>
      </c>
      <c r="F563" s="45" t="s">
        <v>1354</v>
      </c>
      <c r="G563" s="46" t="n">
        <v>46169</v>
      </c>
      <c r="H563" s="45" t="s">
        <v>57</v>
      </c>
      <c r="I563" s="45" t="s">
        <v>200</v>
      </c>
      <c r="J563" s="45" t="s">
        <v>1355</v>
      </c>
      <c r="K563" s="45" t="n">
        <v>36.7</v>
      </c>
      <c r="L563" s="45" t="s">
        <v>263</v>
      </c>
      <c r="M563" s="45" t="s">
        <v>259</v>
      </c>
      <c r="N563" s="45" t="s">
        <v>57</v>
      </c>
      <c r="O563" s="47" t="n">
        <v>46170.9290972222</v>
      </c>
      <c r="P563" s="47" t="n">
        <v>46170.9545601852</v>
      </c>
    </row>
    <row r="564" customFormat="false" ht="15" hidden="false" customHeight="false" outlineLevel="0" collapsed="false">
      <c r="A564" s="45" t="n">
        <v>768</v>
      </c>
      <c r="B564" s="46" t="n">
        <v>46170</v>
      </c>
      <c r="C564" s="45" t="s">
        <v>143</v>
      </c>
      <c r="D564" s="45" t="s">
        <v>144</v>
      </c>
      <c r="E564" s="45" t="s">
        <v>564</v>
      </c>
      <c r="F564" s="45" t="s">
        <v>1356</v>
      </c>
      <c r="G564" s="46" t="n">
        <v>46169</v>
      </c>
      <c r="H564" s="45" t="s">
        <v>169</v>
      </c>
      <c r="I564" s="45"/>
      <c r="J564" s="45"/>
      <c r="K564" s="45" t="n">
        <v>2</v>
      </c>
      <c r="L564" s="45" t="s">
        <v>263</v>
      </c>
      <c r="M564" s="45" t="s">
        <v>259</v>
      </c>
      <c r="N564" s="45" t="s">
        <v>169</v>
      </c>
      <c r="O564" s="47" t="n">
        <v>46170.9545833333</v>
      </c>
      <c r="P564" s="47" t="n">
        <v>46170.9559606482</v>
      </c>
    </row>
    <row r="565" customFormat="false" ht="15" hidden="false" customHeight="false" outlineLevel="0" collapsed="false">
      <c r="A565" s="45" t="n">
        <v>769</v>
      </c>
      <c r="B565" s="46" t="n">
        <v>46170</v>
      </c>
      <c r="C565" s="45" t="s">
        <v>133</v>
      </c>
      <c r="D565" s="45" t="s">
        <v>134</v>
      </c>
      <c r="E565" s="45" t="s">
        <v>405</v>
      </c>
      <c r="F565" s="45" t="s">
        <v>1357</v>
      </c>
      <c r="G565" s="46" t="n">
        <v>46170</v>
      </c>
      <c r="H565" s="45" t="s">
        <v>167</v>
      </c>
      <c r="I565" s="45" t="s">
        <v>175</v>
      </c>
      <c r="J565" s="45" t="s">
        <v>1358</v>
      </c>
      <c r="K565" s="45" t="n">
        <v>11.5</v>
      </c>
      <c r="L565" s="45" t="s">
        <v>263</v>
      </c>
      <c r="M565" s="45" t="s">
        <v>259</v>
      </c>
      <c r="N565" s="45" t="s">
        <v>167</v>
      </c>
      <c r="O565" s="47" t="n">
        <v>46170.9570486111</v>
      </c>
      <c r="P565" s="47" t="n">
        <v>46170.9650462963</v>
      </c>
    </row>
    <row r="566" customFormat="false" ht="15" hidden="false" customHeight="false" outlineLevel="0" collapsed="false">
      <c r="A566" s="45" t="n">
        <v>770</v>
      </c>
      <c r="B566" s="46" t="n">
        <v>46170</v>
      </c>
      <c r="C566" s="45" t="s">
        <v>133</v>
      </c>
      <c r="D566" s="45" t="s">
        <v>134</v>
      </c>
      <c r="E566" s="45" t="s">
        <v>219</v>
      </c>
      <c r="F566" s="45" t="s">
        <v>1359</v>
      </c>
      <c r="G566" s="46" t="n">
        <v>46170</v>
      </c>
      <c r="H566" s="45" t="s">
        <v>167</v>
      </c>
      <c r="I566" s="45" t="s">
        <v>175</v>
      </c>
      <c r="J566" s="45" t="s">
        <v>1360</v>
      </c>
      <c r="K566" s="45" t="n">
        <v>67.5</v>
      </c>
      <c r="L566" s="45" t="s">
        <v>259</v>
      </c>
      <c r="M566" s="45" t="s">
        <v>259</v>
      </c>
      <c r="N566" s="45" t="s">
        <v>167</v>
      </c>
      <c r="O566" s="47" t="n">
        <v>46170.965625</v>
      </c>
      <c r="P566" s="47" t="n">
        <v>46171.0124652778</v>
      </c>
    </row>
    <row r="567" customFormat="false" ht="15" hidden="false" customHeight="false" outlineLevel="0" collapsed="false">
      <c r="A567" s="45" t="n">
        <v>771</v>
      </c>
      <c r="B567" s="46" t="n">
        <v>46171</v>
      </c>
      <c r="C567" s="45" t="s">
        <v>133</v>
      </c>
      <c r="D567" s="45" t="s">
        <v>134</v>
      </c>
      <c r="E567" s="45" t="s">
        <v>219</v>
      </c>
      <c r="F567" s="45" t="s">
        <v>1359</v>
      </c>
      <c r="G567" s="46" t="n">
        <v>46170</v>
      </c>
      <c r="H567" s="45" t="s">
        <v>57</v>
      </c>
      <c r="I567" s="45" t="s">
        <v>200</v>
      </c>
      <c r="J567" s="45" t="s">
        <v>1361</v>
      </c>
      <c r="K567" s="45" t="n">
        <v>10</v>
      </c>
      <c r="L567" s="45" t="s">
        <v>259</v>
      </c>
      <c r="M567" s="45" t="s">
        <v>259</v>
      </c>
      <c r="N567" s="45" t="s">
        <v>57</v>
      </c>
      <c r="O567" s="47" t="n">
        <v>46171.0129976852</v>
      </c>
      <c r="P567" s="47" t="n">
        <v>46171.0199537037</v>
      </c>
    </row>
    <row r="568" customFormat="false" ht="15" hidden="false" customHeight="false" outlineLevel="0" collapsed="false">
      <c r="A568" s="45" t="n">
        <v>772</v>
      </c>
      <c r="B568" s="46" t="n">
        <v>46171</v>
      </c>
      <c r="C568" s="45" t="s">
        <v>131</v>
      </c>
      <c r="D568" s="45" t="s">
        <v>132</v>
      </c>
      <c r="E568" s="45" t="s">
        <v>242</v>
      </c>
      <c r="F568" s="45" t="s">
        <v>1362</v>
      </c>
      <c r="G568" s="46" t="n">
        <v>46170</v>
      </c>
      <c r="H568" s="45" t="s">
        <v>167</v>
      </c>
      <c r="I568" s="45" t="s">
        <v>175</v>
      </c>
      <c r="J568" s="45" t="s">
        <v>1363</v>
      </c>
      <c r="K568" s="45" t="n">
        <v>2.2</v>
      </c>
      <c r="L568" s="45" t="s">
        <v>263</v>
      </c>
      <c r="M568" s="45" t="s">
        <v>259</v>
      </c>
      <c r="N568" s="45" t="s">
        <v>167</v>
      </c>
      <c r="O568" s="47" t="n">
        <v>46171.6421296296</v>
      </c>
      <c r="P568" s="47" t="n">
        <v>46171.6436458333</v>
      </c>
    </row>
    <row r="569" customFormat="false" ht="15" hidden="false" customHeight="false" outlineLevel="0" collapsed="false">
      <c r="A569" s="45" t="n">
        <v>773</v>
      </c>
      <c r="B569" s="46" t="n">
        <v>46171</v>
      </c>
      <c r="C569" s="45" t="s">
        <v>131</v>
      </c>
      <c r="D569" s="45" t="s">
        <v>132</v>
      </c>
      <c r="E569" s="45" t="s">
        <v>1364</v>
      </c>
      <c r="F569" s="45" t="s">
        <v>1365</v>
      </c>
      <c r="G569" s="46" t="n">
        <v>46170</v>
      </c>
      <c r="H569" s="45" t="s">
        <v>167</v>
      </c>
      <c r="I569" s="45" t="s">
        <v>175</v>
      </c>
      <c r="J569" s="45" t="s">
        <v>1366</v>
      </c>
      <c r="K569" s="45" t="n">
        <v>1.5</v>
      </c>
      <c r="L569" s="45" t="s">
        <v>259</v>
      </c>
      <c r="M569" s="45" t="s">
        <v>263</v>
      </c>
      <c r="N569" s="45" t="s">
        <v>167</v>
      </c>
      <c r="O569" s="47" t="n">
        <v>46171.6499652778</v>
      </c>
      <c r="P569" s="47" t="n">
        <v>46171.6510185185</v>
      </c>
    </row>
    <row r="570" customFormat="false" ht="15" hidden="false" customHeight="false" outlineLevel="0" collapsed="false">
      <c r="A570" s="45" t="n">
        <v>774</v>
      </c>
      <c r="B570" s="46" t="n">
        <v>46171</v>
      </c>
      <c r="C570" s="45" t="s">
        <v>131</v>
      </c>
      <c r="D570" s="45" t="s">
        <v>132</v>
      </c>
      <c r="E570" s="45" t="s">
        <v>326</v>
      </c>
      <c r="F570" s="45" t="s">
        <v>1367</v>
      </c>
      <c r="G570" s="46" t="n">
        <v>46171</v>
      </c>
      <c r="H570" s="45" t="s">
        <v>57</v>
      </c>
      <c r="I570" s="45" t="s">
        <v>200</v>
      </c>
      <c r="J570" s="45" t="s">
        <v>1368</v>
      </c>
      <c r="K570" s="45" t="n">
        <v>1.1</v>
      </c>
      <c r="L570" s="45" t="s">
        <v>263</v>
      </c>
      <c r="M570" s="45" t="s">
        <v>259</v>
      </c>
      <c r="N570" s="45" t="s">
        <v>57</v>
      </c>
      <c r="O570" s="47" t="n">
        <v>46171.6554050926</v>
      </c>
      <c r="P570" s="47" t="n">
        <v>46171.6562037037</v>
      </c>
    </row>
    <row r="571" customFormat="false" ht="15" hidden="false" customHeight="false" outlineLevel="0" collapsed="false">
      <c r="A571" s="45" t="n">
        <v>775</v>
      </c>
      <c r="B571" s="46" t="n">
        <v>46171</v>
      </c>
      <c r="C571" s="45" t="s">
        <v>131</v>
      </c>
      <c r="D571" s="45" t="s">
        <v>132</v>
      </c>
      <c r="E571" s="45" t="s">
        <v>773</v>
      </c>
      <c r="F571" s="45" t="s">
        <v>1365</v>
      </c>
      <c r="G571" s="46" t="n">
        <v>46170</v>
      </c>
      <c r="H571" s="45" t="s">
        <v>167</v>
      </c>
      <c r="I571" s="45" t="s">
        <v>175</v>
      </c>
      <c r="J571" s="45" t="s">
        <v>1369</v>
      </c>
      <c r="K571" s="45" t="n">
        <v>0.8</v>
      </c>
      <c r="L571" s="45" t="s">
        <v>259</v>
      </c>
      <c r="M571" s="45" t="s">
        <v>263</v>
      </c>
      <c r="N571" s="45" t="s">
        <v>167</v>
      </c>
      <c r="O571" s="47" t="n">
        <v>46171.6570486111</v>
      </c>
      <c r="P571" s="47" t="n">
        <v>46171.6576041667</v>
      </c>
    </row>
    <row r="572" customFormat="false" ht="15" hidden="false" customHeight="false" outlineLevel="0" collapsed="false">
      <c r="A572" s="45" t="n">
        <v>776</v>
      </c>
      <c r="B572" s="46" t="n">
        <v>46171</v>
      </c>
      <c r="C572" s="45" t="s">
        <v>131</v>
      </c>
      <c r="D572" s="45" t="s">
        <v>132</v>
      </c>
      <c r="E572" s="45" t="s">
        <v>487</v>
      </c>
      <c r="F572" s="45" t="s">
        <v>1370</v>
      </c>
      <c r="G572" s="46" t="n">
        <v>46171</v>
      </c>
      <c r="H572" s="45" t="s">
        <v>57</v>
      </c>
      <c r="I572" s="45" t="s">
        <v>200</v>
      </c>
      <c r="J572" s="45" t="s">
        <v>1371</v>
      </c>
      <c r="K572" s="45" t="n">
        <v>2.1</v>
      </c>
      <c r="L572" s="45" t="s">
        <v>263</v>
      </c>
      <c r="M572" s="45" t="s">
        <v>259</v>
      </c>
      <c r="N572" s="45" t="s">
        <v>57</v>
      </c>
      <c r="O572" s="47" t="n">
        <v>46171.6606712963</v>
      </c>
      <c r="P572" s="47" t="n">
        <v>46171.6621527778</v>
      </c>
    </row>
    <row r="573" customFormat="false" ht="15" hidden="false" customHeight="false" outlineLevel="0" collapsed="false">
      <c r="A573" s="45" t="n">
        <v>804</v>
      </c>
      <c r="B573" s="46" t="n">
        <v>46171</v>
      </c>
      <c r="C573" s="45" t="s">
        <v>131</v>
      </c>
      <c r="D573" s="45" t="s">
        <v>132</v>
      </c>
      <c r="E573" s="45" t="s">
        <v>1372</v>
      </c>
      <c r="F573" s="45" t="s">
        <v>1373</v>
      </c>
      <c r="G573" s="46" t="n">
        <v>46174</v>
      </c>
      <c r="H573" s="45" t="s">
        <v>169</v>
      </c>
      <c r="I573" s="45"/>
      <c r="J573" s="45"/>
      <c r="K573" s="45" t="n">
        <v>5786</v>
      </c>
      <c r="L573" s="45" t="s">
        <v>263</v>
      </c>
      <c r="M573" s="45" t="s">
        <v>263</v>
      </c>
      <c r="N573" s="45" t="s">
        <v>169</v>
      </c>
      <c r="O573" s="47" t="n">
        <v>46171.6671412037</v>
      </c>
      <c r="P573" s="47" t="n">
        <v>46175.6851736111</v>
      </c>
    </row>
    <row r="574" customFormat="false" ht="15" hidden="false" customHeight="false" outlineLevel="0" collapsed="false">
      <c r="A574" s="45" t="n">
        <v>777</v>
      </c>
      <c r="B574" s="46" t="n">
        <v>46171</v>
      </c>
      <c r="C574" s="45" t="s">
        <v>137</v>
      </c>
      <c r="D574" s="45" t="s">
        <v>138</v>
      </c>
      <c r="E574" s="45" t="s">
        <v>496</v>
      </c>
      <c r="F574" s="45" t="s">
        <v>1374</v>
      </c>
      <c r="G574" s="46" t="n">
        <v>46168</v>
      </c>
      <c r="H574" s="45" t="s">
        <v>167</v>
      </c>
      <c r="I574" s="45" t="s">
        <v>175</v>
      </c>
      <c r="J574" s="45" t="s">
        <v>1375</v>
      </c>
      <c r="K574" s="45" t="n">
        <v>3.2</v>
      </c>
      <c r="L574" s="45" t="s">
        <v>263</v>
      </c>
      <c r="M574" s="45" t="s">
        <v>259</v>
      </c>
      <c r="N574" s="45" t="s">
        <v>167</v>
      </c>
      <c r="O574" s="47" t="n">
        <v>46171.7681944444</v>
      </c>
      <c r="P574" s="47" t="n">
        <v>46171.7704166667</v>
      </c>
    </row>
    <row r="575" customFormat="false" ht="15" hidden="false" customHeight="false" outlineLevel="0" collapsed="false">
      <c r="A575" s="45" t="n">
        <v>778</v>
      </c>
      <c r="B575" s="46" t="n">
        <v>46171</v>
      </c>
      <c r="C575" s="45" t="s">
        <v>137</v>
      </c>
      <c r="D575" s="45" t="s">
        <v>138</v>
      </c>
      <c r="E575" s="45" t="s">
        <v>496</v>
      </c>
      <c r="F575" s="45" t="s">
        <v>1376</v>
      </c>
      <c r="G575" s="46" t="n">
        <v>46167</v>
      </c>
      <c r="H575" s="45" t="s">
        <v>167</v>
      </c>
      <c r="I575" s="45" t="s">
        <v>175</v>
      </c>
      <c r="J575" s="45" t="s">
        <v>1375</v>
      </c>
      <c r="K575" s="45" t="n">
        <v>9.1</v>
      </c>
      <c r="L575" s="45" t="s">
        <v>263</v>
      </c>
      <c r="M575" s="45" t="s">
        <v>259</v>
      </c>
      <c r="N575" s="45" t="s">
        <v>167</v>
      </c>
      <c r="O575" s="47" t="n">
        <v>46171.7704513889</v>
      </c>
      <c r="P575" s="47" t="n">
        <v>46171.7767476852</v>
      </c>
    </row>
    <row r="576" customFormat="false" ht="15" hidden="false" customHeight="false" outlineLevel="0" collapsed="false">
      <c r="A576" s="45" t="n">
        <v>779</v>
      </c>
      <c r="B576" s="46" t="n">
        <v>46171</v>
      </c>
      <c r="C576" s="45" t="s">
        <v>137</v>
      </c>
      <c r="D576" s="45" t="s">
        <v>138</v>
      </c>
      <c r="E576" s="45" t="s">
        <v>496</v>
      </c>
      <c r="F576" s="45" t="s">
        <v>1377</v>
      </c>
      <c r="G576" s="46" t="n">
        <v>46170</v>
      </c>
      <c r="H576" s="45" t="s">
        <v>168</v>
      </c>
      <c r="I576" s="45" t="s">
        <v>192</v>
      </c>
      <c r="J576" s="45" t="s">
        <v>1378</v>
      </c>
      <c r="K576" s="45" t="n">
        <v>1.9</v>
      </c>
      <c r="L576" s="45" t="s">
        <v>263</v>
      </c>
      <c r="M576" s="45" t="s">
        <v>259</v>
      </c>
      <c r="N576" s="45" t="s">
        <v>264</v>
      </c>
      <c r="O576" s="47" t="n">
        <v>46171.7772569444</v>
      </c>
      <c r="P576" s="47" t="n">
        <v>46171.778587963</v>
      </c>
    </row>
    <row r="577" customFormat="false" ht="15" hidden="false" customHeight="false" outlineLevel="0" collapsed="false">
      <c r="A577" s="45" t="n">
        <v>780</v>
      </c>
      <c r="B577" s="46" t="n">
        <v>46171</v>
      </c>
      <c r="C577" s="45" t="s">
        <v>137</v>
      </c>
      <c r="D577" s="45" t="s">
        <v>138</v>
      </c>
      <c r="E577" s="45" t="s">
        <v>453</v>
      </c>
      <c r="F577" s="45" t="s">
        <v>1379</v>
      </c>
      <c r="G577" s="46" t="n">
        <v>46170</v>
      </c>
      <c r="H577" s="45" t="s">
        <v>168</v>
      </c>
      <c r="I577" s="45" t="s">
        <v>195</v>
      </c>
      <c r="J577" s="45" t="s">
        <v>1380</v>
      </c>
      <c r="K577" s="45" t="n">
        <v>3.5</v>
      </c>
      <c r="L577" s="45" t="s">
        <v>263</v>
      </c>
      <c r="M577" s="45" t="s">
        <v>259</v>
      </c>
      <c r="N577" s="45" t="s">
        <v>264</v>
      </c>
      <c r="O577" s="47" t="n">
        <v>46171.7786226852</v>
      </c>
      <c r="P577" s="47" t="n">
        <v>46171.7810416667</v>
      </c>
    </row>
    <row r="578" customFormat="false" ht="15" hidden="false" customHeight="false" outlineLevel="0" collapsed="false">
      <c r="A578" s="45" t="n">
        <v>781</v>
      </c>
      <c r="B578" s="46" t="n">
        <v>46171</v>
      </c>
      <c r="C578" s="45" t="s">
        <v>137</v>
      </c>
      <c r="D578" s="45" t="s">
        <v>138</v>
      </c>
      <c r="E578" s="45" t="s">
        <v>875</v>
      </c>
      <c r="F578" s="45" t="s">
        <v>1381</v>
      </c>
      <c r="G578" s="46" t="n">
        <v>46170</v>
      </c>
      <c r="H578" s="45" t="s">
        <v>167</v>
      </c>
      <c r="I578" s="45" t="s">
        <v>177</v>
      </c>
      <c r="J578" s="45" t="s">
        <v>1382</v>
      </c>
      <c r="K578" s="45" t="n">
        <v>2.3</v>
      </c>
      <c r="L578" s="45" t="s">
        <v>263</v>
      </c>
      <c r="M578" s="45" t="s">
        <v>259</v>
      </c>
      <c r="N578" s="45" t="s">
        <v>167</v>
      </c>
      <c r="O578" s="47" t="n">
        <v>46171.7810763889</v>
      </c>
      <c r="P578" s="47" t="n">
        <v>46171.782650463</v>
      </c>
    </row>
    <row r="579" customFormat="false" ht="15" hidden="false" customHeight="false" outlineLevel="0" collapsed="false">
      <c r="A579" s="45" t="n">
        <v>782</v>
      </c>
      <c r="B579" s="46" t="n">
        <v>46171</v>
      </c>
      <c r="C579" s="45" t="s">
        <v>137</v>
      </c>
      <c r="D579" s="45" t="s">
        <v>138</v>
      </c>
      <c r="E579" s="45" t="s">
        <v>309</v>
      </c>
      <c r="F579" s="45" t="s">
        <v>1383</v>
      </c>
      <c r="G579" s="46" t="n">
        <v>46170</v>
      </c>
      <c r="H579" s="45" t="s">
        <v>168</v>
      </c>
      <c r="I579" s="45" t="s">
        <v>195</v>
      </c>
      <c r="J579" s="45" t="s">
        <v>1384</v>
      </c>
      <c r="K579" s="45" t="n">
        <v>6.9</v>
      </c>
      <c r="L579" s="45" t="s">
        <v>263</v>
      </c>
      <c r="M579" s="45" t="s">
        <v>259</v>
      </c>
      <c r="N579" s="45" t="s">
        <v>264</v>
      </c>
      <c r="O579" s="47" t="n">
        <v>46171.7826851852</v>
      </c>
      <c r="P579" s="47" t="n">
        <v>46171.7875</v>
      </c>
    </row>
    <row r="580" customFormat="false" ht="15" hidden="false" customHeight="false" outlineLevel="0" collapsed="false">
      <c r="A580" s="45" t="n">
        <v>783</v>
      </c>
      <c r="B580" s="46" t="n">
        <v>46171</v>
      </c>
      <c r="C580" s="45" t="s">
        <v>137</v>
      </c>
      <c r="D580" s="45" t="s">
        <v>138</v>
      </c>
      <c r="E580" s="45" t="s">
        <v>309</v>
      </c>
      <c r="F580" s="45" t="s">
        <v>1385</v>
      </c>
      <c r="G580" s="46" t="n">
        <v>46167</v>
      </c>
      <c r="H580" s="45" t="s">
        <v>167</v>
      </c>
      <c r="I580" s="45" t="s">
        <v>175</v>
      </c>
      <c r="J580" s="45" t="s">
        <v>1386</v>
      </c>
      <c r="K580" s="45" t="n">
        <v>9.5</v>
      </c>
      <c r="L580" s="45" t="s">
        <v>263</v>
      </c>
      <c r="M580" s="45" t="s">
        <v>259</v>
      </c>
      <c r="N580" s="45" t="s">
        <v>167</v>
      </c>
      <c r="O580" s="47" t="n">
        <v>46171.7875347222</v>
      </c>
      <c r="P580" s="47" t="n">
        <v>46171.7941319444</v>
      </c>
    </row>
    <row r="581" customFormat="false" ht="15" hidden="false" customHeight="false" outlineLevel="0" collapsed="false">
      <c r="A581" s="45" t="n">
        <v>785</v>
      </c>
      <c r="B581" s="46" t="n">
        <v>46171</v>
      </c>
      <c r="C581" s="45" t="s">
        <v>137</v>
      </c>
      <c r="D581" s="45" t="s">
        <v>138</v>
      </c>
      <c r="E581" s="45" t="s">
        <v>235</v>
      </c>
      <c r="F581" s="45" t="s">
        <v>1387</v>
      </c>
      <c r="G581" s="46" t="n">
        <v>46164</v>
      </c>
      <c r="H581" s="45" t="s">
        <v>167</v>
      </c>
      <c r="I581" s="45" t="s">
        <v>175</v>
      </c>
      <c r="J581" s="45" t="s">
        <v>1260</v>
      </c>
      <c r="K581" s="45" t="n">
        <v>10.1</v>
      </c>
      <c r="L581" s="45" t="s">
        <v>263</v>
      </c>
      <c r="M581" s="45" t="s">
        <v>259</v>
      </c>
      <c r="N581" s="45" t="s">
        <v>167</v>
      </c>
      <c r="O581" s="47" t="n">
        <v>46171.7941550926</v>
      </c>
      <c r="P581" s="47" t="n">
        <v>46171.8011805556</v>
      </c>
    </row>
    <row r="582" customFormat="false" ht="15" hidden="false" customHeight="false" outlineLevel="0" collapsed="false">
      <c r="A582" s="45" t="n">
        <v>784</v>
      </c>
      <c r="B582" s="46" t="n">
        <v>46171</v>
      </c>
      <c r="C582" s="45" t="s">
        <v>135</v>
      </c>
      <c r="D582" s="45" t="s">
        <v>136</v>
      </c>
      <c r="E582" s="45" t="s">
        <v>819</v>
      </c>
      <c r="F582" s="45" t="s">
        <v>1311</v>
      </c>
      <c r="G582" s="46" t="n">
        <v>46168</v>
      </c>
      <c r="H582" s="45" t="s">
        <v>168</v>
      </c>
      <c r="I582" s="45" t="s">
        <v>192</v>
      </c>
      <c r="J582" s="45" t="s">
        <v>1388</v>
      </c>
      <c r="K582" s="45" t="n">
        <v>2.3</v>
      </c>
      <c r="L582" s="45" t="s">
        <v>259</v>
      </c>
      <c r="M582" s="45" t="s">
        <v>259</v>
      </c>
      <c r="N582" s="45" t="s">
        <v>264</v>
      </c>
      <c r="O582" s="47" t="n">
        <v>46171.7977893519</v>
      </c>
      <c r="P582" s="47" t="n">
        <v>46171.7993634259</v>
      </c>
    </row>
    <row r="583" customFormat="false" ht="15" hidden="false" customHeight="false" outlineLevel="0" collapsed="false">
      <c r="A583" s="45" t="n">
        <v>787</v>
      </c>
      <c r="B583" s="46" t="n">
        <v>46171</v>
      </c>
      <c r="C583" s="45" t="s">
        <v>137</v>
      </c>
      <c r="D583" s="45" t="s">
        <v>138</v>
      </c>
      <c r="E583" s="45" t="s">
        <v>235</v>
      </c>
      <c r="F583" s="45" t="s">
        <v>1389</v>
      </c>
      <c r="G583" s="46" t="n">
        <v>46164</v>
      </c>
      <c r="H583" s="45" t="s">
        <v>167</v>
      </c>
      <c r="I583" s="45" t="s">
        <v>176</v>
      </c>
      <c r="J583" s="45" t="s">
        <v>1390</v>
      </c>
      <c r="K583" s="45" t="n">
        <v>12.1</v>
      </c>
      <c r="L583" s="45" t="s">
        <v>263</v>
      </c>
      <c r="M583" s="45" t="s">
        <v>259</v>
      </c>
      <c r="N583" s="45" t="s">
        <v>167</v>
      </c>
      <c r="O583" s="47" t="n">
        <v>46171.8012615741</v>
      </c>
      <c r="P583" s="47" t="n">
        <v>46171.8096527778</v>
      </c>
    </row>
    <row r="584" customFormat="false" ht="15" hidden="false" customHeight="false" outlineLevel="0" collapsed="false">
      <c r="A584" s="45" t="n">
        <v>790</v>
      </c>
      <c r="B584" s="46" t="n">
        <v>46171</v>
      </c>
      <c r="C584" s="45" t="s">
        <v>135</v>
      </c>
      <c r="D584" s="45" t="s">
        <v>136</v>
      </c>
      <c r="E584" s="45" t="s">
        <v>226</v>
      </c>
      <c r="F584" s="45" t="s">
        <v>1391</v>
      </c>
      <c r="G584" s="46" t="n">
        <v>46168</v>
      </c>
      <c r="H584" s="45" t="s">
        <v>167</v>
      </c>
      <c r="I584" s="45" t="s">
        <v>182</v>
      </c>
      <c r="J584" s="45" t="s">
        <v>1392</v>
      </c>
      <c r="K584" s="45" t="n">
        <v>2.9</v>
      </c>
      <c r="L584" s="45" t="s">
        <v>263</v>
      </c>
      <c r="M584" s="45" t="s">
        <v>259</v>
      </c>
      <c r="N584" s="45" t="s">
        <v>167</v>
      </c>
      <c r="O584" s="47" t="n">
        <v>46171.8096064815</v>
      </c>
      <c r="P584" s="47" t="n">
        <v>46171.8116319445</v>
      </c>
    </row>
    <row r="585" customFormat="false" ht="15" hidden="false" customHeight="false" outlineLevel="0" collapsed="false">
      <c r="A585" s="45" t="n">
        <v>788</v>
      </c>
      <c r="B585" s="46" t="n">
        <v>46171</v>
      </c>
      <c r="C585" s="45" t="s">
        <v>137</v>
      </c>
      <c r="D585" s="45" t="s">
        <v>138</v>
      </c>
      <c r="E585" s="45" t="s">
        <v>235</v>
      </c>
      <c r="F585" s="45" t="s">
        <v>1393</v>
      </c>
      <c r="G585" s="46" t="n">
        <v>46168</v>
      </c>
      <c r="H585" s="45" t="s">
        <v>168</v>
      </c>
      <c r="I585" s="45" t="s">
        <v>194</v>
      </c>
      <c r="J585" s="45" t="s">
        <v>1394</v>
      </c>
      <c r="K585" s="45" t="n">
        <v>0.5</v>
      </c>
      <c r="L585" s="45" t="s">
        <v>263</v>
      </c>
      <c r="M585" s="45" t="s">
        <v>259</v>
      </c>
      <c r="N585" s="45" t="s">
        <v>264</v>
      </c>
      <c r="O585" s="47" t="n">
        <v>46171.8096759259</v>
      </c>
      <c r="P585" s="47" t="n">
        <v>46171.8100462963</v>
      </c>
    </row>
    <row r="586" customFormat="false" ht="15" hidden="false" customHeight="false" outlineLevel="0" collapsed="false">
      <c r="A586" s="45" t="n">
        <v>793</v>
      </c>
      <c r="B586" s="46" t="n">
        <v>46171</v>
      </c>
      <c r="C586" s="45" t="s">
        <v>137</v>
      </c>
      <c r="D586" s="45" t="s">
        <v>138</v>
      </c>
      <c r="E586" s="45" t="s">
        <v>235</v>
      </c>
      <c r="F586" s="45" t="s">
        <v>1395</v>
      </c>
      <c r="G586" s="46" t="n">
        <v>46168</v>
      </c>
      <c r="H586" s="45" t="s">
        <v>170</v>
      </c>
      <c r="I586" s="45" t="s">
        <v>208</v>
      </c>
      <c r="J586" s="45" t="s">
        <v>445</v>
      </c>
      <c r="K586" s="45" t="n">
        <v>35</v>
      </c>
      <c r="L586" s="45" t="s">
        <v>263</v>
      </c>
      <c r="M586" s="45" t="s">
        <v>259</v>
      </c>
      <c r="N586" s="45" t="s">
        <v>478</v>
      </c>
      <c r="O586" s="47" t="n">
        <v>46171.8102199074</v>
      </c>
      <c r="P586" s="47" t="n">
        <v>46171.8344907407</v>
      </c>
    </row>
    <row r="587" customFormat="false" ht="15" hidden="false" customHeight="false" outlineLevel="0" collapsed="false">
      <c r="A587" s="45" t="n">
        <v>789</v>
      </c>
      <c r="B587" s="46" t="n">
        <v>46171</v>
      </c>
      <c r="C587" s="45" t="s">
        <v>143</v>
      </c>
      <c r="D587" s="45" t="s">
        <v>144</v>
      </c>
      <c r="E587" s="45" t="s">
        <v>228</v>
      </c>
      <c r="F587" s="45" t="s">
        <v>991</v>
      </c>
      <c r="G587" s="46" t="n">
        <v>46153</v>
      </c>
      <c r="H587" s="45" t="s">
        <v>167</v>
      </c>
      <c r="I587" s="45" t="s">
        <v>175</v>
      </c>
      <c r="J587" s="45" t="s">
        <v>1396</v>
      </c>
      <c r="K587" s="45" t="n">
        <v>0.1</v>
      </c>
      <c r="L587" s="45" t="s">
        <v>259</v>
      </c>
      <c r="M587" s="45" t="s">
        <v>259</v>
      </c>
      <c r="N587" s="45" t="s">
        <v>167</v>
      </c>
      <c r="O587" s="47" t="n">
        <v>46171.8107638889</v>
      </c>
      <c r="P587" s="47" t="n">
        <v>46171.8108217593</v>
      </c>
    </row>
    <row r="588" customFormat="false" ht="15" hidden="false" customHeight="false" outlineLevel="0" collapsed="false">
      <c r="A588" s="45" t="n">
        <v>791</v>
      </c>
      <c r="B588" s="46" t="n">
        <v>46171</v>
      </c>
      <c r="C588" s="45" t="s">
        <v>143</v>
      </c>
      <c r="D588" s="45" t="s">
        <v>144</v>
      </c>
      <c r="E588" s="45" t="s">
        <v>669</v>
      </c>
      <c r="F588" s="45" t="s">
        <v>1397</v>
      </c>
      <c r="G588" s="46" t="n">
        <v>46170</v>
      </c>
      <c r="H588" s="45" t="s">
        <v>167</v>
      </c>
      <c r="I588" s="45" t="s">
        <v>175</v>
      </c>
      <c r="J588" s="45" t="s">
        <v>1398</v>
      </c>
      <c r="K588" s="45" t="n">
        <v>3</v>
      </c>
      <c r="L588" s="45" t="s">
        <v>263</v>
      </c>
      <c r="M588" s="45" t="s">
        <v>259</v>
      </c>
      <c r="N588" s="45" t="s">
        <v>167</v>
      </c>
      <c r="O588" s="47" t="n">
        <v>46171.8108564815</v>
      </c>
      <c r="P588" s="47" t="n">
        <v>46171.8129282407</v>
      </c>
    </row>
    <row r="589" customFormat="false" ht="15" hidden="false" customHeight="false" outlineLevel="0" collapsed="false">
      <c r="A589" s="45" t="n">
        <v>794</v>
      </c>
      <c r="B589" s="46" t="n">
        <v>46171</v>
      </c>
      <c r="C589" s="45" t="s">
        <v>143</v>
      </c>
      <c r="D589" s="45" t="s">
        <v>144</v>
      </c>
      <c r="E589" s="45" t="s">
        <v>558</v>
      </c>
      <c r="F589" s="45" t="s">
        <v>1399</v>
      </c>
      <c r="G589" s="46" t="n">
        <v>46170</v>
      </c>
      <c r="H589" s="45" t="s">
        <v>169</v>
      </c>
      <c r="I589" s="45"/>
      <c r="J589" s="45"/>
      <c r="K589" s="45" t="n">
        <v>132.8</v>
      </c>
      <c r="L589" s="45" t="s">
        <v>263</v>
      </c>
      <c r="M589" s="45" t="s">
        <v>259</v>
      </c>
      <c r="N589" s="45" t="s">
        <v>169</v>
      </c>
      <c r="O589" s="47" t="n">
        <v>46171.812962963</v>
      </c>
      <c r="P589" s="47" t="n">
        <v>46171.9052199074</v>
      </c>
    </row>
    <row r="590" customFormat="false" ht="15" hidden="false" customHeight="false" outlineLevel="0" collapsed="false">
      <c r="A590" s="45" t="n">
        <v>792</v>
      </c>
      <c r="B590" s="46" t="n">
        <v>46171</v>
      </c>
      <c r="C590" s="45" t="s">
        <v>135</v>
      </c>
      <c r="D590" s="45" t="s">
        <v>136</v>
      </c>
      <c r="E590" s="45" t="s">
        <v>238</v>
      </c>
      <c r="F590" s="45" t="s">
        <v>1400</v>
      </c>
      <c r="G590" s="46" t="n">
        <v>46169</v>
      </c>
      <c r="H590" s="45" t="s">
        <v>168</v>
      </c>
      <c r="I590" s="45" t="s">
        <v>193</v>
      </c>
      <c r="J590" s="45" t="s">
        <v>1401</v>
      </c>
      <c r="K590" s="45" t="n">
        <v>1.8</v>
      </c>
      <c r="L590" s="45" t="s">
        <v>263</v>
      </c>
      <c r="M590" s="45" t="s">
        <v>259</v>
      </c>
      <c r="N590" s="45" t="s">
        <v>264</v>
      </c>
      <c r="O590" s="47" t="n">
        <v>46171.8132291667</v>
      </c>
      <c r="P590" s="47" t="n">
        <v>46171.8144907407</v>
      </c>
    </row>
    <row r="591" customFormat="false" ht="15" hidden="false" customHeight="false" outlineLevel="0" collapsed="false">
      <c r="A591" s="45" t="n">
        <v>795</v>
      </c>
      <c r="B591" s="46" t="n">
        <v>46174</v>
      </c>
      <c r="C591" s="45" t="s">
        <v>133</v>
      </c>
      <c r="D591" s="45" t="s">
        <v>134</v>
      </c>
      <c r="E591" s="45" t="s">
        <v>231</v>
      </c>
      <c r="F591" s="45" t="s">
        <v>1402</v>
      </c>
      <c r="G591" s="46" t="n">
        <v>46171</v>
      </c>
      <c r="H591" s="45" t="s">
        <v>168</v>
      </c>
      <c r="I591" s="45" t="s">
        <v>192</v>
      </c>
      <c r="J591" s="45" t="s">
        <v>1403</v>
      </c>
      <c r="K591" s="45" t="n">
        <v>3.4</v>
      </c>
      <c r="L591" s="45" t="s">
        <v>263</v>
      </c>
      <c r="M591" s="45" t="s">
        <v>259</v>
      </c>
      <c r="N591" s="45" t="s">
        <v>264</v>
      </c>
      <c r="O591" s="47" t="n">
        <v>46174.6049421296</v>
      </c>
      <c r="P591" s="47" t="n">
        <v>46174.6072916667</v>
      </c>
    </row>
    <row r="592" customFormat="false" ht="15" hidden="false" customHeight="false" outlineLevel="0" collapsed="false">
      <c r="A592" s="45" t="n">
        <v>796</v>
      </c>
      <c r="B592" s="46" t="n">
        <v>46174</v>
      </c>
      <c r="C592" s="45" t="s">
        <v>133</v>
      </c>
      <c r="D592" s="45" t="s">
        <v>134</v>
      </c>
      <c r="E592" s="45" t="s">
        <v>234</v>
      </c>
      <c r="F592" s="45" t="s">
        <v>1404</v>
      </c>
      <c r="G592" s="46" t="n">
        <v>46171</v>
      </c>
      <c r="H592" s="45" t="s">
        <v>167</v>
      </c>
      <c r="I592" s="45" t="s">
        <v>175</v>
      </c>
      <c r="J592" s="45" t="s">
        <v>1405</v>
      </c>
      <c r="K592" s="45" t="n">
        <v>6</v>
      </c>
      <c r="L592" s="45" t="s">
        <v>263</v>
      </c>
      <c r="M592" s="45" t="s">
        <v>259</v>
      </c>
      <c r="N592" s="45" t="s">
        <v>167</v>
      </c>
      <c r="O592" s="47" t="n">
        <v>46174.6073611111</v>
      </c>
      <c r="P592" s="47" t="n">
        <v>46174.6115046296</v>
      </c>
    </row>
    <row r="593" customFormat="false" ht="15" hidden="false" customHeight="false" outlineLevel="0" collapsed="false">
      <c r="A593" s="45" t="n">
        <v>797</v>
      </c>
      <c r="B593" s="46" t="n">
        <v>46174</v>
      </c>
      <c r="C593" s="45" t="s">
        <v>133</v>
      </c>
      <c r="D593" s="45" t="s">
        <v>134</v>
      </c>
      <c r="E593" s="45" t="s">
        <v>234</v>
      </c>
      <c r="F593" s="45" t="s">
        <v>1406</v>
      </c>
      <c r="G593" s="46" t="n">
        <v>46171</v>
      </c>
      <c r="H593" s="45" t="s">
        <v>167</v>
      </c>
      <c r="I593" s="45" t="s">
        <v>177</v>
      </c>
      <c r="J593" s="45" t="s">
        <v>1407</v>
      </c>
      <c r="K593" s="45" t="n">
        <v>93.9</v>
      </c>
      <c r="L593" s="45" t="s">
        <v>263</v>
      </c>
      <c r="M593" s="45" t="s">
        <v>259</v>
      </c>
      <c r="N593" s="45" t="s">
        <v>167</v>
      </c>
      <c r="O593" s="47" t="n">
        <v>46174.6142939815</v>
      </c>
      <c r="P593" s="47" t="n">
        <v>46174.6794907407</v>
      </c>
    </row>
    <row r="594" customFormat="false" ht="15" hidden="false" customHeight="false" outlineLevel="0" collapsed="false">
      <c r="A594" s="45" t="n">
        <v>798</v>
      </c>
      <c r="B594" s="46" t="n">
        <v>46174</v>
      </c>
      <c r="C594" s="45" t="s">
        <v>141</v>
      </c>
      <c r="D594" s="45" t="s">
        <v>142</v>
      </c>
      <c r="E594" s="45" t="s">
        <v>227</v>
      </c>
      <c r="F594" s="45" t="s">
        <v>1408</v>
      </c>
      <c r="G594" s="46" t="n">
        <v>46138</v>
      </c>
      <c r="H594" s="45" t="s">
        <v>168</v>
      </c>
      <c r="I594" s="45" t="s">
        <v>192</v>
      </c>
      <c r="J594" s="45" t="s">
        <v>1409</v>
      </c>
      <c r="K594" s="45" t="n">
        <v>9.1</v>
      </c>
      <c r="L594" s="45" t="s">
        <v>263</v>
      </c>
      <c r="M594" s="45" t="s">
        <v>259</v>
      </c>
      <c r="N594" s="45" t="s">
        <v>264</v>
      </c>
      <c r="O594" s="47" t="n">
        <v>46174.8480902778</v>
      </c>
      <c r="P594" s="47" t="n">
        <v>46174.8544212963</v>
      </c>
    </row>
    <row r="595" customFormat="false" ht="15" hidden="false" customHeight="false" outlineLevel="0" collapsed="false">
      <c r="A595" s="45" t="n">
        <v>819</v>
      </c>
      <c r="B595" s="46" t="n">
        <v>46174</v>
      </c>
      <c r="C595" s="45" t="s">
        <v>141</v>
      </c>
      <c r="D595" s="45" t="s">
        <v>142</v>
      </c>
      <c r="E595" s="45" t="s">
        <v>1027</v>
      </c>
      <c r="F595" s="45" t="s">
        <v>1410</v>
      </c>
      <c r="G595" s="46" t="n">
        <v>46169</v>
      </c>
      <c r="H595" s="45" t="s">
        <v>167</v>
      </c>
      <c r="I595" s="45" t="s">
        <v>176</v>
      </c>
      <c r="J595" s="45" t="s">
        <v>1411</v>
      </c>
      <c r="K595" s="45" t="n">
        <v>1525.3</v>
      </c>
      <c r="L595" s="45" t="s">
        <v>263</v>
      </c>
      <c r="M595" s="45" t="s">
        <v>259</v>
      </c>
      <c r="N595" s="45" t="s">
        <v>167</v>
      </c>
      <c r="O595" s="47" t="n">
        <v>46174.8544907407</v>
      </c>
      <c r="P595" s="47" t="n">
        <v>46175.9137037037</v>
      </c>
    </row>
    <row r="596" customFormat="false" ht="15" hidden="false" customHeight="false" outlineLevel="0" collapsed="false">
      <c r="A596" s="45" t="n">
        <v>799</v>
      </c>
      <c r="B596" s="46" t="n">
        <v>46174</v>
      </c>
      <c r="C596" s="45" t="s">
        <v>137</v>
      </c>
      <c r="D596" s="45" t="s">
        <v>138</v>
      </c>
      <c r="E596" s="45" t="s">
        <v>229</v>
      </c>
      <c r="F596" s="45" t="s">
        <v>1412</v>
      </c>
      <c r="G596" s="46" t="n">
        <v>46201</v>
      </c>
      <c r="H596" s="45" t="s">
        <v>169</v>
      </c>
      <c r="I596" s="45"/>
      <c r="J596" s="45"/>
      <c r="K596" s="45" t="n">
        <v>0.8</v>
      </c>
      <c r="L596" s="45" t="s">
        <v>263</v>
      </c>
      <c r="M596" s="45" t="s">
        <v>259</v>
      </c>
      <c r="N596" s="45" t="s">
        <v>169</v>
      </c>
      <c r="O596" s="47" t="n">
        <v>46174.8907291667</v>
      </c>
      <c r="P596" s="47" t="n">
        <v>46174.8912962963</v>
      </c>
    </row>
    <row r="597" customFormat="false" ht="15" hidden="false" customHeight="false" outlineLevel="0" collapsed="false">
      <c r="A597" s="45" t="n">
        <v>800</v>
      </c>
      <c r="B597" s="46" t="n">
        <v>46174</v>
      </c>
      <c r="C597" s="45" t="s">
        <v>137</v>
      </c>
      <c r="D597" s="45" t="s">
        <v>138</v>
      </c>
      <c r="E597" s="45" t="s">
        <v>338</v>
      </c>
      <c r="F597" s="45" t="s">
        <v>1413</v>
      </c>
      <c r="G597" s="46" t="n">
        <v>46171</v>
      </c>
      <c r="H597" s="45" t="s">
        <v>168</v>
      </c>
      <c r="I597" s="45" t="s">
        <v>194</v>
      </c>
      <c r="J597" s="45" t="s">
        <v>1394</v>
      </c>
      <c r="K597" s="45" t="n">
        <v>4.6</v>
      </c>
      <c r="L597" s="45" t="s">
        <v>263</v>
      </c>
      <c r="M597" s="45" t="s">
        <v>259</v>
      </c>
      <c r="N597" s="45" t="s">
        <v>264</v>
      </c>
      <c r="O597" s="47" t="n">
        <v>46174.8913194445</v>
      </c>
      <c r="P597" s="47" t="n">
        <v>46174.8945023148</v>
      </c>
    </row>
    <row r="598" customFormat="false" ht="15" hidden="false" customHeight="false" outlineLevel="0" collapsed="false">
      <c r="A598" s="45" t="n">
        <v>801</v>
      </c>
      <c r="B598" s="46" t="n">
        <v>46175</v>
      </c>
      <c r="C598" s="45" t="s">
        <v>133</v>
      </c>
      <c r="D598" s="45" t="s">
        <v>134</v>
      </c>
      <c r="E598" s="45" t="s">
        <v>917</v>
      </c>
      <c r="F598" s="45" t="s">
        <v>1414</v>
      </c>
      <c r="G598" s="46" t="n">
        <v>46174</v>
      </c>
      <c r="H598" s="45" t="s">
        <v>167</v>
      </c>
      <c r="I598" s="45" t="s">
        <v>175</v>
      </c>
      <c r="J598" s="45" t="s">
        <v>1415</v>
      </c>
      <c r="K598" s="45" t="n">
        <v>13.4</v>
      </c>
      <c r="L598" s="45" t="s">
        <v>263</v>
      </c>
      <c r="M598" s="45" t="s">
        <v>259</v>
      </c>
      <c r="N598" s="45" t="s">
        <v>167</v>
      </c>
      <c r="O598" s="47" t="n">
        <v>46175.0218634259</v>
      </c>
      <c r="P598" s="47" t="n">
        <v>46175.0311921296</v>
      </c>
    </row>
    <row r="599" customFormat="false" ht="15" hidden="false" customHeight="false" outlineLevel="0" collapsed="false">
      <c r="A599" s="45" t="n">
        <v>802</v>
      </c>
      <c r="B599" s="46" t="n">
        <v>46175</v>
      </c>
      <c r="C599" s="45" t="s">
        <v>133</v>
      </c>
      <c r="D599" s="45" t="s">
        <v>134</v>
      </c>
      <c r="E599" s="45" t="s">
        <v>219</v>
      </c>
      <c r="F599" s="45" t="s">
        <v>1416</v>
      </c>
      <c r="G599" s="46" t="n">
        <v>46174</v>
      </c>
      <c r="H599" s="45" t="s">
        <v>167</v>
      </c>
      <c r="I599" s="45" t="s">
        <v>175</v>
      </c>
      <c r="J599" s="45" t="s">
        <v>1417</v>
      </c>
      <c r="K599" s="45" t="n">
        <v>10.4</v>
      </c>
      <c r="L599" s="45" t="s">
        <v>263</v>
      </c>
      <c r="M599" s="45" t="s">
        <v>259</v>
      </c>
      <c r="N599" s="45" t="s">
        <v>167</v>
      </c>
      <c r="O599" s="47" t="n">
        <v>46175.0312268519</v>
      </c>
      <c r="P599" s="47" t="n">
        <v>46175.0384375</v>
      </c>
    </row>
    <row r="600" customFormat="false" ht="15" hidden="false" customHeight="false" outlineLevel="0" collapsed="false">
      <c r="A600" s="45" t="n">
        <v>803</v>
      </c>
      <c r="B600" s="46" t="n">
        <v>46175</v>
      </c>
      <c r="C600" s="45" t="s">
        <v>133</v>
      </c>
      <c r="D600" s="45" t="s">
        <v>134</v>
      </c>
      <c r="E600" s="45" t="s">
        <v>234</v>
      </c>
      <c r="F600" s="45" t="s">
        <v>1418</v>
      </c>
      <c r="G600" s="46" t="n">
        <v>46174</v>
      </c>
      <c r="H600" s="45" t="s">
        <v>167</v>
      </c>
      <c r="I600" s="45" t="s">
        <v>175</v>
      </c>
      <c r="J600" s="45" t="s">
        <v>1419</v>
      </c>
      <c r="K600" s="45" t="n">
        <v>6.8</v>
      </c>
      <c r="L600" s="45" t="s">
        <v>263</v>
      </c>
      <c r="M600" s="45" t="s">
        <v>259</v>
      </c>
      <c r="N600" s="45" t="s">
        <v>167</v>
      </c>
      <c r="O600" s="47" t="n">
        <v>46175.0384722222</v>
      </c>
      <c r="P600" s="47" t="n">
        <v>46175.0432060185</v>
      </c>
    </row>
    <row r="601" customFormat="false" ht="15" hidden="false" customHeight="false" outlineLevel="0" collapsed="false">
      <c r="A601" s="45" t="n">
        <v>805</v>
      </c>
      <c r="B601" s="46" t="n">
        <v>46175</v>
      </c>
      <c r="C601" s="45" t="s">
        <v>131</v>
      </c>
      <c r="D601" s="45" t="s">
        <v>132</v>
      </c>
      <c r="E601" s="45" t="s">
        <v>222</v>
      </c>
      <c r="F601" s="45" t="s">
        <v>1420</v>
      </c>
      <c r="G601" s="46" t="n">
        <v>46174</v>
      </c>
      <c r="H601" s="45" t="s">
        <v>167</v>
      </c>
      <c r="I601" s="45" t="s">
        <v>175</v>
      </c>
      <c r="J601" s="45" t="s">
        <v>1421</v>
      </c>
      <c r="K601" s="45" t="n">
        <v>1.7</v>
      </c>
      <c r="L601" s="45" t="s">
        <v>263</v>
      </c>
      <c r="M601" s="45" t="s">
        <v>259</v>
      </c>
      <c r="N601" s="45" t="s">
        <v>167</v>
      </c>
      <c r="O601" s="47" t="n">
        <v>46175.6853703704</v>
      </c>
      <c r="P601" s="47" t="n">
        <v>46175.6865509259</v>
      </c>
    </row>
    <row r="602" customFormat="false" ht="15" hidden="false" customHeight="false" outlineLevel="0" collapsed="false">
      <c r="A602" s="45" t="n">
        <v>806</v>
      </c>
      <c r="B602" s="46" t="n">
        <v>46175</v>
      </c>
      <c r="C602" s="45" t="s">
        <v>131</v>
      </c>
      <c r="D602" s="45" t="s">
        <v>132</v>
      </c>
      <c r="E602" s="45" t="s">
        <v>487</v>
      </c>
      <c r="F602" s="45" t="s">
        <v>1422</v>
      </c>
      <c r="G602" s="46" t="n">
        <v>46171</v>
      </c>
      <c r="H602" s="45" t="s">
        <v>167</v>
      </c>
      <c r="I602" s="45" t="s">
        <v>175</v>
      </c>
      <c r="J602" s="45" t="s">
        <v>1096</v>
      </c>
      <c r="K602" s="45" t="n">
        <v>12.7</v>
      </c>
      <c r="L602" s="45" t="s">
        <v>263</v>
      </c>
      <c r="M602" s="45" t="s">
        <v>259</v>
      </c>
      <c r="N602" s="45" t="s">
        <v>167</v>
      </c>
      <c r="O602" s="47" t="n">
        <v>46175.688587963</v>
      </c>
      <c r="P602" s="47" t="n">
        <v>46175.6973958333</v>
      </c>
    </row>
    <row r="603" customFormat="false" ht="15" hidden="false" customHeight="false" outlineLevel="0" collapsed="false">
      <c r="A603" s="45" t="n">
        <v>807</v>
      </c>
      <c r="B603" s="46" t="n">
        <v>46175</v>
      </c>
      <c r="C603" s="45" t="s">
        <v>133</v>
      </c>
      <c r="D603" s="45" t="s">
        <v>134</v>
      </c>
      <c r="E603" s="45" t="s">
        <v>385</v>
      </c>
      <c r="F603" s="45" t="s">
        <v>1423</v>
      </c>
      <c r="G603" s="46" t="n">
        <v>46174</v>
      </c>
      <c r="H603" s="45" t="s">
        <v>168</v>
      </c>
      <c r="I603" s="45" t="s">
        <v>191</v>
      </c>
      <c r="J603" s="45" t="s">
        <v>1424</v>
      </c>
      <c r="K603" s="45" t="n">
        <v>2.1</v>
      </c>
      <c r="L603" s="45" t="s">
        <v>263</v>
      </c>
      <c r="M603" s="45" t="s">
        <v>259</v>
      </c>
      <c r="N603" s="45" t="s">
        <v>264</v>
      </c>
      <c r="O603" s="47" t="n">
        <v>46175.6987152778</v>
      </c>
      <c r="P603" s="47" t="n">
        <v>46175.7001967593</v>
      </c>
    </row>
    <row r="604" customFormat="false" ht="15" hidden="false" customHeight="false" outlineLevel="0" collapsed="false">
      <c r="A604" s="45" t="n">
        <v>808</v>
      </c>
      <c r="B604" s="46" t="n">
        <v>46175</v>
      </c>
      <c r="C604" s="45" t="s">
        <v>131</v>
      </c>
      <c r="D604" s="45" t="s">
        <v>132</v>
      </c>
      <c r="E604" s="45" t="s">
        <v>1034</v>
      </c>
      <c r="F604" s="45" t="s">
        <v>1425</v>
      </c>
      <c r="G604" s="46" t="n">
        <v>46171</v>
      </c>
      <c r="H604" s="45" t="s">
        <v>167</v>
      </c>
      <c r="I604" s="45" t="s">
        <v>175</v>
      </c>
      <c r="J604" s="45" t="s">
        <v>772</v>
      </c>
      <c r="K604" s="45" t="n">
        <v>0.5</v>
      </c>
      <c r="L604" s="45" t="s">
        <v>263</v>
      </c>
      <c r="M604" s="45" t="s">
        <v>259</v>
      </c>
      <c r="N604" s="45" t="s">
        <v>167</v>
      </c>
      <c r="O604" s="47" t="n">
        <v>46175.6999537037</v>
      </c>
      <c r="P604" s="47" t="n">
        <v>46175.7003240741</v>
      </c>
    </row>
    <row r="605" customFormat="false" ht="15" hidden="false" customHeight="false" outlineLevel="0" collapsed="false">
      <c r="A605" s="45" t="n">
        <v>811</v>
      </c>
      <c r="B605" s="46" t="n">
        <v>46175</v>
      </c>
      <c r="C605" s="45" t="s">
        <v>133</v>
      </c>
      <c r="D605" s="45" t="s">
        <v>134</v>
      </c>
      <c r="E605" s="45" t="s">
        <v>385</v>
      </c>
      <c r="F605" s="45" t="s">
        <v>1426</v>
      </c>
      <c r="G605" s="46" t="n">
        <v>46174</v>
      </c>
      <c r="H605" s="45" t="s">
        <v>167</v>
      </c>
      <c r="I605" s="45" t="s">
        <v>175</v>
      </c>
      <c r="J605" s="45" t="s">
        <v>1427</v>
      </c>
      <c r="K605" s="45" t="n">
        <v>12.6</v>
      </c>
      <c r="L605" s="45" t="s">
        <v>263</v>
      </c>
      <c r="M605" s="45" t="s">
        <v>259</v>
      </c>
      <c r="N605" s="45" t="s">
        <v>167</v>
      </c>
      <c r="O605" s="47" t="n">
        <v>46175.7002199074</v>
      </c>
      <c r="P605" s="47" t="n">
        <v>46175.7089699074</v>
      </c>
    </row>
    <row r="606" customFormat="false" ht="15" hidden="false" customHeight="false" outlineLevel="0" collapsed="false">
      <c r="A606" s="45" t="n">
        <v>809</v>
      </c>
      <c r="B606" s="46" t="n">
        <v>46175</v>
      </c>
      <c r="C606" s="45" t="s">
        <v>131</v>
      </c>
      <c r="D606" s="45" t="s">
        <v>132</v>
      </c>
      <c r="E606" s="45" t="s">
        <v>326</v>
      </c>
      <c r="F606" s="45" t="s">
        <v>1428</v>
      </c>
      <c r="G606" s="46" t="n">
        <v>46174</v>
      </c>
      <c r="H606" s="45" t="s">
        <v>57</v>
      </c>
      <c r="I606" s="45" t="s">
        <v>201</v>
      </c>
      <c r="J606" s="45" t="s">
        <v>1429</v>
      </c>
      <c r="K606" s="45" t="n">
        <v>1.2</v>
      </c>
      <c r="L606" s="45" t="s">
        <v>263</v>
      </c>
      <c r="M606" s="45" t="s">
        <v>259</v>
      </c>
      <c r="N606" s="45" t="s">
        <v>57</v>
      </c>
      <c r="O606" s="47" t="n">
        <v>46175.7011921296</v>
      </c>
      <c r="P606" s="47" t="n">
        <v>46175.7020601852</v>
      </c>
    </row>
    <row r="607" customFormat="false" ht="15" hidden="false" customHeight="false" outlineLevel="0" collapsed="false">
      <c r="A607" s="45" t="n">
        <v>810</v>
      </c>
      <c r="B607" s="46" t="n">
        <v>46175</v>
      </c>
      <c r="C607" s="45" t="s">
        <v>131</v>
      </c>
      <c r="D607" s="45" t="s">
        <v>132</v>
      </c>
      <c r="E607" s="45" t="s">
        <v>326</v>
      </c>
      <c r="F607" s="45" t="s">
        <v>1430</v>
      </c>
      <c r="G607" s="46" t="n">
        <v>46174</v>
      </c>
      <c r="H607" s="45" t="s">
        <v>167</v>
      </c>
      <c r="I607" s="45" t="s">
        <v>175</v>
      </c>
      <c r="J607" s="45" t="s">
        <v>1421</v>
      </c>
      <c r="K607" s="45" t="n">
        <v>1.3</v>
      </c>
      <c r="L607" s="45" t="s">
        <v>263</v>
      </c>
      <c r="M607" s="45" t="s">
        <v>259</v>
      </c>
      <c r="N607" s="45" t="s">
        <v>167</v>
      </c>
      <c r="O607" s="47" t="n">
        <v>46175.702349537</v>
      </c>
      <c r="P607" s="47" t="n">
        <v>46175.7032638889</v>
      </c>
    </row>
    <row r="608" customFormat="false" ht="15" hidden="false" customHeight="false" outlineLevel="0" collapsed="false">
      <c r="A608" s="45" t="n">
        <v>812</v>
      </c>
      <c r="B608" s="46" t="n">
        <v>46175</v>
      </c>
      <c r="C608" s="45" t="s">
        <v>135</v>
      </c>
      <c r="D608" s="45" t="s">
        <v>136</v>
      </c>
      <c r="E608" s="45" t="s">
        <v>226</v>
      </c>
      <c r="F608" s="45" t="s">
        <v>1431</v>
      </c>
      <c r="G608" s="46" t="n">
        <v>46169</v>
      </c>
      <c r="H608" s="45" t="s">
        <v>57</v>
      </c>
      <c r="I608" s="45" t="s">
        <v>202</v>
      </c>
      <c r="J608" s="45" t="s">
        <v>1432</v>
      </c>
      <c r="K608" s="45" t="n">
        <v>8.2</v>
      </c>
      <c r="L608" s="45" t="s">
        <v>263</v>
      </c>
      <c r="M608" s="45" t="s">
        <v>259</v>
      </c>
      <c r="N608" s="45" t="s">
        <v>57</v>
      </c>
      <c r="O608" s="47" t="n">
        <v>46175.8512962963</v>
      </c>
      <c r="P608" s="47" t="n">
        <v>46175.8569560185</v>
      </c>
    </row>
    <row r="609" customFormat="false" ht="15" hidden="false" customHeight="false" outlineLevel="0" collapsed="false">
      <c r="A609" s="45" t="n">
        <v>813</v>
      </c>
      <c r="B609" s="46" t="n">
        <v>46175</v>
      </c>
      <c r="C609" s="45" t="s">
        <v>135</v>
      </c>
      <c r="D609" s="45" t="s">
        <v>136</v>
      </c>
      <c r="E609" s="45" t="s">
        <v>475</v>
      </c>
      <c r="F609" s="45" t="s">
        <v>1433</v>
      </c>
      <c r="G609" s="46" t="n">
        <v>46169</v>
      </c>
      <c r="H609" s="45" t="s">
        <v>168</v>
      </c>
      <c r="I609" s="45" t="s">
        <v>193</v>
      </c>
      <c r="J609" s="45" t="s">
        <v>1434</v>
      </c>
      <c r="K609" s="45" t="n">
        <v>2.8</v>
      </c>
      <c r="L609" s="45" t="s">
        <v>263</v>
      </c>
      <c r="M609" s="45" t="s">
        <v>259</v>
      </c>
      <c r="N609" s="45" t="s">
        <v>264</v>
      </c>
      <c r="O609" s="47" t="n">
        <v>46175.8570717593</v>
      </c>
      <c r="P609" s="47" t="n">
        <v>46175.8590046296</v>
      </c>
    </row>
    <row r="610" customFormat="false" ht="15" hidden="false" customHeight="false" outlineLevel="0" collapsed="false">
      <c r="A610" s="45" t="n">
        <v>814</v>
      </c>
      <c r="B610" s="46" t="n">
        <v>46175</v>
      </c>
      <c r="C610" s="45" t="s">
        <v>135</v>
      </c>
      <c r="D610" s="45" t="s">
        <v>136</v>
      </c>
      <c r="E610" s="45" t="s">
        <v>408</v>
      </c>
      <c r="F610" s="45" t="s">
        <v>1435</v>
      </c>
      <c r="G610" s="46" t="n">
        <v>46169</v>
      </c>
      <c r="H610" s="45" t="s">
        <v>168</v>
      </c>
      <c r="I610" s="45" t="s">
        <v>192</v>
      </c>
      <c r="J610" s="45" t="s">
        <v>1436</v>
      </c>
      <c r="K610" s="45" t="n">
        <v>1.7</v>
      </c>
      <c r="L610" s="45" t="s">
        <v>263</v>
      </c>
      <c r="M610" s="45" t="s">
        <v>259</v>
      </c>
      <c r="N610" s="45" t="s">
        <v>264</v>
      </c>
      <c r="O610" s="47" t="n">
        <v>46175.8763657407</v>
      </c>
      <c r="P610" s="47" t="n">
        <v>46175.8775231482</v>
      </c>
    </row>
    <row r="611" customFormat="false" ht="15" hidden="false" customHeight="false" outlineLevel="0" collapsed="false">
      <c r="A611" s="45" t="n">
        <v>815</v>
      </c>
      <c r="B611" s="46" t="n">
        <v>46175</v>
      </c>
      <c r="C611" s="45" t="s">
        <v>135</v>
      </c>
      <c r="D611" s="45" t="s">
        <v>136</v>
      </c>
      <c r="E611" s="45" t="s">
        <v>492</v>
      </c>
      <c r="F611" s="45" t="s">
        <v>1437</v>
      </c>
      <c r="G611" s="46" t="n">
        <v>46170</v>
      </c>
      <c r="H611" s="45" t="s">
        <v>168</v>
      </c>
      <c r="I611" s="45" t="s">
        <v>191</v>
      </c>
      <c r="J611" s="45" t="s">
        <v>1438</v>
      </c>
      <c r="K611" s="45" t="n">
        <v>9</v>
      </c>
      <c r="L611" s="45" t="s">
        <v>263</v>
      </c>
      <c r="M611" s="45" t="s">
        <v>259</v>
      </c>
      <c r="N611" s="45" t="s">
        <v>264</v>
      </c>
      <c r="O611" s="47" t="n">
        <v>46175.8776388889</v>
      </c>
      <c r="P611" s="47" t="n">
        <v>46175.883900463</v>
      </c>
    </row>
    <row r="612" customFormat="false" ht="15" hidden="false" customHeight="false" outlineLevel="0" collapsed="false">
      <c r="A612" s="45" t="n">
        <v>816</v>
      </c>
      <c r="B612" s="46" t="n">
        <v>46175</v>
      </c>
      <c r="C612" s="45" t="s">
        <v>135</v>
      </c>
      <c r="D612" s="45" t="s">
        <v>136</v>
      </c>
      <c r="E612" s="45" t="s">
        <v>492</v>
      </c>
      <c r="F612" s="45" t="s">
        <v>1439</v>
      </c>
      <c r="G612" s="46" t="n">
        <v>46170</v>
      </c>
      <c r="H612" s="45" t="s">
        <v>167</v>
      </c>
      <c r="I612" s="45" t="s">
        <v>175</v>
      </c>
      <c r="J612" s="45" t="s">
        <v>1440</v>
      </c>
      <c r="K612" s="45" t="n">
        <v>1.4</v>
      </c>
      <c r="L612" s="45" t="s">
        <v>263</v>
      </c>
      <c r="M612" s="45" t="s">
        <v>259</v>
      </c>
      <c r="N612" s="45" t="s">
        <v>167</v>
      </c>
      <c r="O612" s="47" t="n">
        <v>46175.8881134259</v>
      </c>
      <c r="P612" s="47" t="n">
        <v>46175.8890856481</v>
      </c>
    </row>
    <row r="613" customFormat="false" ht="15" hidden="false" customHeight="false" outlineLevel="0" collapsed="false">
      <c r="A613" s="45" t="n">
        <v>817</v>
      </c>
      <c r="B613" s="46" t="n">
        <v>46175</v>
      </c>
      <c r="C613" s="45" t="s">
        <v>135</v>
      </c>
      <c r="D613" s="45" t="s">
        <v>136</v>
      </c>
      <c r="E613" s="45" t="s">
        <v>475</v>
      </c>
      <c r="F613" s="45" t="s">
        <v>1441</v>
      </c>
      <c r="G613" s="46" t="n">
        <v>46170</v>
      </c>
      <c r="H613" s="45" t="s">
        <v>168</v>
      </c>
      <c r="I613" s="45" t="s">
        <v>192</v>
      </c>
      <c r="J613" s="45" t="s">
        <v>1442</v>
      </c>
      <c r="K613" s="45" t="n">
        <v>14.9</v>
      </c>
      <c r="L613" s="45" t="s">
        <v>263</v>
      </c>
      <c r="M613" s="45" t="s">
        <v>259</v>
      </c>
      <c r="N613" s="45" t="s">
        <v>264</v>
      </c>
      <c r="O613" s="47" t="n">
        <v>46175.8894212963</v>
      </c>
      <c r="P613" s="47" t="n">
        <v>46175.8997800926</v>
      </c>
    </row>
    <row r="614" customFormat="false" ht="15" hidden="false" customHeight="false" outlineLevel="0" collapsed="false">
      <c r="A614" s="45" t="n">
        <v>818</v>
      </c>
      <c r="B614" s="46" t="n">
        <v>46175</v>
      </c>
      <c r="C614" s="45" t="s">
        <v>135</v>
      </c>
      <c r="D614" s="45" t="s">
        <v>136</v>
      </c>
      <c r="E614" s="45" t="s">
        <v>475</v>
      </c>
      <c r="F614" s="45" t="s">
        <v>1443</v>
      </c>
      <c r="G614" s="46" t="n">
        <v>46171</v>
      </c>
      <c r="H614" s="45" t="s">
        <v>57</v>
      </c>
      <c r="I614" s="45" t="s">
        <v>201</v>
      </c>
      <c r="J614" s="45" t="s">
        <v>1444</v>
      </c>
      <c r="K614" s="45" t="n">
        <v>5.6</v>
      </c>
      <c r="L614" s="45" t="s">
        <v>263</v>
      </c>
      <c r="M614" s="45" t="s">
        <v>259</v>
      </c>
      <c r="N614" s="45" t="s">
        <v>57</v>
      </c>
      <c r="O614" s="47" t="n">
        <v>46175.9005208333</v>
      </c>
      <c r="P614" s="47" t="n">
        <v>46175.9044328704</v>
      </c>
    </row>
    <row r="615" customFormat="false" ht="15" hidden="false" customHeight="false" outlineLevel="0" collapsed="false">
      <c r="A615" s="45" t="n">
        <v>820</v>
      </c>
      <c r="B615" s="46" t="n">
        <v>46176</v>
      </c>
      <c r="C615" s="45" t="s">
        <v>137</v>
      </c>
      <c r="D615" s="45" t="s">
        <v>138</v>
      </c>
      <c r="E615" s="45" t="s">
        <v>496</v>
      </c>
      <c r="F615" s="45" t="s">
        <v>1445</v>
      </c>
      <c r="G615" s="46" t="n">
        <v>46202</v>
      </c>
      <c r="H615" s="45" t="s">
        <v>169</v>
      </c>
      <c r="I615" s="45"/>
      <c r="J615" s="45"/>
      <c r="K615" s="45" t="n">
        <v>3</v>
      </c>
      <c r="L615" s="45" t="s">
        <v>263</v>
      </c>
      <c r="M615" s="45" t="s">
        <v>259</v>
      </c>
      <c r="N615" s="45" t="s">
        <v>169</v>
      </c>
      <c r="O615" s="47" t="n">
        <v>46176.6091319445</v>
      </c>
      <c r="P615" s="47" t="n">
        <v>46176.6111805556</v>
      </c>
    </row>
    <row r="616" customFormat="false" ht="15" hidden="false" customHeight="false" outlineLevel="0" collapsed="false">
      <c r="A616" s="45" t="n">
        <v>821</v>
      </c>
      <c r="B616" s="46" t="n">
        <v>46176</v>
      </c>
      <c r="C616" s="45" t="s">
        <v>137</v>
      </c>
      <c r="D616" s="45" t="s">
        <v>138</v>
      </c>
      <c r="E616" s="45" t="s">
        <v>229</v>
      </c>
      <c r="F616" s="45" t="s">
        <v>1446</v>
      </c>
      <c r="G616" s="46" t="n">
        <v>46174</v>
      </c>
      <c r="H616" s="45" t="s">
        <v>57</v>
      </c>
      <c r="I616" s="45" t="s">
        <v>200</v>
      </c>
      <c r="J616" s="45" t="s">
        <v>1447</v>
      </c>
      <c r="K616" s="45" t="n">
        <v>2.6</v>
      </c>
      <c r="L616" s="45" t="s">
        <v>263</v>
      </c>
      <c r="M616" s="45" t="s">
        <v>259</v>
      </c>
      <c r="N616" s="45" t="s">
        <v>57</v>
      </c>
      <c r="O616" s="47" t="n">
        <v>46176.6112037037</v>
      </c>
      <c r="P616" s="47" t="n">
        <v>46176.6130439815</v>
      </c>
    </row>
    <row r="617" customFormat="false" ht="15" hidden="false" customHeight="false" outlineLevel="0" collapsed="false">
      <c r="A617" s="45" t="n">
        <v>822</v>
      </c>
      <c r="B617" s="46" t="n">
        <v>46176</v>
      </c>
      <c r="C617" s="45" t="s">
        <v>131</v>
      </c>
      <c r="D617" s="45" t="s">
        <v>132</v>
      </c>
      <c r="E617" s="45" t="s">
        <v>242</v>
      </c>
      <c r="F617" s="45" t="s">
        <v>1448</v>
      </c>
      <c r="G617" s="46" t="n">
        <v>46168</v>
      </c>
      <c r="H617" s="45" t="s">
        <v>167</v>
      </c>
      <c r="I617" s="45" t="s">
        <v>175</v>
      </c>
      <c r="J617" s="45" t="s">
        <v>1449</v>
      </c>
      <c r="K617" s="45" t="n">
        <v>37.1</v>
      </c>
      <c r="L617" s="45" t="s">
        <v>263</v>
      </c>
      <c r="M617" s="45" t="s">
        <v>259</v>
      </c>
      <c r="N617" s="45" t="s">
        <v>167</v>
      </c>
      <c r="O617" s="47" t="n">
        <v>46176.6545949074</v>
      </c>
      <c r="P617" s="47" t="n">
        <v>46176.6803935185</v>
      </c>
    </row>
    <row r="618" customFormat="false" ht="15" hidden="false" customHeight="false" outlineLevel="0" collapsed="false">
      <c r="A618" s="45" t="n">
        <v>823</v>
      </c>
      <c r="B618" s="46" t="n">
        <v>46176</v>
      </c>
      <c r="C618" s="45" t="s">
        <v>131</v>
      </c>
      <c r="D618" s="45" t="s">
        <v>132</v>
      </c>
      <c r="E618" s="45" t="s">
        <v>220</v>
      </c>
      <c r="F618" s="45" t="s">
        <v>1450</v>
      </c>
      <c r="G618" s="46" t="n">
        <v>46175</v>
      </c>
      <c r="H618" s="45" t="s">
        <v>167</v>
      </c>
      <c r="I618" s="45" t="s">
        <v>175</v>
      </c>
      <c r="J618" s="45" t="s">
        <v>1451</v>
      </c>
      <c r="K618" s="45" t="n">
        <v>1.4</v>
      </c>
      <c r="L618" s="45" t="s">
        <v>263</v>
      </c>
      <c r="M618" s="45" t="s">
        <v>259</v>
      </c>
      <c r="N618" s="45" t="s">
        <v>167</v>
      </c>
      <c r="O618" s="47" t="n">
        <v>46176.6811111111</v>
      </c>
      <c r="P618" s="47" t="n">
        <v>46176.6820486111</v>
      </c>
    </row>
    <row r="619" customFormat="false" ht="15" hidden="false" customHeight="false" outlineLevel="0" collapsed="false">
      <c r="A619" s="45" t="n">
        <v>824</v>
      </c>
      <c r="B619" s="46" t="n">
        <v>46176</v>
      </c>
      <c r="C619" s="45" t="s">
        <v>131</v>
      </c>
      <c r="D619" s="45" t="s">
        <v>132</v>
      </c>
      <c r="E619" s="45" t="s">
        <v>415</v>
      </c>
      <c r="F619" s="45" t="s">
        <v>1452</v>
      </c>
      <c r="G619" s="46" t="n">
        <v>46175</v>
      </c>
      <c r="H619" s="45" t="s">
        <v>167</v>
      </c>
      <c r="I619" s="45" t="s">
        <v>177</v>
      </c>
      <c r="J619" s="45" t="s">
        <v>772</v>
      </c>
      <c r="K619" s="45" t="n">
        <v>2.9</v>
      </c>
      <c r="L619" s="45" t="s">
        <v>263</v>
      </c>
      <c r="M619" s="45" t="s">
        <v>259</v>
      </c>
      <c r="N619" s="45" t="s">
        <v>167</v>
      </c>
      <c r="O619" s="47" t="n">
        <v>46176.6830787037</v>
      </c>
      <c r="P619" s="47" t="n">
        <v>46176.6851157407</v>
      </c>
    </row>
    <row r="620" customFormat="false" ht="15" hidden="false" customHeight="false" outlineLevel="0" collapsed="false">
      <c r="A620" s="45" t="n">
        <v>825</v>
      </c>
      <c r="B620" s="46" t="n">
        <v>46176</v>
      </c>
      <c r="C620" s="45" t="s">
        <v>137</v>
      </c>
      <c r="D620" s="45" t="s">
        <v>138</v>
      </c>
      <c r="E620" s="45" t="s">
        <v>229</v>
      </c>
      <c r="F620" s="45" t="s">
        <v>1453</v>
      </c>
      <c r="G620" s="46" t="n">
        <v>46174</v>
      </c>
      <c r="H620" s="45" t="s">
        <v>167</v>
      </c>
      <c r="I620" s="45" t="s">
        <v>175</v>
      </c>
      <c r="J620" s="45" t="s">
        <v>1260</v>
      </c>
      <c r="K620" s="45" t="n">
        <v>0.5</v>
      </c>
      <c r="L620" s="45" t="s">
        <v>263</v>
      </c>
      <c r="M620" s="45" t="s">
        <v>259</v>
      </c>
      <c r="N620" s="45" t="s">
        <v>167</v>
      </c>
      <c r="O620" s="47" t="n">
        <v>46176.8225115741</v>
      </c>
      <c r="P620" s="47" t="n">
        <v>46176.8228472222</v>
      </c>
    </row>
    <row r="621" customFormat="false" ht="15" hidden="false" customHeight="false" outlineLevel="0" collapsed="false">
      <c r="A621" s="45" t="n">
        <v>826</v>
      </c>
      <c r="B621" s="46" t="n">
        <v>46176</v>
      </c>
      <c r="C621" s="45" t="s">
        <v>137</v>
      </c>
      <c r="D621" s="45" t="s">
        <v>138</v>
      </c>
      <c r="E621" s="45" t="s">
        <v>453</v>
      </c>
      <c r="F621" s="45" t="s">
        <v>1454</v>
      </c>
      <c r="G621" s="46" t="n">
        <v>46176</v>
      </c>
      <c r="H621" s="45" t="s">
        <v>57</v>
      </c>
      <c r="I621" s="45" t="s">
        <v>200</v>
      </c>
      <c r="J621" s="45" t="s">
        <v>1455</v>
      </c>
      <c r="K621" s="45" t="n">
        <v>4.7</v>
      </c>
      <c r="L621" s="45" t="s">
        <v>263</v>
      </c>
      <c r="M621" s="45" t="s">
        <v>259</v>
      </c>
      <c r="N621" s="45" t="s">
        <v>57</v>
      </c>
      <c r="O621" s="47" t="n">
        <v>46176.8228819444</v>
      </c>
      <c r="P621" s="47" t="n">
        <v>46176.8261111111</v>
      </c>
    </row>
    <row r="622" customFormat="false" ht="15" hidden="false" customHeight="false" outlineLevel="0" collapsed="false">
      <c r="A622" s="45" t="n">
        <v>827</v>
      </c>
      <c r="B622" s="46" t="n">
        <v>46176</v>
      </c>
      <c r="C622" s="45" t="s">
        <v>137</v>
      </c>
      <c r="D622" s="45" t="s">
        <v>138</v>
      </c>
      <c r="E622" s="45" t="s">
        <v>229</v>
      </c>
      <c r="F622" s="45" t="s">
        <v>1456</v>
      </c>
      <c r="G622" s="46" t="n">
        <v>46175</v>
      </c>
      <c r="H622" s="45" t="s">
        <v>167</v>
      </c>
      <c r="I622" s="45" t="s">
        <v>182</v>
      </c>
      <c r="J622" s="45" t="s">
        <v>1457</v>
      </c>
      <c r="K622" s="45" t="n">
        <v>6</v>
      </c>
      <c r="L622" s="45" t="s">
        <v>263</v>
      </c>
      <c r="M622" s="45" t="s">
        <v>259</v>
      </c>
      <c r="N622" s="45" t="s">
        <v>167</v>
      </c>
      <c r="O622" s="47" t="n">
        <v>46176.8261921296</v>
      </c>
      <c r="P622" s="47" t="n">
        <v>46176.8303472222</v>
      </c>
    </row>
    <row r="623" customFormat="false" ht="15" hidden="false" customHeight="false" outlineLevel="0" collapsed="false">
      <c r="A623" s="45" t="n">
        <v>828</v>
      </c>
      <c r="B623" s="46" t="n">
        <v>46176</v>
      </c>
      <c r="C623" s="45" t="s">
        <v>137</v>
      </c>
      <c r="D623" s="45" t="s">
        <v>138</v>
      </c>
      <c r="E623" s="45" t="s">
        <v>453</v>
      </c>
      <c r="F623" s="45" t="s">
        <v>1458</v>
      </c>
      <c r="G623" s="46" t="n">
        <v>46174</v>
      </c>
      <c r="H623" s="45" t="s">
        <v>169</v>
      </c>
      <c r="I623" s="45"/>
      <c r="J623" s="45"/>
      <c r="K623" s="45" t="n">
        <v>0.9</v>
      </c>
      <c r="L623" s="45" t="s">
        <v>263</v>
      </c>
      <c r="M623" s="45" t="s">
        <v>259</v>
      </c>
      <c r="N623" s="45" t="s">
        <v>169</v>
      </c>
      <c r="O623" s="47" t="n">
        <v>46176.8303703704</v>
      </c>
      <c r="P623" s="47" t="n">
        <v>46176.8310185185</v>
      </c>
    </row>
    <row r="624" customFormat="false" ht="15" hidden="false" customHeight="false" outlineLevel="0" collapsed="false">
      <c r="A624" s="45" t="n">
        <v>829</v>
      </c>
      <c r="B624" s="46" t="n">
        <v>46176</v>
      </c>
      <c r="C624" s="45" t="s">
        <v>141</v>
      </c>
      <c r="D624" s="45" t="s">
        <v>142</v>
      </c>
      <c r="E624" s="45" t="s">
        <v>227</v>
      </c>
      <c r="F624" s="45" t="s">
        <v>1459</v>
      </c>
      <c r="G624" s="46" t="n">
        <v>46175</v>
      </c>
      <c r="H624" s="45" t="s">
        <v>167</v>
      </c>
      <c r="I624" s="45" t="s">
        <v>176</v>
      </c>
      <c r="J624" s="45" t="s">
        <v>1460</v>
      </c>
      <c r="K624" s="45" t="n">
        <v>4</v>
      </c>
      <c r="L624" s="45" t="s">
        <v>263</v>
      </c>
      <c r="M624" s="45" t="s">
        <v>259</v>
      </c>
      <c r="N624" s="45" t="s">
        <v>167</v>
      </c>
      <c r="O624" s="47" t="n">
        <v>46176.8877199074</v>
      </c>
      <c r="P624" s="47" t="n">
        <v>46176.8905324074</v>
      </c>
    </row>
    <row r="625" customFormat="false" ht="15" hidden="false" customHeight="false" outlineLevel="0" collapsed="false">
      <c r="A625" s="45" t="n">
        <v>830</v>
      </c>
      <c r="B625" s="46" t="n">
        <v>46176</v>
      </c>
      <c r="C625" s="45" t="s">
        <v>141</v>
      </c>
      <c r="D625" s="45" t="s">
        <v>142</v>
      </c>
      <c r="E625" s="45" t="s">
        <v>227</v>
      </c>
      <c r="F625" s="45" t="s">
        <v>1461</v>
      </c>
      <c r="G625" s="46" t="n">
        <v>46170</v>
      </c>
      <c r="H625" s="45" t="s">
        <v>167</v>
      </c>
      <c r="I625" s="45" t="s">
        <v>175</v>
      </c>
      <c r="J625" s="45" t="s">
        <v>1462</v>
      </c>
      <c r="K625" s="45" t="n">
        <v>7.1</v>
      </c>
      <c r="L625" s="45" t="s">
        <v>263</v>
      </c>
      <c r="M625" s="45" t="s">
        <v>259</v>
      </c>
      <c r="N625" s="45" t="s">
        <v>167</v>
      </c>
      <c r="O625" s="47" t="n">
        <v>46176.9393865741</v>
      </c>
      <c r="P625" s="47" t="n">
        <v>46176.9443171296</v>
      </c>
    </row>
    <row r="626" customFormat="false" ht="15" hidden="false" customHeight="false" outlineLevel="0" collapsed="false">
      <c r="A626" s="45" t="n">
        <v>831</v>
      </c>
      <c r="B626" s="46" t="n">
        <v>46176</v>
      </c>
      <c r="C626" s="45" t="s">
        <v>141</v>
      </c>
      <c r="D626" s="45" t="s">
        <v>142</v>
      </c>
      <c r="E626" s="45" t="s">
        <v>227</v>
      </c>
      <c r="F626" s="45" t="s">
        <v>1463</v>
      </c>
      <c r="G626" s="46" t="n">
        <v>46170</v>
      </c>
      <c r="H626" s="45" t="s">
        <v>167</v>
      </c>
      <c r="I626" s="45" t="s">
        <v>175</v>
      </c>
      <c r="J626" s="45" t="s">
        <v>1464</v>
      </c>
      <c r="K626" s="45" t="n">
        <v>12.5</v>
      </c>
      <c r="L626" s="45" t="s">
        <v>263</v>
      </c>
      <c r="M626" s="45" t="s">
        <v>259</v>
      </c>
      <c r="N626" s="45" t="s">
        <v>167</v>
      </c>
      <c r="O626" s="47" t="n">
        <v>46176.9443518519</v>
      </c>
      <c r="P626" s="47" t="n">
        <v>46176.9530439815</v>
      </c>
    </row>
    <row r="627" customFormat="false" ht="15" hidden="false" customHeight="false" outlineLevel="0" collapsed="false">
      <c r="A627" s="45" t="n">
        <v>833</v>
      </c>
      <c r="B627" s="46" t="n">
        <v>46177</v>
      </c>
      <c r="C627" s="45" t="s">
        <v>135</v>
      </c>
      <c r="D627" s="45" t="s">
        <v>136</v>
      </c>
      <c r="E627" s="45" t="s">
        <v>226</v>
      </c>
      <c r="F627" s="45" t="s">
        <v>1465</v>
      </c>
      <c r="G627" s="46" t="n">
        <v>46176</v>
      </c>
      <c r="H627" s="45" t="s">
        <v>167</v>
      </c>
      <c r="I627" s="45" t="s">
        <v>175</v>
      </c>
      <c r="J627" s="45" t="s">
        <v>1466</v>
      </c>
      <c r="K627" s="45" t="n">
        <v>27.7</v>
      </c>
      <c r="L627" s="45" t="s">
        <v>259</v>
      </c>
      <c r="M627" s="45" t="s">
        <v>259</v>
      </c>
      <c r="N627" s="45" t="s">
        <v>167</v>
      </c>
      <c r="O627" s="47" t="n">
        <v>46177.0119560185</v>
      </c>
      <c r="P627" s="47" t="n">
        <v>46177.0311921296</v>
      </c>
    </row>
    <row r="628" customFormat="false" ht="15" hidden="false" customHeight="false" outlineLevel="0" collapsed="false">
      <c r="A628" s="45" t="n">
        <v>832</v>
      </c>
      <c r="B628" s="46" t="n">
        <v>46177</v>
      </c>
      <c r="C628" s="45" t="s">
        <v>133</v>
      </c>
      <c r="D628" s="45" t="s">
        <v>134</v>
      </c>
      <c r="E628" s="45" t="s">
        <v>734</v>
      </c>
      <c r="F628" s="45" t="s">
        <v>1467</v>
      </c>
      <c r="G628" s="46" t="n">
        <v>46176</v>
      </c>
      <c r="H628" s="45" t="s">
        <v>167</v>
      </c>
      <c r="I628" s="45" t="s">
        <v>175</v>
      </c>
      <c r="J628" s="45" t="s">
        <v>1468</v>
      </c>
      <c r="K628" s="45" t="n">
        <v>1.2</v>
      </c>
      <c r="L628" s="45" t="s">
        <v>263</v>
      </c>
      <c r="M628" s="45" t="s">
        <v>259</v>
      </c>
      <c r="N628" s="45" t="s">
        <v>167</v>
      </c>
      <c r="O628" s="47" t="n">
        <v>46177.0213425926</v>
      </c>
      <c r="P628" s="47" t="n">
        <v>46177.0221527778</v>
      </c>
    </row>
    <row r="629" customFormat="false" ht="15" hidden="false" customHeight="false" outlineLevel="0" collapsed="false">
      <c r="A629" s="45" t="n">
        <v>834</v>
      </c>
      <c r="B629" s="46" t="n">
        <v>46177</v>
      </c>
      <c r="C629" s="45" t="s">
        <v>133</v>
      </c>
      <c r="D629" s="45" t="s">
        <v>134</v>
      </c>
      <c r="E629" s="45" t="s">
        <v>917</v>
      </c>
      <c r="F629" s="45" t="s">
        <v>1469</v>
      </c>
      <c r="G629" s="46" t="n">
        <v>46176</v>
      </c>
      <c r="H629" s="45" t="s">
        <v>168</v>
      </c>
      <c r="I629" s="45" t="s">
        <v>191</v>
      </c>
      <c r="J629" s="45" t="s">
        <v>1470</v>
      </c>
      <c r="K629" s="45" t="n">
        <v>13.5</v>
      </c>
      <c r="L629" s="45" t="s">
        <v>263</v>
      </c>
      <c r="M629" s="45" t="s">
        <v>259</v>
      </c>
      <c r="N629" s="45" t="s">
        <v>264</v>
      </c>
      <c r="O629" s="47" t="n">
        <v>46177.0221759259</v>
      </c>
      <c r="P629" s="47" t="n">
        <v>46177.0315509259</v>
      </c>
    </row>
    <row r="630" customFormat="false" ht="15" hidden="false" customHeight="false" outlineLevel="0" collapsed="false">
      <c r="A630" s="45" t="n">
        <v>835</v>
      </c>
      <c r="B630" s="46" t="n">
        <v>46177</v>
      </c>
      <c r="C630" s="45" t="s">
        <v>133</v>
      </c>
      <c r="D630" s="45" t="s">
        <v>134</v>
      </c>
      <c r="E630" s="45" t="s">
        <v>734</v>
      </c>
      <c r="F630" s="45" t="s">
        <v>1471</v>
      </c>
      <c r="G630" s="46" t="n">
        <v>46176</v>
      </c>
      <c r="H630" s="45" t="s">
        <v>167</v>
      </c>
      <c r="I630" s="45" t="s">
        <v>175</v>
      </c>
      <c r="J630" s="45" t="s">
        <v>1472</v>
      </c>
      <c r="K630" s="45" t="n">
        <v>7.5</v>
      </c>
      <c r="L630" s="45" t="s">
        <v>263</v>
      </c>
      <c r="M630" s="45" t="s">
        <v>259</v>
      </c>
      <c r="N630" s="45" t="s">
        <v>167</v>
      </c>
      <c r="O630" s="47" t="n">
        <v>46177.0318981482</v>
      </c>
      <c r="P630" s="47" t="n">
        <v>46177.0371296296</v>
      </c>
    </row>
    <row r="631" customFormat="false" ht="15" hidden="false" customHeight="false" outlineLevel="0" collapsed="false">
      <c r="A631" s="45" t="n">
        <v>836</v>
      </c>
      <c r="B631" s="46" t="n">
        <v>46177</v>
      </c>
      <c r="C631" s="45" t="s">
        <v>141</v>
      </c>
      <c r="D631" s="45" t="s">
        <v>142</v>
      </c>
      <c r="E631" s="45" t="s">
        <v>421</v>
      </c>
      <c r="F631" s="45" t="s">
        <v>1473</v>
      </c>
      <c r="G631" s="46" t="n">
        <v>46176</v>
      </c>
      <c r="H631" s="45" t="s">
        <v>167</v>
      </c>
      <c r="I631" s="45" t="s">
        <v>175</v>
      </c>
      <c r="J631" s="45" t="s">
        <v>1474</v>
      </c>
      <c r="K631" s="45" t="n">
        <v>8.8</v>
      </c>
      <c r="L631" s="45" t="s">
        <v>263</v>
      </c>
      <c r="M631" s="45" t="s">
        <v>259</v>
      </c>
      <c r="N631" s="45" t="s">
        <v>167</v>
      </c>
      <c r="O631" s="47" t="n">
        <v>46177.6587152778</v>
      </c>
      <c r="P631" s="47" t="n">
        <v>46177.6648611111</v>
      </c>
    </row>
    <row r="632" customFormat="false" ht="15" hidden="false" customHeight="false" outlineLevel="0" collapsed="false">
      <c r="A632" s="45" t="n">
        <v>837</v>
      </c>
      <c r="B632" s="46" t="n">
        <v>46177</v>
      </c>
      <c r="C632" s="45" t="s">
        <v>131</v>
      </c>
      <c r="D632" s="45" t="s">
        <v>132</v>
      </c>
      <c r="E632" s="45" t="s">
        <v>577</v>
      </c>
      <c r="F632" s="45" t="s">
        <v>1475</v>
      </c>
      <c r="G632" s="46" t="n">
        <v>46176</v>
      </c>
      <c r="H632" s="45" t="s">
        <v>167</v>
      </c>
      <c r="I632" s="45" t="s">
        <v>175</v>
      </c>
      <c r="J632" s="45" t="s">
        <v>1476</v>
      </c>
      <c r="K632" s="45" t="n">
        <v>2</v>
      </c>
      <c r="L632" s="45" t="s">
        <v>263</v>
      </c>
      <c r="M632" s="45" t="s">
        <v>259</v>
      </c>
      <c r="N632" s="45" t="s">
        <v>167</v>
      </c>
      <c r="O632" s="47" t="n">
        <v>46177.6953125</v>
      </c>
      <c r="P632" s="47" t="n">
        <v>46177.6966782407</v>
      </c>
    </row>
    <row r="633" customFormat="false" ht="15" hidden="false" customHeight="false" outlineLevel="0" collapsed="false">
      <c r="A633" s="45" t="n">
        <v>838</v>
      </c>
      <c r="B633" s="46" t="n">
        <v>46177</v>
      </c>
      <c r="C633" s="45" t="s">
        <v>131</v>
      </c>
      <c r="D633" s="45" t="s">
        <v>132</v>
      </c>
      <c r="E633" s="45" t="s">
        <v>1034</v>
      </c>
      <c r="F633" s="45" t="s">
        <v>1477</v>
      </c>
      <c r="G633" s="46" t="n">
        <v>46176</v>
      </c>
      <c r="H633" s="45" t="s">
        <v>167</v>
      </c>
      <c r="I633" s="45" t="s">
        <v>175</v>
      </c>
      <c r="J633" s="45" t="s">
        <v>1478</v>
      </c>
      <c r="K633" s="45" t="n">
        <v>3.4</v>
      </c>
      <c r="L633" s="45" t="s">
        <v>263</v>
      </c>
      <c r="M633" s="45" t="s">
        <v>259</v>
      </c>
      <c r="N633" s="45" t="s">
        <v>167</v>
      </c>
      <c r="O633" s="47" t="n">
        <v>46177.6969328704</v>
      </c>
      <c r="P633" s="47" t="n">
        <v>46177.6992708333</v>
      </c>
    </row>
    <row r="634" customFormat="false" ht="15" hidden="false" customHeight="false" outlineLevel="0" collapsed="false">
      <c r="A634" s="45" t="n">
        <v>839</v>
      </c>
      <c r="B634" s="46" t="n">
        <v>46177</v>
      </c>
      <c r="C634" s="45" t="s">
        <v>143</v>
      </c>
      <c r="D634" s="45" t="s">
        <v>144</v>
      </c>
      <c r="E634" s="45" t="s">
        <v>230</v>
      </c>
      <c r="F634" s="45" t="s">
        <v>1479</v>
      </c>
      <c r="G634" s="46" t="n">
        <v>46171</v>
      </c>
      <c r="H634" s="45" t="s">
        <v>167</v>
      </c>
      <c r="I634" s="45" t="s">
        <v>175</v>
      </c>
      <c r="J634" s="45" t="s">
        <v>1480</v>
      </c>
      <c r="K634" s="45" t="n">
        <v>41.9</v>
      </c>
      <c r="L634" s="45" t="s">
        <v>263</v>
      </c>
      <c r="M634" s="45" t="s">
        <v>259</v>
      </c>
      <c r="N634" s="45" t="s">
        <v>167</v>
      </c>
      <c r="O634" s="47" t="n">
        <v>46177.7473263889</v>
      </c>
      <c r="P634" s="47" t="n">
        <v>46177.7764236111</v>
      </c>
    </row>
    <row r="635" customFormat="false" ht="15" hidden="false" customHeight="false" outlineLevel="0" collapsed="false">
      <c r="A635" s="45" t="n">
        <v>840</v>
      </c>
      <c r="B635" s="46" t="n">
        <v>46177</v>
      </c>
      <c r="C635" s="45" t="s">
        <v>143</v>
      </c>
      <c r="D635" s="45" t="s">
        <v>144</v>
      </c>
      <c r="E635" s="45" t="s">
        <v>223</v>
      </c>
      <c r="F635" s="45" t="s">
        <v>1481</v>
      </c>
      <c r="G635" s="46" t="n">
        <v>46174</v>
      </c>
      <c r="H635" s="45" t="s">
        <v>169</v>
      </c>
      <c r="I635" s="45"/>
      <c r="J635" s="45"/>
      <c r="K635" s="45" t="n">
        <v>2.2</v>
      </c>
      <c r="L635" s="45" t="s">
        <v>263</v>
      </c>
      <c r="M635" s="45" t="s">
        <v>259</v>
      </c>
      <c r="N635" s="45" t="s">
        <v>169</v>
      </c>
      <c r="O635" s="47" t="n">
        <v>46177.7764699074</v>
      </c>
      <c r="P635" s="47" t="n">
        <v>46177.7780324074</v>
      </c>
    </row>
    <row r="636" customFormat="false" ht="15" hidden="false" customHeight="false" outlineLevel="0" collapsed="false">
      <c r="A636" s="45" t="n">
        <v>841</v>
      </c>
      <c r="B636" s="46" t="n">
        <v>46177</v>
      </c>
      <c r="C636" s="45" t="s">
        <v>143</v>
      </c>
      <c r="D636" s="45" t="s">
        <v>144</v>
      </c>
      <c r="E636" s="45" t="s">
        <v>564</v>
      </c>
      <c r="F636" s="45" t="s">
        <v>1482</v>
      </c>
      <c r="G636" s="46" t="n">
        <v>46174</v>
      </c>
      <c r="H636" s="45" t="s">
        <v>167</v>
      </c>
      <c r="I636" s="45" t="s">
        <v>175</v>
      </c>
      <c r="J636" s="45" t="s">
        <v>1483</v>
      </c>
      <c r="K636" s="45" t="n">
        <v>3.1</v>
      </c>
      <c r="L636" s="45" t="s">
        <v>263</v>
      </c>
      <c r="M636" s="45" t="s">
        <v>259</v>
      </c>
      <c r="N636" s="45" t="s">
        <v>167</v>
      </c>
      <c r="O636" s="47" t="n">
        <v>46177.7780787037</v>
      </c>
      <c r="P636" s="47" t="n">
        <v>46177.7802314815</v>
      </c>
    </row>
    <row r="637" customFormat="false" ht="15" hidden="false" customHeight="false" outlineLevel="0" collapsed="false">
      <c r="A637" s="45" t="n">
        <v>842</v>
      </c>
      <c r="B637" s="46" t="n">
        <v>46177</v>
      </c>
      <c r="C637" s="45" t="s">
        <v>143</v>
      </c>
      <c r="D637" s="45" t="s">
        <v>144</v>
      </c>
      <c r="E637" s="45" t="s">
        <v>669</v>
      </c>
      <c r="F637" s="45" t="s">
        <v>1484</v>
      </c>
      <c r="G637" s="46" t="n">
        <v>46174</v>
      </c>
      <c r="H637" s="45" t="s">
        <v>57</v>
      </c>
      <c r="I637" s="45" t="s">
        <v>201</v>
      </c>
      <c r="J637" s="45" t="s">
        <v>1485</v>
      </c>
      <c r="K637" s="45" t="n">
        <v>30.4</v>
      </c>
      <c r="L637" s="45" t="s">
        <v>263</v>
      </c>
      <c r="M637" s="45" t="s">
        <v>259</v>
      </c>
      <c r="N637" s="45" t="s">
        <v>57</v>
      </c>
      <c r="O637" s="47" t="n">
        <v>46177.7802662037</v>
      </c>
      <c r="P637" s="47" t="n">
        <v>46177.8013425926</v>
      </c>
    </row>
    <row r="638" customFormat="false" ht="15" hidden="false" customHeight="false" outlineLevel="0" collapsed="false">
      <c r="A638" s="45" t="n">
        <v>843</v>
      </c>
      <c r="B638" s="46" t="n">
        <v>46177</v>
      </c>
      <c r="C638" s="45" t="s">
        <v>143</v>
      </c>
      <c r="D638" s="45" t="s">
        <v>144</v>
      </c>
      <c r="E638" s="45" t="s">
        <v>669</v>
      </c>
      <c r="F638" s="45" t="s">
        <v>1486</v>
      </c>
      <c r="G638" s="46" t="n">
        <v>46174</v>
      </c>
      <c r="H638" s="45" t="s">
        <v>167</v>
      </c>
      <c r="I638" s="45" t="s">
        <v>175</v>
      </c>
      <c r="J638" s="45" t="s">
        <v>1487</v>
      </c>
      <c r="K638" s="45" t="n">
        <v>112.6</v>
      </c>
      <c r="L638" s="45" t="s">
        <v>263</v>
      </c>
      <c r="M638" s="45" t="s">
        <v>259</v>
      </c>
      <c r="N638" s="45" t="s">
        <v>167</v>
      </c>
      <c r="O638" s="47" t="n">
        <v>46177.801400463</v>
      </c>
      <c r="P638" s="47" t="n">
        <v>46177.8795949074</v>
      </c>
    </row>
    <row r="639" customFormat="false" ht="15" hidden="false" customHeight="false" outlineLevel="0" collapsed="false">
      <c r="A639" s="45" t="n">
        <v>844</v>
      </c>
      <c r="B639" s="46" t="n">
        <v>46177</v>
      </c>
      <c r="C639" s="45" t="s">
        <v>143</v>
      </c>
      <c r="D639" s="45" t="s">
        <v>144</v>
      </c>
      <c r="E639" s="45" t="s">
        <v>564</v>
      </c>
      <c r="F639" s="45" t="s">
        <v>1488</v>
      </c>
      <c r="G639" s="46" t="n">
        <v>46175</v>
      </c>
      <c r="H639" s="45" t="s">
        <v>167</v>
      </c>
      <c r="I639" s="45" t="s">
        <v>175</v>
      </c>
      <c r="J639" s="45" t="s">
        <v>1489</v>
      </c>
      <c r="K639" s="45" t="n">
        <v>53.1</v>
      </c>
      <c r="L639" s="45" t="s">
        <v>263</v>
      </c>
      <c r="M639" s="45" t="s">
        <v>259</v>
      </c>
      <c r="N639" s="45" t="s">
        <v>167</v>
      </c>
      <c r="O639" s="47" t="n">
        <v>46177.8796296296</v>
      </c>
      <c r="P639" s="47" t="n">
        <v>46177.9165046296</v>
      </c>
    </row>
    <row r="640" customFormat="false" ht="15" hidden="false" customHeight="false" outlineLevel="0" collapsed="false">
      <c r="A640" s="45" t="n">
        <v>845</v>
      </c>
      <c r="B640" s="46" t="n">
        <v>46177</v>
      </c>
      <c r="C640" s="45" t="s">
        <v>143</v>
      </c>
      <c r="D640" s="45" t="s">
        <v>144</v>
      </c>
      <c r="E640" s="45" t="s">
        <v>372</v>
      </c>
      <c r="F640" s="45" t="s">
        <v>1490</v>
      </c>
      <c r="G640" s="46" t="n">
        <v>46175</v>
      </c>
      <c r="H640" s="45" t="s">
        <v>167</v>
      </c>
      <c r="I640" s="45" t="s">
        <v>175</v>
      </c>
      <c r="J640" s="45" t="s">
        <v>1491</v>
      </c>
      <c r="K640" s="45" t="n">
        <v>14.6</v>
      </c>
      <c r="L640" s="45" t="s">
        <v>263</v>
      </c>
      <c r="M640" s="45" t="s">
        <v>259</v>
      </c>
      <c r="N640" s="45" t="s">
        <v>167</v>
      </c>
      <c r="O640" s="47" t="n">
        <v>46177.9177083333</v>
      </c>
      <c r="P640" s="47" t="n">
        <v>46177.9278472222</v>
      </c>
    </row>
    <row r="641" customFormat="false" ht="15" hidden="false" customHeight="false" outlineLevel="0" collapsed="false">
      <c r="A641" s="45" t="n">
        <v>846</v>
      </c>
      <c r="B641" s="46" t="n">
        <v>46177</v>
      </c>
      <c r="C641" s="45" t="s">
        <v>143</v>
      </c>
      <c r="D641" s="45" t="s">
        <v>144</v>
      </c>
      <c r="E641" s="45" t="s">
        <v>230</v>
      </c>
      <c r="F641" s="45" t="s">
        <v>1492</v>
      </c>
      <c r="G641" s="46" t="n">
        <v>46175</v>
      </c>
      <c r="H641" s="45" t="s">
        <v>167</v>
      </c>
      <c r="I641" s="45" t="s">
        <v>175</v>
      </c>
      <c r="J641" s="45" t="s">
        <v>1493</v>
      </c>
      <c r="K641" s="45" t="n">
        <v>61.2</v>
      </c>
      <c r="L641" s="45" t="s">
        <v>263</v>
      </c>
      <c r="M641" s="45" t="s">
        <v>259</v>
      </c>
      <c r="N641" s="45" t="s">
        <v>167</v>
      </c>
      <c r="O641" s="47" t="n">
        <v>46177.9278935185</v>
      </c>
      <c r="P641" s="47" t="n">
        <v>46177.9704166667</v>
      </c>
    </row>
    <row r="642" customFormat="false" ht="15" hidden="false" customHeight="false" outlineLevel="0" collapsed="false">
      <c r="A642" s="45" t="n">
        <v>847</v>
      </c>
      <c r="B642" s="46" t="n">
        <v>46177</v>
      </c>
      <c r="C642" s="45" t="s">
        <v>143</v>
      </c>
      <c r="D642" s="45" t="s">
        <v>144</v>
      </c>
      <c r="E642" s="45" t="s">
        <v>223</v>
      </c>
      <c r="F642" s="45" t="s">
        <v>1494</v>
      </c>
      <c r="G642" s="46" t="n">
        <v>46176</v>
      </c>
      <c r="H642" s="45" t="s">
        <v>167</v>
      </c>
      <c r="I642" s="45" t="s">
        <v>175</v>
      </c>
      <c r="J642" s="45" t="s">
        <v>1495</v>
      </c>
      <c r="K642" s="45" t="n">
        <v>20.1</v>
      </c>
      <c r="L642" s="45" t="s">
        <v>263</v>
      </c>
      <c r="M642" s="45" t="s">
        <v>259</v>
      </c>
      <c r="N642" s="45" t="s">
        <v>167</v>
      </c>
      <c r="O642" s="47" t="n">
        <v>46177.9704513889</v>
      </c>
      <c r="P642" s="47" t="n">
        <v>46177.9844097222</v>
      </c>
    </row>
    <row r="643" customFormat="false" ht="15" hidden="false" customHeight="false" outlineLevel="0" collapsed="false">
      <c r="A643" s="45" t="n">
        <v>848</v>
      </c>
      <c r="B643" s="46" t="n">
        <v>46177</v>
      </c>
      <c r="C643" s="45" t="s">
        <v>143</v>
      </c>
      <c r="D643" s="45" t="s">
        <v>144</v>
      </c>
      <c r="E643" s="45" t="s">
        <v>228</v>
      </c>
      <c r="F643" s="45" t="s">
        <v>1496</v>
      </c>
      <c r="G643" s="46" t="n">
        <v>46176</v>
      </c>
      <c r="H643" s="45" t="s">
        <v>169</v>
      </c>
      <c r="I643" s="45"/>
      <c r="J643" s="45"/>
      <c r="K643" s="45" t="n">
        <v>2.9</v>
      </c>
      <c r="L643" s="45" t="s">
        <v>263</v>
      </c>
      <c r="M643" s="45" t="s">
        <v>259</v>
      </c>
      <c r="N643" s="45" t="s">
        <v>169</v>
      </c>
      <c r="O643" s="47" t="n">
        <v>46177.9844328704</v>
      </c>
      <c r="P643" s="47" t="n">
        <v>46177.986412037</v>
      </c>
    </row>
    <row r="644" customFormat="false" ht="15" hidden="false" customHeight="false" outlineLevel="0" collapsed="false">
      <c r="A644" s="45" t="n">
        <v>850</v>
      </c>
      <c r="B644" s="46" t="n">
        <v>46177</v>
      </c>
      <c r="C644" s="45" t="s">
        <v>143</v>
      </c>
      <c r="D644" s="45" t="s">
        <v>144</v>
      </c>
      <c r="E644" s="45" t="s">
        <v>223</v>
      </c>
      <c r="F644" s="45" t="s">
        <v>1497</v>
      </c>
      <c r="G644" s="46" t="n">
        <v>46176</v>
      </c>
      <c r="H644" s="45" t="s">
        <v>167</v>
      </c>
      <c r="I644" s="45" t="s">
        <v>175</v>
      </c>
      <c r="J644" s="45" t="s">
        <v>1498</v>
      </c>
      <c r="K644" s="45" t="n">
        <v>6.4</v>
      </c>
      <c r="L644" s="45" t="s">
        <v>263</v>
      </c>
      <c r="M644" s="45" t="s">
        <v>259</v>
      </c>
      <c r="N644" s="45" t="s">
        <v>167</v>
      </c>
      <c r="O644" s="47" t="n">
        <v>46177.9867592593</v>
      </c>
      <c r="P644" s="47" t="n">
        <v>46177.9912268519</v>
      </c>
    </row>
    <row r="645" customFormat="false" ht="15" hidden="false" customHeight="false" outlineLevel="0" collapsed="false">
      <c r="A645" s="45" t="n">
        <v>849</v>
      </c>
      <c r="B645" s="46" t="n">
        <v>46177</v>
      </c>
      <c r="C645" s="45" t="s">
        <v>133</v>
      </c>
      <c r="D645" s="45" t="s">
        <v>134</v>
      </c>
      <c r="E645" s="45" t="s">
        <v>917</v>
      </c>
      <c r="F645" s="45" t="s">
        <v>1499</v>
      </c>
      <c r="G645" s="46" t="n">
        <v>46177</v>
      </c>
      <c r="H645" s="45" t="s">
        <v>167</v>
      </c>
      <c r="I645" s="45" t="s">
        <v>175</v>
      </c>
      <c r="J645" s="45" t="s">
        <v>1500</v>
      </c>
      <c r="K645" s="45" t="n">
        <v>1.6</v>
      </c>
      <c r="L645" s="45" t="s">
        <v>263</v>
      </c>
      <c r="M645" s="45" t="s">
        <v>259</v>
      </c>
      <c r="N645" s="45" t="s">
        <v>167</v>
      </c>
      <c r="O645" s="47" t="n">
        <v>46177.9895138889</v>
      </c>
      <c r="P645" s="47" t="n">
        <v>46177.9906597222</v>
      </c>
    </row>
    <row r="646" customFormat="false" ht="15" hidden="false" customHeight="false" outlineLevel="0" collapsed="false">
      <c r="A646" s="45" t="n">
        <v>852</v>
      </c>
      <c r="B646" s="46" t="n">
        <v>46177</v>
      </c>
      <c r="C646" s="45" t="s">
        <v>133</v>
      </c>
      <c r="D646" s="45" t="s">
        <v>134</v>
      </c>
      <c r="E646" s="45" t="s">
        <v>219</v>
      </c>
      <c r="F646" s="45" t="s">
        <v>1501</v>
      </c>
      <c r="G646" s="46" t="n">
        <v>46177</v>
      </c>
      <c r="H646" s="45" t="s">
        <v>57</v>
      </c>
      <c r="I646" s="45" t="s">
        <v>200</v>
      </c>
      <c r="J646" s="45" t="s">
        <v>1502</v>
      </c>
      <c r="K646" s="45" t="n">
        <v>8.6</v>
      </c>
      <c r="L646" s="45" t="s">
        <v>263</v>
      </c>
      <c r="M646" s="45" t="s">
        <v>259</v>
      </c>
      <c r="N646" s="45" t="s">
        <v>57</v>
      </c>
      <c r="O646" s="47" t="n">
        <v>46177.9911111111</v>
      </c>
      <c r="P646" s="47" t="n">
        <v>46177.9970717593</v>
      </c>
    </row>
    <row r="647" customFormat="false" ht="15" hidden="false" customHeight="false" outlineLevel="0" collapsed="false">
      <c r="A647" s="45" t="n">
        <v>851</v>
      </c>
      <c r="B647" s="46" t="n">
        <v>46177</v>
      </c>
      <c r="C647" s="45" t="s">
        <v>143</v>
      </c>
      <c r="D647" s="45" t="s">
        <v>144</v>
      </c>
      <c r="E647" s="45" t="s">
        <v>372</v>
      </c>
      <c r="F647" s="45" t="s">
        <v>1503</v>
      </c>
      <c r="G647" s="46" t="n">
        <v>46176</v>
      </c>
      <c r="H647" s="45" t="s">
        <v>57</v>
      </c>
      <c r="I647" s="45" t="s">
        <v>200</v>
      </c>
      <c r="J647" s="45" t="s">
        <v>1504</v>
      </c>
      <c r="K647" s="45" t="n">
        <v>3.1</v>
      </c>
      <c r="L647" s="45" t="s">
        <v>263</v>
      </c>
      <c r="M647" s="45" t="s">
        <v>259</v>
      </c>
      <c r="N647" s="45" t="s">
        <v>57</v>
      </c>
      <c r="O647" s="47" t="n">
        <v>46177.9912615741</v>
      </c>
      <c r="P647" s="47" t="n">
        <v>46177.9934375</v>
      </c>
    </row>
    <row r="648" customFormat="false" ht="15" hidden="false" customHeight="false" outlineLevel="0" collapsed="false">
      <c r="A648" s="45" t="n">
        <v>853</v>
      </c>
      <c r="B648" s="46" t="n">
        <v>46178</v>
      </c>
      <c r="C648" s="45" t="s">
        <v>133</v>
      </c>
      <c r="D648" s="45" t="s">
        <v>134</v>
      </c>
      <c r="E648" s="45" t="s">
        <v>234</v>
      </c>
      <c r="F648" s="45" t="s">
        <v>1505</v>
      </c>
      <c r="G648" s="46" t="n">
        <v>46177</v>
      </c>
      <c r="H648" s="45" t="s">
        <v>167</v>
      </c>
      <c r="I648" s="45" t="s">
        <v>175</v>
      </c>
      <c r="J648" s="45" t="s">
        <v>1506</v>
      </c>
      <c r="K648" s="45" t="n">
        <v>17.3</v>
      </c>
      <c r="L648" s="45" t="s">
        <v>263</v>
      </c>
      <c r="M648" s="45" t="s">
        <v>259</v>
      </c>
      <c r="N648" s="45" t="s">
        <v>167</v>
      </c>
      <c r="O648" s="47" t="n">
        <v>46178.0061805556</v>
      </c>
      <c r="P648" s="47" t="n">
        <v>46178.0181828704</v>
      </c>
    </row>
    <row r="649" customFormat="false" ht="15" hidden="false" customHeight="false" outlineLevel="0" collapsed="false">
      <c r="A649" s="45" t="n">
        <v>854</v>
      </c>
      <c r="B649" s="46" t="n">
        <v>46178</v>
      </c>
      <c r="C649" s="45" t="s">
        <v>135</v>
      </c>
      <c r="D649" s="45" t="s">
        <v>136</v>
      </c>
      <c r="E649" s="45" t="s">
        <v>226</v>
      </c>
      <c r="F649" s="45" t="s">
        <v>1507</v>
      </c>
      <c r="G649" s="46" t="n">
        <v>46177</v>
      </c>
      <c r="H649" s="45" t="s">
        <v>169</v>
      </c>
      <c r="I649" s="45"/>
      <c r="J649" s="45"/>
      <c r="K649" s="45" t="n">
        <v>6.8</v>
      </c>
      <c r="L649" s="45" t="s">
        <v>263</v>
      </c>
      <c r="M649" s="45" t="s">
        <v>259</v>
      </c>
      <c r="N649" s="45" t="s">
        <v>169</v>
      </c>
      <c r="O649" s="47" t="n">
        <v>46178.0342939815</v>
      </c>
      <c r="P649" s="47" t="n">
        <v>46178.0390162037</v>
      </c>
    </row>
    <row r="650" customFormat="false" ht="15" hidden="false" customHeight="false" outlineLevel="0" collapsed="false">
      <c r="A650" s="45" t="n">
        <v>855</v>
      </c>
      <c r="B650" s="46" t="n">
        <v>46178</v>
      </c>
      <c r="C650" s="45" t="s">
        <v>135</v>
      </c>
      <c r="D650" s="45" t="s">
        <v>136</v>
      </c>
      <c r="E650" s="45" t="s">
        <v>226</v>
      </c>
      <c r="F650" s="45" t="s">
        <v>1508</v>
      </c>
      <c r="G650" s="46" t="n">
        <v>46177</v>
      </c>
      <c r="H650" s="45" t="s">
        <v>169</v>
      </c>
      <c r="I650" s="45"/>
      <c r="J650" s="45"/>
      <c r="K650" s="45" t="n">
        <v>3</v>
      </c>
      <c r="L650" s="45" t="s">
        <v>263</v>
      </c>
      <c r="M650" s="45" t="s">
        <v>259</v>
      </c>
      <c r="N650" s="45" t="s">
        <v>169</v>
      </c>
      <c r="O650" s="47" t="n">
        <v>46178.0390509259</v>
      </c>
      <c r="P650" s="47" t="n">
        <v>46178.0411574074</v>
      </c>
    </row>
    <row r="651" customFormat="false" ht="15" hidden="false" customHeight="false" outlineLevel="0" collapsed="false">
      <c r="A651" s="45" t="n">
        <v>856</v>
      </c>
      <c r="B651" s="46" t="n">
        <v>46178</v>
      </c>
      <c r="C651" s="45" t="s">
        <v>135</v>
      </c>
      <c r="D651" s="45" t="s">
        <v>136</v>
      </c>
      <c r="E651" s="45" t="s">
        <v>492</v>
      </c>
      <c r="F651" s="45" t="s">
        <v>1509</v>
      </c>
      <c r="G651" s="46" t="n">
        <v>46177</v>
      </c>
      <c r="H651" s="45" t="s">
        <v>169</v>
      </c>
      <c r="I651" s="45"/>
      <c r="J651" s="45"/>
      <c r="K651" s="45" t="n">
        <v>2</v>
      </c>
      <c r="L651" s="45" t="s">
        <v>263</v>
      </c>
      <c r="M651" s="45" t="s">
        <v>259</v>
      </c>
      <c r="N651" s="45" t="s">
        <v>169</v>
      </c>
      <c r="O651" s="47" t="n">
        <v>46178.0419907407</v>
      </c>
      <c r="P651" s="47" t="n">
        <v>46178.0433680556</v>
      </c>
    </row>
    <row r="652" customFormat="false" ht="15" hidden="false" customHeight="false" outlineLevel="0" collapsed="false">
      <c r="A652" s="45" t="n">
        <v>857</v>
      </c>
      <c r="B652" s="46" t="n">
        <v>46178</v>
      </c>
      <c r="C652" s="45" t="s">
        <v>135</v>
      </c>
      <c r="D652" s="45" t="s">
        <v>136</v>
      </c>
      <c r="E652" s="45" t="s">
        <v>236</v>
      </c>
      <c r="F652" s="45" t="s">
        <v>1510</v>
      </c>
      <c r="G652" s="46" t="n">
        <v>46175</v>
      </c>
      <c r="H652" s="45" t="s">
        <v>167</v>
      </c>
      <c r="I652" s="45" t="s">
        <v>175</v>
      </c>
      <c r="J652" s="45" t="s">
        <v>1511</v>
      </c>
      <c r="K652" s="45" t="n">
        <v>9.8</v>
      </c>
      <c r="L652" s="45" t="s">
        <v>263</v>
      </c>
      <c r="M652" s="45" t="s">
        <v>259</v>
      </c>
      <c r="N652" s="45" t="s">
        <v>167</v>
      </c>
      <c r="O652" s="47" t="n">
        <v>46178.0434143519</v>
      </c>
      <c r="P652" s="47" t="n">
        <v>46178.0502083333</v>
      </c>
    </row>
    <row r="653" customFormat="false" ht="15" hidden="false" customHeight="false" outlineLevel="0" collapsed="false">
      <c r="A653" s="45" t="n">
        <v>858</v>
      </c>
      <c r="B653" s="46" t="n">
        <v>46178</v>
      </c>
      <c r="C653" s="45" t="s">
        <v>135</v>
      </c>
      <c r="D653" s="45" t="s">
        <v>136</v>
      </c>
      <c r="E653" s="45" t="s">
        <v>475</v>
      </c>
      <c r="F653" s="45" t="s">
        <v>1512</v>
      </c>
      <c r="G653" s="46" t="n">
        <v>46177</v>
      </c>
      <c r="H653" s="45" t="s">
        <v>169</v>
      </c>
      <c r="I653" s="45"/>
      <c r="J653" s="45"/>
      <c r="K653" s="45" t="n">
        <v>2.6</v>
      </c>
      <c r="L653" s="45" t="s">
        <v>263</v>
      </c>
      <c r="M653" s="45" t="s">
        <v>259</v>
      </c>
      <c r="N653" s="45" t="s">
        <v>169</v>
      </c>
      <c r="O653" s="47" t="n">
        <v>46178.0516087963</v>
      </c>
      <c r="P653" s="47" t="n">
        <v>46178.0534259259</v>
      </c>
    </row>
    <row r="654" customFormat="false" ht="15" hidden="false" customHeight="false" outlineLevel="0" collapsed="false">
      <c r="A654" s="45" t="n">
        <v>861</v>
      </c>
      <c r="B654" s="46" t="n">
        <v>46178</v>
      </c>
      <c r="C654" s="45" t="s">
        <v>143</v>
      </c>
      <c r="D654" s="45" t="s">
        <v>144</v>
      </c>
      <c r="E654" s="45" t="s">
        <v>372</v>
      </c>
      <c r="F654" s="45" t="s">
        <v>1513</v>
      </c>
      <c r="G654" s="46" t="n">
        <v>46177</v>
      </c>
      <c r="H654" s="45" t="s">
        <v>167</v>
      </c>
      <c r="I654" s="45" t="s">
        <v>175</v>
      </c>
      <c r="J654" s="45" t="s">
        <v>1514</v>
      </c>
      <c r="K654" s="45" t="n">
        <v>69.8</v>
      </c>
      <c r="L654" s="45" t="s">
        <v>263</v>
      </c>
      <c r="M654" s="45" t="s">
        <v>259</v>
      </c>
      <c r="N654" s="45" t="s">
        <v>167</v>
      </c>
      <c r="O654" s="47" t="n">
        <v>46178.6373726852</v>
      </c>
      <c r="P654" s="47" t="n">
        <v>46178.6858449074</v>
      </c>
    </row>
    <row r="655" customFormat="false" ht="15" hidden="false" customHeight="false" outlineLevel="0" collapsed="false">
      <c r="A655" s="45" t="n">
        <v>859</v>
      </c>
      <c r="B655" s="46" t="n">
        <v>46178</v>
      </c>
      <c r="C655" s="45" t="s">
        <v>141</v>
      </c>
      <c r="D655" s="45" t="s">
        <v>142</v>
      </c>
      <c r="E655" s="45" t="s">
        <v>227</v>
      </c>
      <c r="F655" s="45" t="s">
        <v>1515</v>
      </c>
      <c r="G655" s="46" t="n">
        <v>46170</v>
      </c>
      <c r="H655" s="45" t="s">
        <v>167</v>
      </c>
      <c r="I655" s="45" t="s">
        <v>175</v>
      </c>
      <c r="J655" s="45" t="s">
        <v>1516</v>
      </c>
      <c r="K655" s="45" t="n">
        <v>0.9</v>
      </c>
      <c r="L655" s="45" t="s">
        <v>263</v>
      </c>
      <c r="M655" s="45" t="s">
        <v>259</v>
      </c>
      <c r="N655" s="45" t="s">
        <v>167</v>
      </c>
      <c r="O655" s="47" t="n">
        <v>46178.642662037</v>
      </c>
      <c r="P655" s="47" t="n">
        <v>46178.6433217593</v>
      </c>
    </row>
    <row r="656" customFormat="false" ht="15" hidden="false" customHeight="false" outlineLevel="0" collapsed="false">
      <c r="A656" s="45" t="n">
        <v>860</v>
      </c>
      <c r="B656" s="46" t="n">
        <v>46178</v>
      </c>
      <c r="C656" s="45" t="s">
        <v>141</v>
      </c>
      <c r="D656" s="45" t="s">
        <v>142</v>
      </c>
      <c r="E656" s="45" t="s">
        <v>227</v>
      </c>
      <c r="F656" s="45" t="s">
        <v>1517</v>
      </c>
      <c r="G656" s="46" t="n">
        <v>46176</v>
      </c>
      <c r="H656" s="45" t="s">
        <v>167</v>
      </c>
      <c r="I656" s="45" t="s">
        <v>175</v>
      </c>
      <c r="J656" s="45" t="s">
        <v>1518</v>
      </c>
      <c r="K656" s="45" t="n">
        <v>0.7</v>
      </c>
      <c r="L656" s="45" t="s">
        <v>263</v>
      </c>
      <c r="M656" s="45" t="s">
        <v>259</v>
      </c>
      <c r="N656" s="45" t="s">
        <v>167</v>
      </c>
      <c r="O656" s="47" t="n">
        <v>46178.6515277778</v>
      </c>
      <c r="P656" s="47" t="n">
        <v>46178.6519791667</v>
      </c>
    </row>
    <row r="657" customFormat="false" ht="15" hidden="false" customHeight="false" outlineLevel="0" collapsed="false">
      <c r="A657" s="45" t="n">
        <v>863</v>
      </c>
      <c r="B657" s="46" t="n">
        <v>46178</v>
      </c>
      <c r="C657" s="45" t="s">
        <v>141</v>
      </c>
      <c r="D657" s="45" t="s">
        <v>142</v>
      </c>
      <c r="E657" s="45" t="s">
        <v>227</v>
      </c>
      <c r="F657" s="45" t="s">
        <v>1519</v>
      </c>
      <c r="G657" s="46" t="n">
        <v>46176</v>
      </c>
      <c r="H657" s="45" t="s">
        <v>167</v>
      </c>
      <c r="I657" s="45" t="s">
        <v>175</v>
      </c>
      <c r="J657" s="45" t="s">
        <v>1520</v>
      </c>
      <c r="K657" s="45" t="n">
        <v>60.7</v>
      </c>
      <c r="L657" s="45" t="s">
        <v>263</v>
      </c>
      <c r="M657" s="45" t="s">
        <v>259</v>
      </c>
      <c r="N657" s="45" t="s">
        <v>167</v>
      </c>
      <c r="O657" s="47" t="n">
        <v>46178.6520486111</v>
      </c>
      <c r="P657" s="47" t="n">
        <v>46178.694224537</v>
      </c>
    </row>
    <row r="658" customFormat="false" ht="15" hidden="false" customHeight="false" outlineLevel="0" collapsed="false">
      <c r="A658" s="45" t="n">
        <v>862</v>
      </c>
      <c r="B658" s="46" t="n">
        <v>46178</v>
      </c>
      <c r="C658" s="45" t="s">
        <v>143</v>
      </c>
      <c r="D658" s="45" t="s">
        <v>144</v>
      </c>
      <c r="E658" s="45" t="s">
        <v>228</v>
      </c>
      <c r="F658" s="45" t="s">
        <v>1521</v>
      </c>
      <c r="G658" s="46" t="n">
        <v>46177</v>
      </c>
      <c r="H658" s="45" t="s">
        <v>167</v>
      </c>
      <c r="I658" s="45" t="s">
        <v>175</v>
      </c>
      <c r="J658" s="45" t="s">
        <v>1522</v>
      </c>
      <c r="K658" s="45" t="n">
        <v>3.2</v>
      </c>
      <c r="L658" s="45" t="s">
        <v>263</v>
      </c>
      <c r="M658" s="45" t="s">
        <v>259</v>
      </c>
      <c r="N658" s="45" t="s">
        <v>167</v>
      </c>
      <c r="O658" s="47" t="n">
        <v>46178.6862384259</v>
      </c>
      <c r="P658" s="47" t="n">
        <v>46178.6884490741</v>
      </c>
    </row>
    <row r="659" customFormat="false" ht="15" hidden="false" customHeight="false" outlineLevel="0" collapsed="false">
      <c r="A659" s="45" t="n">
        <v>865</v>
      </c>
      <c r="B659" s="46" t="n">
        <v>46178</v>
      </c>
      <c r="C659" s="45" t="s">
        <v>141</v>
      </c>
      <c r="D659" s="45" t="s">
        <v>142</v>
      </c>
      <c r="E659" s="45" t="s">
        <v>1027</v>
      </c>
      <c r="F659" s="45" t="s">
        <v>1523</v>
      </c>
      <c r="G659" s="46" t="n">
        <v>46176</v>
      </c>
      <c r="H659" s="45" t="s">
        <v>167</v>
      </c>
      <c r="I659" s="45" t="s">
        <v>175</v>
      </c>
      <c r="J659" s="45" t="s">
        <v>1524</v>
      </c>
      <c r="K659" s="45" t="n">
        <v>31.1</v>
      </c>
      <c r="L659" s="45" t="s">
        <v>263</v>
      </c>
      <c r="M659" s="45" t="s">
        <v>259</v>
      </c>
      <c r="N659" s="45" t="s">
        <v>167</v>
      </c>
      <c r="O659" s="47" t="n">
        <v>46178.6946643519</v>
      </c>
      <c r="P659" s="47" t="n">
        <v>46178.7162268519</v>
      </c>
    </row>
    <row r="660" customFormat="false" ht="15" hidden="false" customHeight="false" outlineLevel="0" collapsed="false">
      <c r="A660" s="45" t="n">
        <v>864</v>
      </c>
      <c r="B660" s="46" t="n">
        <v>46178</v>
      </c>
      <c r="C660" s="45" t="s">
        <v>131</v>
      </c>
      <c r="D660" s="45" t="s">
        <v>132</v>
      </c>
      <c r="E660" s="45" t="s">
        <v>1034</v>
      </c>
      <c r="F660" s="45" t="s">
        <v>1525</v>
      </c>
      <c r="G660" s="46" t="n">
        <v>46177</v>
      </c>
      <c r="H660" s="45" t="s">
        <v>167</v>
      </c>
      <c r="I660" s="45" t="s">
        <v>175</v>
      </c>
      <c r="J660" s="45" t="s">
        <v>1526</v>
      </c>
      <c r="K660" s="45" t="n">
        <v>26.3</v>
      </c>
      <c r="L660" s="45" t="s">
        <v>263</v>
      </c>
      <c r="M660" s="45" t="s">
        <v>259</v>
      </c>
      <c r="N660" s="45" t="s">
        <v>167</v>
      </c>
      <c r="O660" s="47" t="n">
        <v>46178.6973263889</v>
      </c>
      <c r="P660" s="47" t="n">
        <v>46178.7156018519</v>
      </c>
    </row>
    <row r="661" customFormat="false" ht="15" hidden="false" customHeight="false" outlineLevel="0" collapsed="false">
      <c r="A661" s="45" t="n">
        <v>866</v>
      </c>
      <c r="B661" s="46" t="n">
        <v>46178</v>
      </c>
      <c r="C661" s="45" t="s">
        <v>131</v>
      </c>
      <c r="D661" s="45" t="s">
        <v>132</v>
      </c>
      <c r="E661" s="45" t="s">
        <v>487</v>
      </c>
      <c r="F661" s="45" t="s">
        <v>1527</v>
      </c>
      <c r="G661" s="46" t="n">
        <v>46177</v>
      </c>
      <c r="H661" s="45" t="s">
        <v>169</v>
      </c>
      <c r="I661" s="45"/>
      <c r="J661" s="45"/>
      <c r="K661" s="45" t="n">
        <v>1.5</v>
      </c>
      <c r="L661" s="45" t="s">
        <v>263</v>
      </c>
      <c r="M661" s="45" t="s">
        <v>259</v>
      </c>
      <c r="N661" s="45" t="s">
        <v>169</v>
      </c>
      <c r="O661" s="47" t="n">
        <v>46178.715625</v>
      </c>
      <c r="P661" s="47" t="n">
        <v>46178.7166550926</v>
      </c>
    </row>
    <row r="662" customFormat="false" ht="15" hidden="false" customHeight="false" outlineLevel="0" collapsed="false">
      <c r="A662" s="45" t="n">
        <v>870</v>
      </c>
      <c r="B662" s="46" t="n">
        <v>46178</v>
      </c>
      <c r="C662" s="45" t="s">
        <v>141</v>
      </c>
      <c r="D662" s="45" t="s">
        <v>142</v>
      </c>
      <c r="E662" s="45" t="s">
        <v>256</v>
      </c>
      <c r="F662" s="45" t="s">
        <v>1528</v>
      </c>
      <c r="G662" s="46" t="n">
        <v>46176</v>
      </c>
      <c r="H662" s="45" t="s">
        <v>167</v>
      </c>
      <c r="I662" s="45" t="s">
        <v>175</v>
      </c>
      <c r="J662" s="45" t="s">
        <v>1529</v>
      </c>
      <c r="K662" s="45" t="n">
        <v>107.1</v>
      </c>
      <c r="L662" s="45" t="s">
        <v>259</v>
      </c>
      <c r="M662" s="45" t="s">
        <v>259</v>
      </c>
      <c r="N662" s="45" t="s">
        <v>167</v>
      </c>
      <c r="O662" s="47" t="n">
        <v>46178.7163888889</v>
      </c>
      <c r="P662" s="47" t="n">
        <v>46178.790787037</v>
      </c>
    </row>
    <row r="663" customFormat="false" ht="15" hidden="false" customHeight="false" outlineLevel="0" collapsed="false">
      <c r="A663" s="45" t="n">
        <v>867</v>
      </c>
      <c r="B663" s="46" t="n">
        <v>46178</v>
      </c>
      <c r="C663" s="45" t="s">
        <v>131</v>
      </c>
      <c r="D663" s="45" t="s">
        <v>132</v>
      </c>
      <c r="E663" s="45" t="s">
        <v>242</v>
      </c>
      <c r="F663" s="45" t="s">
        <v>1530</v>
      </c>
      <c r="G663" s="46" t="n">
        <v>46177</v>
      </c>
      <c r="H663" s="45" t="s">
        <v>169</v>
      </c>
      <c r="I663" s="45"/>
      <c r="J663" s="45"/>
      <c r="K663" s="45" t="n">
        <v>2.9</v>
      </c>
      <c r="L663" s="45" t="s">
        <v>263</v>
      </c>
      <c r="M663" s="45" t="s">
        <v>259</v>
      </c>
      <c r="N663" s="45" t="s">
        <v>169</v>
      </c>
      <c r="O663" s="47" t="n">
        <v>46178.7169791667</v>
      </c>
      <c r="P663" s="47" t="n">
        <v>46178.7189699074</v>
      </c>
    </row>
    <row r="664" customFormat="false" ht="15" hidden="false" customHeight="false" outlineLevel="0" collapsed="false">
      <c r="A664" s="45" t="n">
        <v>868</v>
      </c>
      <c r="B664" s="46" t="n">
        <v>46178</v>
      </c>
      <c r="C664" s="45" t="s">
        <v>131</v>
      </c>
      <c r="D664" s="45" t="s">
        <v>132</v>
      </c>
      <c r="E664" s="45" t="s">
        <v>1034</v>
      </c>
      <c r="F664" s="45" t="s">
        <v>1531</v>
      </c>
      <c r="G664" s="46" t="n">
        <v>46177</v>
      </c>
      <c r="H664" s="45" t="s">
        <v>167</v>
      </c>
      <c r="I664" s="45" t="s">
        <v>175</v>
      </c>
      <c r="J664" s="45" t="s">
        <v>1532</v>
      </c>
      <c r="K664" s="45" t="n">
        <v>4.5</v>
      </c>
      <c r="L664" s="45" t="s">
        <v>263</v>
      </c>
      <c r="M664" s="45" t="s">
        <v>259</v>
      </c>
      <c r="N664" s="45" t="s">
        <v>167</v>
      </c>
      <c r="O664" s="47" t="n">
        <v>46178.7191550926</v>
      </c>
      <c r="P664" s="47" t="n">
        <v>46178.7222800926</v>
      </c>
    </row>
    <row r="665" customFormat="false" ht="15" hidden="false" customHeight="false" outlineLevel="0" collapsed="false">
      <c r="A665" s="45" t="n">
        <v>869</v>
      </c>
      <c r="B665" s="46" t="n">
        <v>46178</v>
      </c>
      <c r="C665" s="45" t="s">
        <v>131</v>
      </c>
      <c r="D665" s="45" t="s">
        <v>132</v>
      </c>
      <c r="E665" s="45" t="s">
        <v>222</v>
      </c>
      <c r="F665" s="45" t="s">
        <v>1533</v>
      </c>
      <c r="G665" s="46" t="n">
        <v>46177</v>
      </c>
      <c r="H665" s="45" t="s">
        <v>57</v>
      </c>
      <c r="I665" s="45" t="s">
        <v>200</v>
      </c>
      <c r="J665" s="45" t="s">
        <v>1534</v>
      </c>
      <c r="K665" s="45" t="n">
        <v>6.2</v>
      </c>
      <c r="L665" s="45" t="s">
        <v>263</v>
      </c>
      <c r="M665" s="45" t="s">
        <v>259</v>
      </c>
      <c r="N665" s="45" t="s">
        <v>57</v>
      </c>
      <c r="O665" s="47" t="n">
        <v>46178.7459375</v>
      </c>
      <c r="P665" s="47" t="n">
        <v>46178.7502314815</v>
      </c>
    </row>
    <row r="666" customFormat="false" ht="15" hidden="false" customHeight="false" outlineLevel="0" collapsed="false">
      <c r="A666" s="45" t="n">
        <v>871</v>
      </c>
      <c r="B666" s="46" t="n">
        <v>46178</v>
      </c>
      <c r="C666" s="45" t="s">
        <v>141</v>
      </c>
      <c r="D666" s="45" t="s">
        <v>142</v>
      </c>
      <c r="E666" s="45" t="s">
        <v>227</v>
      </c>
      <c r="F666" s="45" t="s">
        <v>1528</v>
      </c>
      <c r="G666" s="46" t="n">
        <v>46175</v>
      </c>
      <c r="H666" s="45" t="s">
        <v>167</v>
      </c>
      <c r="I666" s="45" t="s">
        <v>175</v>
      </c>
      <c r="J666" s="45" t="s">
        <v>1535</v>
      </c>
      <c r="K666" s="45" t="n">
        <v>21.1</v>
      </c>
      <c r="L666" s="45" t="s">
        <v>259</v>
      </c>
      <c r="M666" s="45" t="s">
        <v>259</v>
      </c>
      <c r="N666" s="45" t="s">
        <v>167</v>
      </c>
      <c r="O666" s="47" t="n">
        <v>46178.8152199074</v>
      </c>
      <c r="P666" s="47" t="n">
        <v>46178.829837963</v>
      </c>
    </row>
    <row r="667" customFormat="false" ht="15" hidden="false" customHeight="false" outlineLevel="0" collapsed="false">
      <c r="A667" s="45" t="n">
        <v>872</v>
      </c>
      <c r="B667" s="46" t="n">
        <v>46178</v>
      </c>
      <c r="C667" s="45" t="s">
        <v>141</v>
      </c>
      <c r="D667" s="45" t="s">
        <v>142</v>
      </c>
      <c r="E667" s="45" t="s">
        <v>227</v>
      </c>
      <c r="F667" s="45" t="s">
        <v>1536</v>
      </c>
      <c r="G667" s="46" t="n">
        <v>46175</v>
      </c>
      <c r="H667" s="45" t="s">
        <v>167</v>
      </c>
      <c r="I667" s="45" t="s">
        <v>175</v>
      </c>
      <c r="J667" s="45" t="s">
        <v>1537</v>
      </c>
      <c r="K667" s="45" t="n">
        <v>0.3</v>
      </c>
      <c r="L667" s="45" t="s">
        <v>263</v>
      </c>
      <c r="M667" s="45" t="s">
        <v>259</v>
      </c>
      <c r="N667" s="45" t="s">
        <v>167</v>
      </c>
      <c r="O667" s="47" t="n">
        <v>46178.8299074074</v>
      </c>
      <c r="P667" s="47" t="n">
        <v>46178.8301273148</v>
      </c>
    </row>
    <row r="668" customFormat="false" ht="15" hidden="false" customHeight="false" outlineLevel="0" collapsed="false">
      <c r="A668" s="45" t="n">
        <v>873</v>
      </c>
      <c r="B668" s="46" t="n">
        <v>46178</v>
      </c>
      <c r="C668" s="45" t="s">
        <v>131</v>
      </c>
      <c r="D668" s="45" t="s">
        <v>132</v>
      </c>
      <c r="E668" s="45" t="s">
        <v>1034</v>
      </c>
      <c r="F668" s="45" t="s">
        <v>1538</v>
      </c>
      <c r="G668" s="46" t="n">
        <v>46171</v>
      </c>
      <c r="H668" s="45" t="s">
        <v>167</v>
      </c>
      <c r="I668" s="45" t="s">
        <v>175</v>
      </c>
      <c r="J668" s="45" t="s">
        <v>1539</v>
      </c>
      <c r="K668" s="45" t="n">
        <v>2.6</v>
      </c>
      <c r="L668" s="45" t="s">
        <v>263</v>
      </c>
      <c r="M668" s="45" t="s">
        <v>259</v>
      </c>
      <c r="N668" s="45" t="s">
        <v>167</v>
      </c>
      <c r="O668" s="47" t="n">
        <v>46178.8475347222</v>
      </c>
      <c r="P668" s="47" t="n">
        <v>46178.8493171296</v>
      </c>
    </row>
    <row r="669" customFormat="false" ht="15" hidden="false" customHeight="false" outlineLevel="0" collapsed="false">
      <c r="A669" s="45" t="n">
        <v>874</v>
      </c>
      <c r="B669" s="46" t="n">
        <v>46178</v>
      </c>
      <c r="C669" s="45" t="s">
        <v>135</v>
      </c>
      <c r="D669" s="45" t="s">
        <v>136</v>
      </c>
      <c r="E669" s="45" t="s">
        <v>218</v>
      </c>
      <c r="F669" s="45" t="s">
        <v>1540</v>
      </c>
      <c r="G669" s="46" t="n">
        <v>46174</v>
      </c>
      <c r="H669" s="45" t="s">
        <v>168</v>
      </c>
      <c r="I669" s="45" t="s">
        <v>191</v>
      </c>
      <c r="J669" s="45" t="s">
        <v>1541</v>
      </c>
      <c r="K669" s="45" t="n">
        <v>4.7</v>
      </c>
      <c r="L669" s="45" t="s">
        <v>263</v>
      </c>
      <c r="M669" s="45" t="s">
        <v>259</v>
      </c>
      <c r="N669" s="45" t="s">
        <v>264</v>
      </c>
      <c r="O669" s="47" t="n">
        <v>46178.9495138889</v>
      </c>
      <c r="P669" s="47" t="n">
        <v>46178.9527893519</v>
      </c>
    </row>
    <row r="670" customFormat="false" ht="15" hidden="false" customHeight="false" outlineLevel="0" collapsed="false">
      <c r="A670" s="45" t="n">
        <v>875</v>
      </c>
      <c r="B670" s="46" t="n">
        <v>46178</v>
      </c>
      <c r="C670" s="45" t="s">
        <v>135</v>
      </c>
      <c r="D670" s="45" t="s">
        <v>136</v>
      </c>
      <c r="E670" s="45" t="s">
        <v>492</v>
      </c>
      <c r="F670" s="45" t="s">
        <v>1542</v>
      </c>
      <c r="G670" s="46" t="n">
        <v>46174</v>
      </c>
      <c r="H670" s="45" t="s">
        <v>170</v>
      </c>
      <c r="I670" s="45" t="s">
        <v>206</v>
      </c>
      <c r="J670" s="45" t="s">
        <v>1543</v>
      </c>
      <c r="K670" s="45" t="n">
        <v>102</v>
      </c>
      <c r="L670" s="45" t="s">
        <v>263</v>
      </c>
      <c r="M670" s="45" t="s">
        <v>259</v>
      </c>
      <c r="N670" s="45" t="s">
        <v>478</v>
      </c>
      <c r="O670" s="47" t="n">
        <v>46178.9528819445</v>
      </c>
      <c r="P670" s="47" t="n">
        <v>46179.0236805556</v>
      </c>
    </row>
    <row r="671" customFormat="false" ht="15" hidden="false" customHeight="false" outlineLevel="0" collapsed="false">
      <c r="A671" s="45" t="n">
        <v>876</v>
      </c>
      <c r="B671" s="46" t="n">
        <v>46179</v>
      </c>
      <c r="C671" s="45" t="s">
        <v>135</v>
      </c>
      <c r="D671" s="45" t="s">
        <v>136</v>
      </c>
      <c r="E671" s="45" t="s">
        <v>218</v>
      </c>
      <c r="F671" s="45" t="s">
        <v>1544</v>
      </c>
      <c r="G671" s="46" t="n">
        <v>46175</v>
      </c>
      <c r="H671" s="45" t="s">
        <v>57</v>
      </c>
      <c r="I671" s="45" t="s">
        <v>200</v>
      </c>
      <c r="J671" s="45" t="s">
        <v>1545</v>
      </c>
      <c r="K671" s="45" t="n">
        <v>20.5</v>
      </c>
      <c r="L671" s="45" t="s">
        <v>259</v>
      </c>
      <c r="M671" s="45" t="s">
        <v>259</v>
      </c>
      <c r="N671" s="45" t="s">
        <v>57</v>
      </c>
      <c r="O671" s="47" t="n">
        <v>46179.0239930556</v>
      </c>
      <c r="P671" s="47" t="n">
        <v>46179.0382407407</v>
      </c>
    </row>
    <row r="672" customFormat="false" ht="15" hidden="false" customHeight="false" outlineLevel="0" collapsed="false">
      <c r="A672" s="45" t="n">
        <v>877</v>
      </c>
      <c r="B672" s="46" t="n">
        <v>46179</v>
      </c>
      <c r="C672" s="45" t="s">
        <v>135</v>
      </c>
      <c r="D672" s="45" t="s">
        <v>136</v>
      </c>
      <c r="E672" s="45" t="s">
        <v>218</v>
      </c>
      <c r="F672" s="45" t="s">
        <v>1544</v>
      </c>
      <c r="G672" s="46" t="n">
        <v>46175</v>
      </c>
      <c r="H672" s="45" t="s">
        <v>57</v>
      </c>
      <c r="I672" s="45" t="s">
        <v>200</v>
      </c>
      <c r="J672" s="45" t="s">
        <v>1546</v>
      </c>
      <c r="K672" s="45" t="n">
        <v>4.8</v>
      </c>
      <c r="L672" s="45" t="s">
        <v>259</v>
      </c>
      <c r="M672" s="45" t="s">
        <v>259</v>
      </c>
      <c r="N672" s="45" t="s">
        <v>57</v>
      </c>
      <c r="O672" s="47" t="n">
        <v>46179.0383680556</v>
      </c>
      <c r="P672" s="47" t="n">
        <v>46179.0417361111</v>
      </c>
    </row>
    <row r="673" customFormat="false" ht="15" hidden="false" customHeight="false" outlineLevel="0" collapsed="false">
      <c r="A673" s="45" t="n">
        <v>878</v>
      </c>
      <c r="B673" s="46" t="n">
        <v>46179</v>
      </c>
      <c r="C673" s="45" t="s">
        <v>135</v>
      </c>
      <c r="D673" s="45" t="s">
        <v>136</v>
      </c>
      <c r="E673" s="45" t="s">
        <v>218</v>
      </c>
      <c r="F673" s="45" t="s">
        <v>1547</v>
      </c>
      <c r="G673" s="46" t="n">
        <v>46175</v>
      </c>
      <c r="H673" s="45" t="s">
        <v>57</v>
      </c>
      <c r="I673" s="45" t="s">
        <v>200</v>
      </c>
      <c r="J673" s="45" t="s">
        <v>1548</v>
      </c>
      <c r="K673" s="45" t="n">
        <v>1.8</v>
      </c>
      <c r="L673" s="45" t="s">
        <v>263</v>
      </c>
      <c r="M673" s="45" t="s">
        <v>259</v>
      </c>
      <c r="N673" s="45" t="s">
        <v>57</v>
      </c>
      <c r="O673" s="47" t="n">
        <v>46179.0417592593</v>
      </c>
      <c r="P673" s="47" t="n">
        <v>46179.0430092593</v>
      </c>
    </row>
    <row r="674" customFormat="false" ht="15" hidden="false" customHeight="false" outlineLevel="0" collapsed="false">
      <c r="A674" s="45" t="n">
        <v>879</v>
      </c>
      <c r="B674" s="46" t="n">
        <v>46179</v>
      </c>
      <c r="C674" s="45" t="s">
        <v>135</v>
      </c>
      <c r="D674" s="45" t="s">
        <v>136</v>
      </c>
      <c r="E674" s="45" t="s">
        <v>236</v>
      </c>
      <c r="F674" s="45" t="s">
        <v>1549</v>
      </c>
      <c r="G674" s="46" t="n">
        <v>46176</v>
      </c>
      <c r="H674" s="45" t="s">
        <v>168</v>
      </c>
      <c r="I674" s="45" t="s">
        <v>192</v>
      </c>
      <c r="J674" s="45" t="s">
        <v>1550</v>
      </c>
      <c r="K674" s="45" t="n">
        <v>4.5</v>
      </c>
      <c r="L674" s="45" t="s">
        <v>263</v>
      </c>
      <c r="M674" s="45" t="s">
        <v>259</v>
      </c>
      <c r="N674" s="45" t="s">
        <v>264</v>
      </c>
      <c r="O674" s="47" t="n">
        <v>46179.0430439815</v>
      </c>
      <c r="P674" s="47" t="n">
        <v>46179.0461689815</v>
      </c>
    </row>
    <row r="675" customFormat="false" ht="15" hidden="false" customHeight="false" outlineLevel="0" collapsed="false">
      <c r="A675" s="45" t="n">
        <v>880</v>
      </c>
      <c r="B675" s="46" t="n">
        <v>46179</v>
      </c>
      <c r="C675" s="45" t="s">
        <v>135</v>
      </c>
      <c r="D675" s="45" t="s">
        <v>136</v>
      </c>
      <c r="E675" s="45" t="s">
        <v>226</v>
      </c>
      <c r="F675" s="45" t="s">
        <v>1465</v>
      </c>
      <c r="G675" s="46" t="n">
        <v>46176</v>
      </c>
      <c r="H675" s="45" t="s">
        <v>167</v>
      </c>
      <c r="I675" s="45" t="s">
        <v>175</v>
      </c>
      <c r="J675" s="45" t="s">
        <v>1551</v>
      </c>
      <c r="K675" s="45" t="n">
        <v>1.9</v>
      </c>
      <c r="L675" s="45" t="s">
        <v>259</v>
      </c>
      <c r="M675" s="45" t="s">
        <v>259</v>
      </c>
      <c r="N675" s="45" t="s">
        <v>167</v>
      </c>
      <c r="O675" s="47" t="n">
        <v>46179.0472106482</v>
      </c>
      <c r="P675" s="47" t="n">
        <v>46179.0485532407</v>
      </c>
    </row>
    <row r="676" customFormat="false" ht="15" hidden="false" customHeight="false" outlineLevel="0" collapsed="false">
      <c r="A676" s="45" t="n">
        <v>881</v>
      </c>
      <c r="B676" s="46" t="n">
        <v>46179</v>
      </c>
      <c r="C676" s="45" t="s">
        <v>135</v>
      </c>
      <c r="D676" s="45" t="s">
        <v>136</v>
      </c>
      <c r="E676" s="45" t="s">
        <v>238</v>
      </c>
      <c r="F676" s="45" t="s">
        <v>1552</v>
      </c>
      <c r="G676" s="46" t="n">
        <v>46176</v>
      </c>
      <c r="H676" s="45" t="s">
        <v>169</v>
      </c>
      <c r="I676" s="45"/>
      <c r="J676" s="45"/>
      <c r="K676" s="45" t="n">
        <v>0.7</v>
      </c>
      <c r="L676" s="45" t="s">
        <v>263</v>
      </c>
      <c r="M676" s="45" t="s">
        <v>259</v>
      </c>
      <c r="N676" s="45" t="s">
        <v>169</v>
      </c>
      <c r="O676" s="47" t="n">
        <v>46179.0485648148</v>
      </c>
      <c r="P676" s="47" t="n">
        <v>46179.0490509259</v>
      </c>
    </row>
    <row r="677" customFormat="false" ht="15" hidden="false" customHeight="false" outlineLevel="0" collapsed="false">
      <c r="A677" s="45" t="n">
        <v>882</v>
      </c>
      <c r="B677" s="46" t="n">
        <v>46179</v>
      </c>
      <c r="C677" s="45" t="s">
        <v>135</v>
      </c>
      <c r="D677" s="45" t="s">
        <v>136</v>
      </c>
      <c r="E677" s="45" t="s">
        <v>475</v>
      </c>
      <c r="F677" s="45" t="s">
        <v>1553</v>
      </c>
      <c r="G677" s="46" t="n">
        <v>46177</v>
      </c>
      <c r="H677" s="45" t="s">
        <v>167</v>
      </c>
      <c r="I677" s="45" t="s">
        <v>175</v>
      </c>
      <c r="J677" s="45" t="s">
        <v>1554</v>
      </c>
      <c r="K677" s="45" t="n">
        <v>2.2</v>
      </c>
      <c r="L677" s="45" t="s">
        <v>263</v>
      </c>
      <c r="M677" s="45" t="s">
        <v>259</v>
      </c>
      <c r="N677" s="45" t="s">
        <v>167</v>
      </c>
      <c r="O677" s="47" t="n">
        <v>46179.0493634259</v>
      </c>
      <c r="P677" s="47" t="n">
        <v>46179.0508680556</v>
      </c>
    </row>
    <row r="678" customFormat="false" ht="15" hidden="false" customHeight="false" outlineLevel="0" collapsed="false">
      <c r="A678" s="45" t="n">
        <v>883</v>
      </c>
      <c r="B678" s="46" t="n">
        <v>46179</v>
      </c>
      <c r="C678" s="45" t="s">
        <v>135</v>
      </c>
      <c r="D678" s="45" t="s">
        <v>136</v>
      </c>
      <c r="E678" s="45" t="s">
        <v>238</v>
      </c>
      <c r="F678" s="45" t="s">
        <v>1555</v>
      </c>
      <c r="G678" s="46" t="n">
        <v>46178</v>
      </c>
      <c r="H678" s="45" t="s">
        <v>169</v>
      </c>
      <c r="I678" s="45"/>
      <c r="J678" s="45"/>
      <c r="K678" s="45" t="n">
        <v>0.6</v>
      </c>
      <c r="L678" s="45" t="s">
        <v>263</v>
      </c>
      <c r="M678" s="45" t="s">
        <v>259</v>
      </c>
      <c r="N678" s="45" t="s">
        <v>169</v>
      </c>
      <c r="O678" s="47" t="n">
        <v>46179.0510300926</v>
      </c>
      <c r="P678" s="47" t="n">
        <v>46179.0514467593</v>
      </c>
    </row>
    <row r="679" customFormat="false" ht="15" hidden="false" customHeight="false" outlineLevel="0" collapsed="false">
      <c r="A679" s="45" t="n">
        <v>884</v>
      </c>
      <c r="B679" s="46" t="n">
        <v>46179</v>
      </c>
      <c r="C679" s="45" t="s">
        <v>135</v>
      </c>
      <c r="D679" s="45" t="s">
        <v>136</v>
      </c>
      <c r="E679" s="45" t="s">
        <v>218</v>
      </c>
      <c r="F679" s="45" t="s">
        <v>1556</v>
      </c>
      <c r="G679" s="46" t="n">
        <v>46178</v>
      </c>
      <c r="H679" s="45" t="s">
        <v>167</v>
      </c>
      <c r="I679" s="45" t="s">
        <v>175</v>
      </c>
      <c r="J679" s="45" t="s">
        <v>1557</v>
      </c>
      <c r="K679" s="45" t="n">
        <v>1</v>
      </c>
      <c r="L679" s="45" t="s">
        <v>263</v>
      </c>
      <c r="M679" s="45" t="s">
        <v>259</v>
      </c>
      <c r="N679" s="45" t="s">
        <v>167</v>
      </c>
      <c r="O679" s="47" t="n">
        <v>46179.0518171296</v>
      </c>
      <c r="P679" s="47" t="n">
        <v>46179.0525231482</v>
      </c>
    </row>
    <row r="680" customFormat="false" ht="15" hidden="false" customHeight="false" outlineLevel="0" collapsed="false">
      <c r="A680" s="45" t="n">
        <v>885</v>
      </c>
      <c r="B680" s="46" t="n">
        <v>46180</v>
      </c>
      <c r="C680" s="45" t="s">
        <v>141</v>
      </c>
      <c r="D680" s="45" t="s">
        <v>142</v>
      </c>
      <c r="E680" s="45" t="s">
        <v>543</v>
      </c>
      <c r="F680" s="45" t="s">
        <v>1558</v>
      </c>
      <c r="G680" s="46" t="n">
        <v>46175</v>
      </c>
      <c r="H680" s="45" t="s">
        <v>167</v>
      </c>
      <c r="I680" s="45" t="s">
        <v>175</v>
      </c>
      <c r="J680" s="45" t="s">
        <v>1559</v>
      </c>
      <c r="K680" s="45" t="n">
        <v>0.1</v>
      </c>
      <c r="L680" s="45" t="s">
        <v>263</v>
      </c>
      <c r="M680" s="45" t="s">
        <v>259</v>
      </c>
      <c r="N680" s="45" t="s">
        <v>167</v>
      </c>
      <c r="O680" s="47" t="n">
        <v>46180.8502546296</v>
      </c>
      <c r="P680" s="47" t="n">
        <v>46180.8503240741</v>
      </c>
    </row>
    <row r="681" customFormat="false" ht="15" hidden="false" customHeight="false" outlineLevel="0" collapsed="false">
      <c r="A681" s="45" t="n">
        <v>886</v>
      </c>
      <c r="B681" s="46" t="n">
        <v>46180</v>
      </c>
      <c r="C681" s="45" t="s">
        <v>141</v>
      </c>
      <c r="D681" s="45" t="s">
        <v>142</v>
      </c>
      <c r="E681" s="45" t="s">
        <v>683</v>
      </c>
      <c r="F681" s="45" t="s">
        <v>1560</v>
      </c>
      <c r="G681" s="46" t="n">
        <v>46178</v>
      </c>
      <c r="H681" s="45" t="s">
        <v>167</v>
      </c>
      <c r="I681" s="45" t="s">
        <v>175</v>
      </c>
      <c r="J681" s="45" t="s">
        <v>1561</v>
      </c>
      <c r="K681" s="45" t="n">
        <v>18.6</v>
      </c>
      <c r="L681" s="45" t="s">
        <v>263</v>
      </c>
      <c r="M681" s="45" t="s">
        <v>259</v>
      </c>
      <c r="N681" s="45" t="s">
        <v>167</v>
      </c>
      <c r="O681" s="47" t="n">
        <v>46180.8503587963</v>
      </c>
      <c r="P681" s="47" t="n">
        <v>46180.863287037</v>
      </c>
    </row>
    <row r="682" customFormat="false" ht="15" hidden="false" customHeight="false" outlineLevel="0" collapsed="false">
      <c r="A682" s="45" t="n">
        <v>887</v>
      </c>
      <c r="B682" s="46" t="n">
        <v>46180</v>
      </c>
      <c r="C682" s="45" t="s">
        <v>141</v>
      </c>
      <c r="D682" s="45" t="s">
        <v>142</v>
      </c>
      <c r="E682" s="45" t="s">
        <v>1027</v>
      </c>
      <c r="F682" s="45" t="s">
        <v>1562</v>
      </c>
      <c r="G682" s="46" t="n">
        <v>46177</v>
      </c>
      <c r="H682" s="45" t="s">
        <v>168</v>
      </c>
      <c r="I682" s="45" t="s">
        <v>193</v>
      </c>
      <c r="J682" s="45" t="s">
        <v>1563</v>
      </c>
      <c r="K682" s="45" t="n">
        <v>9.7</v>
      </c>
      <c r="L682" s="45" t="s">
        <v>263</v>
      </c>
      <c r="M682" s="45" t="s">
        <v>259</v>
      </c>
      <c r="N682" s="45" t="s">
        <v>264</v>
      </c>
      <c r="O682" s="47" t="n">
        <v>46180.8877199074</v>
      </c>
      <c r="P682" s="47" t="n">
        <v>46180.8944212963</v>
      </c>
    </row>
    <row r="683" customFormat="false" ht="15" hidden="false" customHeight="false" outlineLevel="0" collapsed="false">
      <c r="A683" s="45" t="n">
        <v>896</v>
      </c>
      <c r="B683" s="46" t="n">
        <v>46181</v>
      </c>
      <c r="C683" s="45" t="s">
        <v>131</v>
      </c>
      <c r="D683" s="45" t="s">
        <v>132</v>
      </c>
      <c r="E683" s="45" t="s">
        <v>577</v>
      </c>
      <c r="F683" s="45" t="s">
        <v>1564</v>
      </c>
      <c r="G683" s="46" t="n">
        <v>46181</v>
      </c>
      <c r="H683" s="45" t="s">
        <v>167</v>
      </c>
      <c r="I683" s="45" t="s">
        <v>175</v>
      </c>
      <c r="J683" s="45" t="s">
        <v>1565</v>
      </c>
      <c r="K683" s="45" t="n">
        <v>1397.5</v>
      </c>
      <c r="L683" s="45" t="s">
        <v>263</v>
      </c>
      <c r="M683" s="45" t="s">
        <v>259</v>
      </c>
      <c r="N683" s="45" t="s">
        <v>167</v>
      </c>
      <c r="O683" s="47" t="n">
        <v>46181.7009953704</v>
      </c>
      <c r="P683" s="47" t="n">
        <v>46182.6714467593</v>
      </c>
    </row>
    <row r="684" customFormat="false" ht="15" hidden="false" customHeight="false" outlineLevel="0" collapsed="false">
      <c r="A684" s="45" t="n">
        <v>888</v>
      </c>
      <c r="B684" s="46" t="n">
        <v>46181</v>
      </c>
      <c r="C684" s="45" t="s">
        <v>137</v>
      </c>
      <c r="D684" s="45" t="s">
        <v>138</v>
      </c>
      <c r="E684" s="45" t="s">
        <v>496</v>
      </c>
      <c r="F684" s="45" t="s">
        <v>1566</v>
      </c>
      <c r="G684" s="46" t="n">
        <v>46176</v>
      </c>
      <c r="H684" s="45" t="s">
        <v>57</v>
      </c>
      <c r="I684" s="45" t="s">
        <v>200</v>
      </c>
      <c r="J684" s="45" t="s">
        <v>1447</v>
      </c>
      <c r="K684" s="45" t="n">
        <v>5.2</v>
      </c>
      <c r="L684" s="45" t="s">
        <v>263</v>
      </c>
      <c r="M684" s="45" t="s">
        <v>259</v>
      </c>
      <c r="N684" s="45" t="s">
        <v>57</v>
      </c>
      <c r="O684" s="47" t="n">
        <v>46181.8245138889</v>
      </c>
      <c r="P684" s="47" t="n">
        <v>46181.8281597222</v>
      </c>
    </row>
    <row r="685" customFormat="false" ht="15" hidden="false" customHeight="false" outlineLevel="0" collapsed="false">
      <c r="A685" s="45" t="n">
        <v>889</v>
      </c>
      <c r="B685" s="46" t="n">
        <v>46181</v>
      </c>
      <c r="C685" s="45" t="s">
        <v>137</v>
      </c>
      <c r="D685" s="45" t="s">
        <v>138</v>
      </c>
      <c r="E685" s="45" t="s">
        <v>338</v>
      </c>
      <c r="F685" s="45" t="s">
        <v>1567</v>
      </c>
      <c r="G685" s="46" t="n">
        <v>46175</v>
      </c>
      <c r="H685" s="45" t="s">
        <v>169</v>
      </c>
      <c r="I685" s="45"/>
      <c r="J685" s="45"/>
      <c r="K685" s="45" t="n">
        <v>0.1</v>
      </c>
      <c r="L685" s="45" t="s">
        <v>263</v>
      </c>
      <c r="M685" s="45" t="s">
        <v>259</v>
      </c>
      <c r="N685" s="45" t="s">
        <v>169</v>
      </c>
      <c r="O685" s="47" t="n">
        <v>46181.8283796296</v>
      </c>
      <c r="P685" s="47" t="n">
        <v>46181.8284837963</v>
      </c>
    </row>
    <row r="686" customFormat="false" ht="15" hidden="false" customHeight="false" outlineLevel="0" collapsed="false">
      <c r="A686" s="45" t="n">
        <v>890</v>
      </c>
      <c r="B686" s="46" t="n">
        <v>46181</v>
      </c>
      <c r="C686" s="45" t="s">
        <v>143</v>
      </c>
      <c r="D686" s="45" t="s">
        <v>144</v>
      </c>
      <c r="E686" s="45" t="s">
        <v>372</v>
      </c>
      <c r="F686" s="45" t="s">
        <v>1568</v>
      </c>
      <c r="G686" s="46" t="n">
        <v>46178</v>
      </c>
      <c r="H686" s="45" t="s">
        <v>167</v>
      </c>
      <c r="I686" s="45" t="s">
        <v>175</v>
      </c>
      <c r="J686" s="45" t="s">
        <v>1569</v>
      </c>
      <c r="K686" s="45" t="n">
        <v>0.1</v>
      </c>
      <c r="L686" s="45" t="s">
        <v>263</v>
      </c>
      <c r="M686" s="45" t="s">
        <v>259</v>
      </c>
      <c r="N686" s="45" t="s">
        <v>167</v>
      </c>
      <c r="O686" s="47" t="n">
        <v>46181.957650463</v>
      </c>
      <c r="P686" s="47" t="n">
        <v>46181.9576967593</v>
      </c>
    </row>
    <row r="687" customFormat="false" ht="15" hidden="false" customHeight="false" outlineLevel="0" collapsed="false">
      <c r="A687" s="45" t="n">
        <v>891</v>
      </c>
      <c r="B687" s="46" t="n">
        <v>46182</v>
      </c>
      <c r="C687" s="45" t="s">
        <v>133</v>
      </c>
      <c r="D687" s="45" t="s">
        <v>134</v>
      </c>
      <c r="E687" s="45" t="s">
        <v>917</v>
      </c>
      <c r="F687" s="45" t="s">
        <v>1570</v>
      </c>
      <c r="G687" s="46" t="n">
        <v>46178</v>
      </c>
      <c r="H687" s="45" t="s">
        <v>167</v>
      </c>
      <c r="I687" s="45" t="s">
        <v>175</v>
      </c>
      <c r="J687" s="45" t="s">
        <v>1571</v>
      </c>
      <c r="K687" s="45" t="n">
        <v>42.1</v>
      </c>
      <c r="L687" s="45" t="s">
        <v>263</v>
      </c>
      <c r="M687" s="45" t="s">
        <v>259</v>
      </c>
      <c r="N687" s="45" t="s">
        <v>167</v>
      </c>
      <c r="O687" s="47" t="n">
        <v>46182.5093518519</v>
      </c>
      <c r="P687" s="47" t="n">
        <v>46182.5385763889</v>
      </c>
    </row>
    <row r="688" customFormat="false" ht="15" hidden="false" customHeight="false" outlineLevel="0" collapsed="false">
      <c r="A688" s="45" t="n">
        <v>892</v>
      </c>
      <c r="B688" s="46" t="n">
        <v>46182</v>
      </c>
      <c r="C688" s="45" t="s">
        <v>133</v>
      </c>
      <c r="D688" s="45" t="s">
        <v>134</v>
      </c>
      <c r="E688" s="45" t="s">
        <v>219</v>
      </c>
      <c r="F688" s="45" t="s">
        <v>1572</v>
      </c>
      <c r="G688" s="46" t="n">
        <v>46178</v>
      </c>
      <c r="H688" s="45" t="s">
        <v>57</v>
      </c>
      <c r="I688" s="45" t="s">
        <v>201</v>
      </c>
      <c r="J688" s="45" t="s">
        <v>1573</v>
      </c>
      <c r="K688" s="45" t="n">
        <v>19.9</v>
      </c>
      <c r="L688" s="45" t="s">
        <v>263</v>
      </c>
      <c r="M688" s="45" t="s">
        <v>259</v>
      </c>
      <c r="N688" s="45" t="s">
        <v>57</v>
      </c>
      <c r="O688" s="47" t="n">
        <v>46182.5386226852</v>
      </c>
      <c r="P688" s="47" t="n">
        <v>46182.5524305556</v>
      </c>
    </row>
    <row r="689" customFormat="false" ht="15" hidden="false" customHeight="false" outlineLevel="0" collapsed="false">
      <c r="A689" s="45" t="n">
        <v>893</v>
      </c>
      <c r="B689" s="46" t="n">
        <v>46182</v>
      </c>
      <c r="C689" s="45" t="s">
        <v>133</v>
      </c>
      <c r="D689" s="45" t="s">
        <v>134</v>
      </c>
      <c r="E689" s="45" t="s">
        <v>219</v>
      </c>
      <c r="F689" s="45" t="s">
        <v>1574</v>
      </c>
      <c r="G689" s="46" t="n">
        <v>46178</v>
      </c>
      <c r="H689" s="45" t="s">
        <v>57</v>
      </c>
      <c r="I689" s="45" t="s">
        <v>200</v>
      </c>
      <c r="J689" s="45" t="s">
        <v>1575</v>
      </c>
      <c r="K689" s="45" t="n">
        <v>9</v>
      </c>
      <c r="L689" s="45" t="s">
        <v>263</v>
      </c>
      <c r="M689" s="45" t="s">
        <v>259</v>
      </c>
      <c r="N689" s="45" t="s">
        <v>57</v>
      </c>
      <c r="O689" s="47" t="n">
        <v>46182.5527430556</v>
      </c>
      <c r="P689" s="47" t="n">
        <v>46182.5590162037</v>
      </c>
    </row>
    <row r="690" customFormat="false" ht="15" hidden="false" customHeight="false" outlineLevel="0" collapsed="false">
      <c r="A690" s="45" t="n">
        <v>894</v>
      </c>
      <c r="B690" s="46" t="n">
        <v>46182</v>
      </c>
      <c r="C690" s="45" t="s">
        <v>133</v>
      </c>
      <c r="D690" s="45" t="s">
        <v>134</v>
      </c>
      <c r="E690" s="45" t="s">
        <v>219</v>
      </c>
      <c r="F690" s="45" t="s">
        <v>1576</v>
      </c>
      <c r="G690" s="46" t="n">
        <v>46181</v>
      </c>
      <c r="H690" s="45" t="s">
        <v>167</v>
      </c>
      <c r="I690" s="45" t="s">
        <v>175</v>
      </c>
      <c r="J690" s="45" t="s">
        <v>1577</v>
      </c>
      <c r="K690" s="45" t="n">
        <v>2.2</v>
      </c>
      <c r="L690" s="45" t="s">
        <v>263</v>
      </c>
      <c r="M690" s="45" t="s">
        <v>259</v>
      </c>
      <c r="N690" s="45" t="s">
        <v>167</v>
      </c>
      <c r="O690" s="47" t="n">
        <v>46182.559212963</v>
      </c>
      <c r="P690" s="47" t="n">
        <v>46182.5607291667</v>
      </c>
    </row>
    <row r="691" customFormat="false" ht="15" hidden="false" customHeight="false" outlineLevel="0" collapsed="false">
      <c r="A691" s="45" t="n">
        <v>895</v>
      </c>
      <c r="B691" s="46" t="n">
        <v>46182</v>
      </c>
      <c r="C691" s="45" t="s">
        <v>133</v>
      </c>
      <c r="D691" s="45" t="s">
        <v>134</v>
      </c>
      <c r="E691" s="45" t="s">
        <v>734</v>
      </c>
      <c r="F691" s="45" t="s">
        <v>1578</v>
      </c>
      <c r="G691" s="46" t="n">
        <v>46181</v>
      </c>
      <c r="H691" s="45" t="s">
        <v>169</v>
      </c>
      <c r="I691" s="45"/>
      <c r="J691" s="45"/>
      <c r="K691" s="45" t="n">
        <v>1.2</v>
      </c>
      <c r="L691" s="45" t="s">
        <v>263</v>
      </c>
      <c r="M691" s="45" t="s">
        <v>259</v>
      </c>
      <c r="N691" s="45" t="s">
        <v>169</v>
      </c>
      <c r="O691" s="47" t="n">
        <v>46182.5609490741</v>
      </c>
      <c r="P691" s="47" t="n">
        <v>46182.5618055556</v>
      </c>
    </row>
    <row r="692" customFormat="false" ht="15" hidden="false" customHeight="false" outlineLevel="0" collapsed="false">
      <c r="A692" s="45" t="n">
        <v>897</v>
      </c>
      <c r="B692" s="46" t="n">
        <v>46182</v>
      </c>
      <c r="C692" s="45" t="s">
        <v>131</v>
      </c>
      <c r="D692" s="45" t="s">
        <v>132</v>
      </c>
      <c r="E692" s="45" t="s">
        <v>1579</v>
      </c>
      <c r="F692" s="45" t="s">
        <v>1580</v>
      </c>
      <c r="G692" s="46" t="n">
        <v>46181</v>
      </c>
      <c r="H692" s="45" t="s">
        <v>169</v>
      </c>
      <c r="I692" s="45"/>
      <c r="J692" s="45"/>
      <c r="K692" s="45" t="n">
        <v>0.6</v>
      </c>
      <c r="L692" s="45" t="s">
        <v>263</v>
      </c>
      <c r="M692" s="45" t="s">
        <v>263</v>
      </c>
      <c r="N692" s="45" t="s">
        <v>169</v>
      </c>
      <c r="O692" s="47" t="n">
        <v>46182.6734259259</v>
      </c>
      <c r="P692" s="47" t="n">
        <v>46182.6738425926</v>
      </c>
    </row>
    <row r="693" customFormat="false" ht="15" hidden="false" customHeight="false" outlineLevel="0" collapsed="false">
      <c r="A693" s="45" t="n">
        <v>898</v>
      </c>
      <c r="B693" s="46" t="n">
        <v>46182</v>
      </c>
      <c r="C693" s="45" t="s">
        <v>131</v>
      </c>
      <c r="D693" s="45" t="s">
        <v>132</v>
      </c>
      <c r="E693" s="45" t="s">
        <v>1581</v>
      </c>
      <c r="F693" s="45" t="s">
        <v>1582</v>
      </c>
      <c r="G693" s="46" t="n">
        <v>46181</v>
      </c>
      <c r="H693" s="45" t="s">
        <v>169</v>
      </c>
      <c r="I693" s="45"/>
      <c r="J693" s="45"/>
      <c r="K693" s="45" t="n">
        <v>0.7</v>
      </c>
      <c r="L693" s="45" t="s">
        <v>263</v>
      </c>
      <c r="M693" s="45" t="s">
        <v>259</v>
      </c>
      <c r="N693" s="45" t="s">
        <v>169</v>
      </c>
      <c r="O693" s="47" t="n">
        <v>46182.6751388889</v>
      </c>
      <c r="P693" s="47" t="n">
        <v>46182.6756481482</v>
      </c>
    </row>
    <row r="694" customFormat="false" ht="15" hidden="false" customHeight="false" outlineLevel="0" collapsed="false">
      <c r="A694" s="45" t="n">
        <v>899</v>
      </c>
      <c r="B694" s="46" t="n">
        <v>46182</v>
      </c>
      <c r="C694" s="45" t="s">
        <v>131</v>
      </c>
      <c r="D694" s="45" t="s">
        <v>132</v>
      </c>
      <c r="E694" s="45" t="s">
        <v>1581</v>
      </c>
      <c r="F694" s="45" t="s">
        <v>1583</v>
      </c>
      <c r="G694" s="46" t="n">
        <v>46181</v>
      </c>
      <c r="H694" s="45" t="s">
        <v>169</v>
      </c>
      <c r="I694" s="45"/>
      <c r="J694" s="45"/>
      <c r="K694" s="45" t="n">
        <v>0.3</v>
      </c>
      <c r="L694" s="45" t="s">
        <v>263</v>
      </c>
      <c r="M694" s="45" t="s">
        <v>259</v>
      </c>
      <c r="N694" s="45" t="s">
        <v>169</v>
      </c>
      <c r="O694" s="47" t="n">
        <v>46182.6757638889</v>
      </c>
      <c r="P694" s="47" t="n">
        <v>46182.6759837963</v>
      </c>
    </row>
    <row r="695" customFormat="false" ht="15" hidden="false" customHeight="false" outlineLevel="0" collapsed="false">
      <c r="A695" s="45" t="n">
        <v>900</v>
      </c>
      <c r="B695" s="46" t="n">
        <v>46182</v>
      </c>
      <c r="C695" s="45" t="s">
        <v>141</v>
      </c>
      <c r="D695" s="45" t="s">
        <v>142</v>
      </c>
      <c r="E695" s="45" t="s">
        <v>683</v>
      </c>
      <c r="F695" s="45" t="s">
        <v>1584</v>
      </c>
      <c r="G695" s="46" t="n">
        <v>46178</v>
      </c>
      <c r="H695" s="45" t="s">
        <v>169</v>
      </c>
      <c r="I695" s="45"/>
      <c r="J695" s="45"/>
      <c r="K695" s="45" t="n">
        <v>0.7</v>
      </c>
      <c r="L695" s="45" t="s">
        <v>263</v>
      </c>
      <c r="M695" s="45" t="s">
        <v>259</v>
      </c>
      <c r="N695" s="45" t="s">
        <v>169</v>
      </c>
      <c r="O695" s="47" t="n">
        <v>46182.816724537</v>
      </c>
      <c r="P695" s="47" t="n">
        <v>46182.8172106482</v>
      </c>
    </row>
    <row r="696" customFormat="false" ht="15" hidden="false" customHeight="false" outlineLevel="0" collapsed="false">
      <c r="A696" s="45" t="n">
        <v>901</v>
      </c>
      <c r="B696" s="46" t="n">
        <v>46182</v>
      </c>
      <c r="C696" s="45" t="s">
        <v>141</v>
      </c>
      <c r="D696" s="45" t="s">
        <v>142</v>
      </c>
      <c r="E696" s="45" t="s">
        <v>683</v>
      </c>
      <c r="F696" s="45" t="s">
        <v>1585</v>
      </c>
      <c r="G696" s="46" t="n">
        <v>46178</v>
      </c>
      <c r="H696" s="45" t="s">
        <v>169</v>
      </c>
      <c r="I696" s="45"/>
      <c r="J696" s="45"/>
      <c r="K696" s="45" t="n">
        <v>0.2</v>
      </c>
      <c r="L696" s="45" t="s">
        <v>263</v>
      </c>
      <c r="M696" s="45" t="s">
        <v>259</v>
      </c>
      <c r="N696" s="45" t="s">
        <v>169</v>
      </c>
      <c r="O696" s="47" t="n">
        <v>46182.8186689815</v>
      </c>
      <c r="P696" s="47" t="n">
        <v>46182.8188425926</v>
      </c>
    </row>
    <row r="697" customFormat="false" ht="15" hidden="false" customHeight="false" outlineLevel="0" collapsed="false">
      <c r="A697" s="45" t="n">
        <v>902</v>
      </c>
      <c r="B697" s="46" t="n">
        <v>46182</v>
      </c>
      <c r="C697" s="45" t="s">
        <v>141</v>
      </c>
      <c r="D697" s="45" t="s">
        <v>142</v>
      </c>
      <c r="E697" s="45" t="s">
        <v>683</v>
      </c>
      <c r="F697" s="45" t="s">
        <v>1586</v>
      </c>
      <c r="G697" s="46" t="n">
        <v>46181</v>
      </c>
      <c r="H697" s="45" t="s">
        <v>169</v>
      </c>
      <c r="I697" s="45"/>
      <c r="J697" s="45"/>
      <c r="K697" s="45" t="n">
        <v>1.1</v>
      </c>
      <c r="L697" s="45" t="s">
        <v>263</v>
      </c>
      <c r="M697" s="45" t="s">
        <v>259</v>
      </c>
      <c r="N697" s="45" t="s">
        <v>169</v>
      </c>
      <c r="O697" s="47" t="n">
        <v>46182.8214699074</v>
      </c>
      <c r="P697" s="47" t="n">
        <v>46182.8222337963</v>
      </c>
    </row>
    <row r="698" customFormat="false" ht="15" hidden="false" customHeight="false" outlineLevel="0" collapsed="false">
      <c r="A698" s="45" t="n">
        <v>903</v>
      </c>
      <c r="B698" s="46" t="n">
        <v>46182</v>
      </c>
      <c r="C698" s="45" t="s">
        <v>143</v>
      </c>
      <c r="D698" s="45" t="s">
        <v>144</v>
      </c>
      <c r="E698" s="45" t="s">
        <v>564</v>
      </c>
      <c r="F698" s="45" t="s">
        <v>1587</v>
      </c>
      <c r="G698" s="46" t="n">
        <v>46181</v>
      </c>
      <c r="H698" s="45" t="s">
        <v>167</v>
      </c>
      <c r="I698" s="45" t="s">
        <v>175</v>
      </c>
      <c r="J698" s="45" t="s">
        <v>1588</v>
      </c>
      <c r="K698" s="45" t="n">
        <v>2.4</v>
      </c>
      <c r="L698" s="45" t="s">
        <v>263</v>
      </c>
      <c r="M698" s="45" t="s">
        <v>259</v>
      </c>
      <c r="N698" s="45" t="s">
        <v>167</v>
      </c>
      <c r="O698" s="47" t="n">
        <v>46182.8511458333</v>
      </c>
      <c r="P698" s="47" t="n">
        <v>46182.8527893519</v>
      </c>
    </row>
    <row r="699" customFormat="false" ht="15" hidden="false" customHeight="false" outlineLevel="0" collapsed="false">
      <c r="A699" s="45" t="n">
        <v>904</v>
      </c>
      <c r="B699" s="46" t="n">
        <v>46182</v>
      </c>
      <c r="C699" s="45" t="s">
        <v>143</v>
      </c>
      <c r="D699" s="45" t="s">
        <v>144</v>
      </c>
      <c r="E699" s="45" t="s">
        <v>224</v>
      </c>
      <c r="F699" s="45" t="s">
        <v>1589</v>
      </c>
      <c r="G699" s="46" t="n">
        <v>46181</v>
      </c>
      <c r="H699" s="45" t="s">
        <v>167</v>
      </c>
      <c r="I699" s="45" t="s">
        <v>175</v>
      </c>
      <c r="J699" s="45" t="s">
        <v>1590</v>
      </c>
      <c r="K699" s="45" t="n">
        <v>7</v>
      </c>
      <c r="L699" s="45" t="s">
        <v>263</v>
      </c>
      <c r="M699" s="45" t="s">
        <v>259</v>
      </c>
      <c r="N699" s="45" t="s">
        <v>167</v>
      </c>
      <c r="O699" s="47" t="n">
        <v>46182.8528125</v>
      </c>
      <c r="P699" s="47" t="n">
        <v>46182.8576388889</v>
      </c>
    </row>
    <row r="700" customFormat="false" ht="15" hidden="false" customHeight="false" outlineLevel="0" collapsed="false">
      <c r="A700" s="45" t="n">
        <v>905</v>
      </c>
      <c r="B700" s="46" t="n">
        <v>46182</v>
      </c>
      <c r="C700" s="45" t="s">
        <v>143</v>
      </c>
      <c r="D700" s="45" t="s">
        <v>144</v>
      </c>
      <c r="E700" s="45" t="s">
        <v>223</v>
      </c>
      <c r="F700" s="45" t="s">
        <v>1591</v>
      </c>
      <c r="G700" s="46" t="n">
        <v>46181</v>
      </c>
      <c r="H700" s="45" t="s">
        <v>169</v>
      </c>
      <c r="I700" s="45"/>
      <c r="J700" s="45"/>
      <c r="K700" s="45" t="n">
        <v>3.3</v>
      </c>
      <c r="L700" s="45" t="s">
        <v>263</v>
      </c>
      <c r="M700" s="45" t="s">
        <v>259</v>
      </c>
      <c r="N700" s="45" t="s">
        <v>169</v>
      </c>
      <c r="O700" s="47" t="n">
        <v>46182.8577083333</v>
      </c>
      <c r="P700" s="47" t="n">
        <v>46182.8599768519</v>
      </c>
    </row>
    <row r="701" customFormat="false" ht="15" hidden="false" customHeight="false" outlineLevel="0" collapsed="false">
      <c r="A701" s="45" t="n">
        <v>906</v>
      </c>
      <c r="B701" s="46" t="n">
        <v>46182</v>
      </c>
      <c r="C701" s="45" t="s">
        <v>143</v>
      </c>
      <c r="D701" s="45" t="s">
        <v>144</v>
      </c>
      <c r="E701" s="45" t="s">
        <v>228</v>
      </c>
      <c r="F701" s="45" t="s">
        <v>1592</v>
      </c>
      <c r="G701" s="46" t="n">
        <v>46181</v>
      </c>
      <c r="H701" s="45" t="s">
        <v>168</v>
      </c>
      <c r="I701" s="45" t="s">
        <v>195</v>
      </c>
      <c r="J701" s="45" t="s">
        <v>1593</v>
      </c>
      <c r="K701" s="45" t="n">
        <v>18</v>
      </c>
      <c r="L701" s="45" t="s">
        <v>263</v>
      </c>
      <c r="M701" s="45" t="s">
        <v>259</v>
      </c>
      <c r="N701" s="45" t="s">
        <v>264</v>
      </c>
      <c r="O701" s="47" t="n">
        <v>46182.8600925926</v>
      </c>
      <c r="P701" s="47" t="n">
        <v>46182.8726157407</v>
      </c>
    </row>
    <row r="702" customFormat="false" ht="15" hidden="false" customHeight="false" outlineLevel="0" collapsed="false">
      <c r="A702" s="45" t="n">
        <v>907</v>
      </c>
      <c r="B702" s="46" t="n">
        <v>46182</v>
      </c>
      <c r="C702" s="45" t="s">
        <v>143</v>
      </c>
      <c r="D702" s="45" t="s">
        <v>144</v>
      </c>
      <c r="E702" s="45" t="s">
        <v>224</v>
      </c>
      <c r="F702" s="45" t="s">
        <v>1594</v>
      </c>
      <c r="G702" s="46" t="n">
        <v>46181</v>
      </c>
      <c r="H702" s="45" t="s">
        <v>167</v>
      </c>
      <c r="I702" s="45" t="s">
        <v>175</v>
      </c>
      <c r="J702" s="45" t="s">
        <v>1595</v>
      </c>
      <c r="K702" s="45" t="n">
        <v>19.9</v>
      </c>
      <c r="L702" s="45" t="s">
        <v>263</v>
      </c>
      <c r="M702" s="45" t="s">
        <v>259</v>
      </c>
      <c r="N702" s="45" t="s">
        <v>167</v>
      </c>
      <c r="O702" s="47" t="n">
        <v>46182.8726736111</v>
      </c>
      <c r="P702" s="47" t="n">
        <v>46182.8864814815</v>
      </c>
    </row>
    <row r="703" customFormat="false" ht="15" hidden="false" customHeight="false" outlineLevel="0" collapsed="false">
      <c r="A703" s="45" t="n">
        <v>932</v>
      </c>
      <c r="B703" s="46" t="n">
        <v>46182</v>
      </c>
      <c r="C703" s="45" t="s">
        <v>135</v>
      </c>
      <c r="D703" s="45" t="s">
        <v>136</v>
      </c>
      <c r="E703" s="45" t="s">
        <v>238</v>
      </c>
      <c r="F703" s="45" t="s">
        <v>1596</v>
      </c>
      <c r="G703" s="46" t="n">
        <v>46181</v>
      </c>
      <c r="H703" s="45" t="s">
        <v>167</v>
      </c>
      <c r="I703" s="45" t="s">
        <v>175</v>
      </c>
      <c r="J703" s="45" t="s">
        <v>1597</v>
      </c>
      <c r="K703" s="45" t="n">
        <v>3063.3</v>
      </c>
      <c r="L703" s="45" t="s">
        <v>259</v>
      </c>
      <c r="M703" s="45" t="s">
        <v>259</v>
      </c>
      <c r="N703" s="45" t="s">
        <v>167</v>
      </c>
      <c r="O703" s="47" t="n">
        <v>46182.8972569444</v>
      </c>
      <c r="P703" s="47" t="n">
        <v>46185.0245717593</v>
      </c>
    </row>
    <row r="704" customFormat="false" ht="15" hidden="false" customHeight="false" outlineLevel="0" collapsed="false">
      <c r="A704" s="45" t="n">
        <v>908</v>
      </c>
      <c r="B704" s="46" t="n">
        <v>46183</v>
      </c>
      <c r="C704" s="45" t="s">
        <v>133</v>
      </c>
      <c r="D704" s="45" t="s">
        <v>134</v>
      </c>
      <c r="E704" s="45" t="s">
        <v>917</v>
      </c>
      <c r="F704" s="45" t="s">
        <v>1598</v>
      </c>
      <c r="G704" s="46" t="n">
        <v>46182</v>
      </c>
      <c r="H704" s="45" t="s">
        <v>167</v>
      </c>
      <c r="I704" s="45" t="s">
        <v>175</v>
      </c>
      <c r="J704" s="45" t="s">
        <v>1599</v>
      </c>
      <c r="K704" s="45" t="n">
        <v>14.5</v>
      </c>
      <c r="L704" s="45" t="s">
        <v>263</v>
      </c>
      <c r="M704" s="45" t="s">
        <v>259</v>
      </c>
      <c r="N704" s="45" t="s">
        <v>167</v>
      </c>
      <c r="O704" s="47" t="n">
        <v>46183.0123263889</v>
      </c>
      <c r="P704" s="47" t="n">
        <v>46183.0224074074</v>
      </c>
    </row>
    <row r="705" customFormat="false" ht="15" hidden="false" customHeight="false" outlineLevel="0" collapsed="false">
      <c r="A705" s="45" t="n">
        <v>909</v>
      </c>
      <c r="B705" s="46" t="n">
        <v>46183</v>
      </c>
      <c r="C705" s="45" t="s">
        <v>133</v>
      </c>
      <c r="D705" s="45" t="s">
        <v>134</v>
      </c>
      <c r="E705" s="45" t="s">
        <v>231</v>
      </c>
      <c r="F705" s="45" t="s">
        <v>1600</v>
      </c>
      <c r="G705" s="46" t="n">
        <v>46182</v>
      </c>
      <c r="H705" s="45" t="s">
        <v>167</v>
      </c>
      <c r="I705" s="45" t="s">
        <v>177</v>
      </c>
      <c r="J705" s="45" t="s">
        <v>1601</v>
      </c>
      <c r="K705" s="45" t="n">
        <v>11</v>
      </c>
      <c r="L705" s="45" t="s">
        <v>263</v>
      </c>
      <c r="M705" s="45" t="s">
        <v>259</v>
      </c>
      <c r="N705" s="45" t="s">
        <v>167</v>
      </c>
      <c r="O705" s="47" t="n">
        <v>46183.0227662037</v>
      </c>
      <c r="P705" s="47" t="n">
        <v>46183.0304050926</v>
      </c>
    </row>
    <row r="706" customFormat="false" ht="15" hidden="false" customHeight="false" outlineLevel="0" collapsed="false">
      <c r="A706" s="45" t="n">
        <v>910</v>
      </c>
      <c r="B706" s="46" t="n">
        <v>46183</v>
      </c>
      <c r="C706" s="45" t="s">
        <v>141</v>
      </c>
      <c r="D706" s="45" t="s">
        <v>142</v>
      </c>
      <c r="E706" s="45" t="s">
        <v>421</v>
      </c>
      <c r="F706" s="45" t="s">
        <v>1602</v>
      </c>
      <c r="G706" s="46" t="n">
        <v>46177</v>
      </c>
      <c r="H706" s="45" t="s">
        <v>168</v>
      </c>
      <c r="I706" s="45" t="s">
        <v>192</v>
      </c>
      <c r="J706" s="45" t="s">
        <v>1603</v>
      </c>
      <c r="K706" s="45" t="n">
        <v>11.4</v>
      </c>
      <c r="L706" s="45" t="s">
        <v>263</v>
      </c>
      <c r="M706" s="45" t="s">
        <v>259</v>
      </c>
      <c r="N706" s="45" t="s">
        <v>264</v>
      </c>
      <c r="O706" s="47" t="n">
        <v>46183.9699305556</v>
      </c>
      <c r="P706" s="47" t="n">
        <v>46183.9778587963</v>
      </c>
    </row>
    <row r="707" customFormat="false" ht="15" hidden="false" customHeight="false" outlineLevel="0" collapsed="false">
      <c r="A707" s="45" t="n">
        <v>911</v>
      </c>
      <c r="B707" s="46" t="n">
        <v>46183</v>
      </c>
      <c r="C707" s="45" t="s">
        <v>133</v>
      </c>
      <c r="D707" s="45" t="s">
        <v>134</v>
      </c>
      <c r="E707" s="45" t="s">
        <v>234</v>
      </c>
      <c r="F707" s="45" t="s">
        <v>1604</v>
      </c>
      <c r="G707" s="46" t="n">
        <v>46183</v>
      </c>
      <c r="H707" s="45" t="s">
        <v>167</v>
      </c>
      <c r="I707" s="45" t="s">
        <v>175</v>
      </c>
      <c r="J707" s="45" t="s">
        <v>1605</v>
      </c>
      <c r="K707" s="45" t="n">
        <v>29.2</v>
      </c>
      <c r="L707" s="45" t="s">
        <v>263</v>
      </c>
      <c r="M707" s="45" t="s">
        <v>259</v>
      </c>
      <c r="N707" s="45" t="s">
        <v>167</v>
      </c>
      <c r="O707" s="47" t="n">
        <v>46183.9748726852</v>
      </c>
      <c r="P707" s="47" t="n">
        <v>46183.9951388889</v>
      </c>
    </row>
    <row r="708" customFormat="false" ht="15" hidden="false" customHeight="false" outlineLevel="0" collapsed="false">
      <c r="A708" s="45" t="n">
        <v>912</v>
      </c>
      <c r="B708" s="46" t="n">
        <v>46183</v>
      </c>
      <c r="C708" s="45" t="s">
        <v>133</v>
      </c>
      <c r="D708" s="45" t="s">
        <v>134</v>
      </c>
      <c r="E708" s="45" t="s">
        <v>1606</v>
      </c>
      <c r="F708" s="45" t="s">
        <v>1607</v>
      </c>
      <c r="G708" s="46" t="n">
        <v>46183</v>
      </c>
      <c r="H708" s="45" t="s">
        <v>167</v>
      </c>
      <c r="I708" s="45" t="s">
        <v>175</v>
      </c>
      <c r="J708" s="45" t="s">
        <v>1608</v>
      </c>
      <c r="K708" s="45" t="n">
        <v>20.9</v>
      </c>
      <c r="L708" s="45" t="s">
        <v>263</v>
      </c>
      <c r="M708" s="45" t="s">
        <v>259</v>
      </c>
      <c r="N708" s="45" t="s">
        <v>167</v>
      </c>
      <c r="O708" s="47" t="n">
        <v>46183.9962847222</v>
      </c>
      <c r="P708" s="47" t="n">
        <v>46184.0107986111</v>
      </c>
    </row>
    <row r="709" customFormat="false" ht="15" hidden="false" customHeight="false" outlineLevel="0" collapsed="false">
      <c r="A709" s="45" t="n">
        <v>913</v>
      </c>
      <c r="B709" s="46" t="n">
        <v>46184</v>
      </c>
      <c r="C709" s="45" t="s">
        <v>133</v>
      </c>
      <c r="D709" s="45" t="s">
        <v>134</v>
      </c>
      <c r="E709" s="45" t="s">
        <v>234</v>
      </c>
      <c r="F709" s="45" t="s">
        <v>1609</v>
      </c>
      <c r="G709" s="46" t="n">
        <v>46183</v>
      </c>
      <c r="H709" s="45" t="s">
        <v>167</v>
      </c>
      <c r="I709" s="45" t="s">
        <v>175</v>
      </c>
      <c r="J709" s="45" t="s">
        <v>1610</v>
      </c>
      <c r="K709" s="45" t="n">
        <v>2.5</v>
      </c>
      <c r="L709" s="45" t="s">
        <v>263</v>
      </c>
      <c r="M709" s="45" t="s">
        <v>259</v>
      </c>
      <c r="N709" s="45" t="s">
        <v>167</v>
      </c>
      <c r="O709" s="47" t="n">
        <v>46184.0121527778</v>
      </c>
      <c r="P709" s="47" t="n">
        <v>46184.0138888889</v>
      </c>
    </row>
    <row r="710" customFormat="false" ht="15" hidden="false" customHeight="false" outlineLevel="0" collapsed="false">
      <c r="A710" s="45" t="n">
        <v>914</v>
      </c>
      <c r="B710" s="46" t="n">
        <v>46184</v>
      </c>
      <c r="C710" s="45" t="s">
        <v>133</v>
      </c>
      <c r="D710" s="45" t="s">
        <v>134</v>
      </c>
      <c r="E710" s="45" t="s">
        <v>231</v>
      </c>
      <c r="F710" s="45" t="s">
        <v>1611</v>
      </c>
      <c r="G710" s="46" t="n">
        <v>46182</v>
      </c>
      <c r="H710" s="45" t="s">
        <v>167</v>
      </c>
      <c r="I710" s="45" t="s">
        <v>175</v>
      </c>
      <c r="J710" s="45" t="s">
        <v>1612</v>
      </c>
      <c r="K710" s="45" t="n">
        <v>47.7</v>
      </c>
      <c r="L710" s="45" t="s">
        <v>263</v>
      </c>
      <c r="M710" s="45" t="s">
        <v>259</v>
      </c>
      <c r="N710" s="45" t="s">
        <v>167</v>
      </c>
      <c r="O710" s="47" t="n">
        <v>46184.0139351852</v>
      </c>
      <c r="P710" s="47" t="n">
        <v>46184.047037037</v>
      </c>
    </row>
    <row r="711" customFormat="false" ht="15" hidden="false" customHeight="false" outlineLevel="0" collapsed="false">
      <c r="A711" s="45" t="n">
        <v>921</v>
      </c>
      <c r="B711" s="46" t="n">
        <v>46184</v>
      </c>
      <c r="C711" s="45" t="s">
        <v>143</v>
      </c>
      <c r="D711" s="45" t="s">
        <v>144</v>
      </c>
      <c r="E711" s="45" t="s">
        <v>1613</v>
      </c>
      <c r="F711" s="45" t="s">
        <v>1614</v>
      </c>
      <c r="G711" s="46" t="n">
        <v>46183</v>
      </c>
      <c r="H711" s="45" t="s">
        <v>167</v>
      </c>
      <c r="I711" s="45" t="s">
        <v>175</v>
      </c>
      <c r="J711" s="45" t="s">
        <v>1615</v>
      </c>
      <c r="K711" s="45" t="n">
        <v>221.3</v>
      </c>
      <c r="L711" s="45" t="s">
        <v>263</v>
      </c>
      <c r="M711" s="45" t="s">
        <v>259</v>
      </c>
      <c r="N711" s="45" t="s">
        <v>167</v>
      </c>
      <c r="O711" s="47" t="n">
        <v>46184.6351157407</v>
      </c>
      <c r="P711" s="47" t="n">
        <v>46184.7887731482</v>
      </c>
    </row>
    <row r="712" customFormat="false" ht="15" hidden="false" customHeight="false" outlineLevel="0" collapsed="false">
      <c r="A712" s="45" t="n">
        <v>915</v>
      </c>
      <c r="B712" s="46" t="n">
        <v>46184</v>
      </c>
      <c r="C712" s="45" t="s">
        <v>133</v>
      </c>
      <c r="D712" s="45" t="s">
        <v>134</v>
      </c>
      <c r="E712" s="45" t="s">
        <v>1616</v>
      </c>
      <c r="F712" s="45" t="s">
        <v>1617</v>
      </c>
      <c r="G712" s="46" t="n">
        <v>46183</v>
      </c>
      <c r="H712" s="45" t="s">
        <v>168</v>
      </c>
      <c r="I712" s="45" t="s">
        <v>191</v>
      </c>
      <c r="J712" s="45" t="s">
        <v>1618</v>
      </c>
      <c r="K712" s="45" t="n">
        <v>41.3</v>
      </c>
      <c r="L712" s="45" t="s">
        <v>263</v>
      </c>
      <c r="M712" s="45" t="s">
        <v>259</v>
      </c>
      <c r="N712" s="45" t="s">
        <v>264</v>
      </c>
      <c r="O712" s="47" t="n">
        <v>46184.6413310185</v>
      </c>
      <c r="P712" s="47" t="n">
        <v>46184.67</v>
      </c>
    </row>
    <row r="713" customFormat="false" ht="15" hidden="false" customHeight="false" outlineLevel="0" collapsed="false">
      <c r="A713" s="45" t="n">
        <v>916</v>
      </c>
      <c r="B713" s="46" t="n">
        <v>46184</v>
      </c>
      <c r="C713" s="45" t="s">
        <v>131</v>
      </c>
      <c r="D713" s="45" t="s">
        <v>132</v>
      </c>
      <c r="E713" s="45" t="s">
        <v>242</v>
      </c>
      <c r="F713" s="45" t="s">
        <v>1619</v>
      </c>
      <c r="G713" s="46" t="n">
        <v>46182</v>
      </c>
      <c r="H713" s="45" t="s">
        <v>167</v>
      </c>
      <c r="I713" s="45" t="s">
        <v>175</v>
      </c>
      <c r="J713" s="45" t="s">
        <v>1620</v>
      </c>
      <c r="K713" s="45" t="n">
        <v>17.4</v>
      </c>
      <c r="L713" s="45" t="s">
        <v>263</v>
      </c>
      <c r="M713" s="45" t="s">
        <v>259</v>
      </c>
      <c r="N713" s="45" t="s">
        <v>167</v>
      </c>
      <c r="O713" s="47" t="n">
        <v>46184.7191666667</v>
      </c>
      <c r="P713" s="47" t="n">
        <v>46184.7312152778</v>
      </c>
    </row>
    <row r="714" customFormat="false" ht="15" hidden="false" customHeight="false" outlineLevel="0" collapsed="false">
      <c r="A714" s="45" t="n">
        <v>917</v>
      </c>
      <c r="B714" s="46" t="n">
        <v>46184</v>
      </c>
      <c r="C714" s="45" t="s">
        <v>131</v>
      </c>
      <c r="D714" s="45" t="s">
        <v>132</v>
      </c>
      <c r="E714" s="45" t="s">
        <v>220</v>
      </c>
      <c r="F714" s="45" t="s">
        <v>1621</v>
      </c>
      <c r="G714" s="46" t="n">
        <v>46183</v>
      </c>
      <c r="H714" s="45" t="s">
        <v>167</v>
      </c>
      <c r="I714" s="45" t="s">
        <v>175</v>
      </c>
      <c r="J714" s="45" t="s">
        <v>1622</v>
      </c>
      <c r="K714" s="45" t="n">
        <v>4.4</v>
      </c>
      <c r="L714" s="45" t="s">
        <v>259</v>
      </c>
      <c r="M714" s="45" t="s">
        <v>259</v>
      </c>
      <c r="N714" s="45" t="s">
        <v>167</v>
      </c>
      <c r="O714" s="47" t="n">
        <v>46184.7316435185</v>
      </c>
      <c r="P714" s="47" t="n">
        <v>46184.7346990741</v>
      </c>
    </row>
    <row r="715" customFormat="false" ht="15" hidden="false" customHeight="false" outlineLevel="0" collapsed="false">
      <c r="A715" s="45" t="n">
        <v>918</v>
      </c>
      <c r="B715" s="46" t="n">
        <v>46184</v>
      </c>
      <c r="C715" s="45" t="s">
        <v>141</v>
      </c>
      <c r="D715" s="45" t="s">
        <v>142</v>
      </c>
      <c r="E715" s="45" t="s">
        <v>1623</v>
      </c>
      <c r="F715" s="45" t="s">
        <v>1624</v>
      </c>
      <c r="G715" s="46" t="n">
        <v>46183</v>
      </c>
      <c r="H715" s="45" t="s">
        <v>167</v>
      </c>
      <c r="I715" s="45" t="s">
        <v>176</v>
      </c>
      <c r="J715" s="45" t="s">
        <v>1625</v>
      </c>
      <c r="K715" s="45" t="n">
        <v>0.6</v>
      </c>
      <c r="L715" s="45" t="s">
        <v>259</v>
      </c>
      <c r="M715" s="45" t="s">
        <v>259</v>
      </c>
      <c r="N715" s="45" t="s">
        <v>167</v>
      </c>
      <c r="O715" s="47" t="n">
        <v>46184.749537037</v>
      </c>
      <c r="P715" s="47" t="n">
        <v>46184.7499652778</v>
      </c>
    </row>
    <row r="716" customFormat="false" ht="15" hidden="false" customHeight="false" outlineLevel="0" collapsed="false">
      <c r="A716" s="45" t="n">
        <v>919</v>
      </c>
      <c r="B716" s="46" t="n">
        <v>46184</v>
      </c>
      <c r="C716" s="45" t="s">
        <v>141</v>
      </c>
      <c r="D716" s="45" t="s">
        <v>142</v>
      </c>
      <c r="E716" s="45" t="s">
        <v>1623</v>
      </c>
      <c r="F716" s="45" t="s">
        <v>1626</v>
      </c>
      <c r="G716" s="46" t="n">
        <v>46183</v>
      </c>
      <c r="H716" s="45" t="s">
        <v>169</v>
      </c>
      <c r="I716" s="45"/>
      <c r="J716" s="45"/>
      <c r="K716" s="45" t="n">
        <v>0.3</v>
      </c>
      <c r="L716" s="45" t="s">
        <v>263</v>
      </c>
      <c r="M716" s="45" t="s">
        <v>259</v>
      </c>
      <c r="N716" s="45" t="s">
        <v>169</v>
      </c>
      <c r="O716" s="47" t="n">
        <v>46184.7502430556</v>
      </c>
      <c r="P716" s="47" t="n">
        <v>46184.7504282407</v>
      </c>
    </row>
    <row r="717" customFormat="false" ht="15" hidden="false" customHeight="false" outlineLevel="0" collapsed="false">
      <c r="A717" s="45" t="n">
        <v>920</v>
      </c>
      <c r="B717" s="46" t="n">
        <v>46184</v>
      </c>
      <c r="C717" s="45" t="s">
        <v>141</v>
      </c>
      <c r="D717" s="45" t="s">
        <v>142</v>
      </c>
      <c r="E717" s="45" t="s">
        <v>284</v>
      </c>
      <c r="F717" s="45" t="s">
        <v>1627</v>
      </c>
      <c r="G717" s="46" t="n">
        <v>46175</v>
      </c>
      <c r="H717" s="45" t="s">
        <v>167</v>
      </c>
      <c r="I717" s="45" t="s">
        <v>175</v>
      </c>
      <c r="J717" s="45" t="s">
        <v>1628</v>
      </c>
      <c r="K717" s="45" t="n">
        <v>10.7</v>
      </c>
      <c r="L717" s="45" t="s">
        <v>263</v>
      </c>
      <c r="M717" s="45" t="s">
        <v>259</v>
      </c>
      <c r="N717" s="45" t="s">
        <v>167</v>
      </c>
      <c r="O717" s="47" t="n">
        <v>46184.750462963</v>
      </c>
      <c r="P717" s="47" t="n">
        <v>46184.7578935185</v>
      </c>
    </row>
    <row r="718" customFormat="false" ht="15" hidden="false" customHeight="false" outlineLevel="0" collapsed="false">
      <c r="A718" s="45" t="n">
        <v>922</v>
      </c>
      <c r="B718" s="46" t="n">
        <v>46184</v>
      </c>
      <c r="C718" s="45" t="s">
        <v>131</v>
      </c>
      <c r="D718" s="45" t="s">
        <v>132</v>
      </c>
      <c r="E718" s="45" t="s">
        <v>220</v>
      </c>
      <c r="F718" s="45" t="s">
        <v>1621</v>
      </c>
      <c r="G718" s="46" t="n">
        <v>46183</v>
      </c>
      <c r="H718" s="45" t="s">
        <v>167</v>
      </c>
      <c r="I718" s="45" t="s">
        <v>175</v>
      </c>
      <c r="J718" s="45" t="s">
        <v>1629</v>
      </c>
      <c r="K718" s="45" t="n">
        <v>12.5</v>
      </c>
      <c r="L718" s="45" t="s">
        <v>259</v>
      </c>
      <c r="M718" s="45" t="s">
        <v>259</v>
      </c>
      <c r="N718" s="45" t="s">
        <v>167</v>
      </c>
      <c r="O718" s="47" t="n">
        <v>46184.7819675926</v>
      </c>
      <c r="P718" s="47" t="n">
        <v>46184.7906597222</v>
      </c>
    </row>
    <row r="719" customFormat="false" ht="15" hidden="false" customHeight="false" outlineLevel="0" collapsed="false">
      <c r="A719" s="45" t="n">
        <v>923</v>
      </c>
      <c r="B719" s="46" t="n">
        <v>46184</v>
      </c>
      <c r="C719" s="45" t="s">
        <v>131</v>
      </c>
      <c r="D719" s="45" t="s">
        <v>132</v>
      </c>
      <c r="E719" s="45" t="s">
        <v>222</v>
      </c>
      <c r="F719" s="45" t="s">
        <v>1630</v>
      </c>
      <c r="G719" s="46" t="n">
        <v>46183</v>
      </c>
      <c r="H719" s="45" t="s">
        <v>167</v>
      </c>
      <c r="I719" s="45" t="s">
        <v>176</v>
      </c>
      <c r="J719" s="45" t="s">
        <v>1631</v>
      </c>
      <c r="K719" s="45" t="n">
        <v>9.4</v>
      </c>
      <c r="L719" s="45" t="s">
        <v>263</v>
      </c>
      <c r="M719" s="45" t="s">
        <v>259</v>
      </c>
      <c r="N719" s="45" t="s">
        <v>167</v>
      </c>
      <c r="O719" s="47" t="n">
        <v>46184.7906828704</v>
      </c>
      <c r="P719" s="47" t="n">
        <v>46184.7972222222</v>
      </c>
    </row>
    <row r="720" customFormat="false" ht="15" hidden="false" customHeight="false" outlineLevel="0" collapsed="false">
      <c r="A720" s="45" t="n">
        <v>924</v>
      </c>
      <c r="B720" s="46" t="n">
        <v>46184</v>
      </c>
      <c r="C720" s="45" t="s">
        <v>131</v>
      </c>
      <c r="D720" s="45" t="s">
        <v>132</v>
      </c>
      <c r="E720" s="45" t="s">
        <v>222</v>
      </c>
      <c r="F720" s="45" t="s">
        <v>1632</v>
      </c>
      <c r="G720" s="46" t="n">
        <v>46183</v>
      </c>
      <c r="H720" s="45" t="s">
        <v>168</v>
      </c>
      <c r="I720" s="45" t="s">
        <v>192</v>
      </c>
      <c r="J720" s="45" t="s">
        <v>1633</v>
      </c>
      <c r="K720" s="45" t="n">
        <v>2.4</v>
      </c>
      <c r="L720" s="45" t="s">
        <v>263</v>
      </c>
      <c r="M720" s="45" t="s">
        <v>259</v>
      </c>
      <c r="N720" s="45" t="s">
        <v>264</v>
      </c>
      <c r="O720" s="47" t="n">
        <v>46184.8002199074</v>
      </c>
      <c r="P720" s="47" t="n">
        <v>46184.8018981482</v>
      </c>
    </row>
    <row r="721" customFormat="false" ht="15" hidden="false" customHeight="false" outlineLevel="0" collapsed="false">
      <c r="A721" s="45" t="n">
        <v>952</v>
      </c>
      <c r="B721" s="46" t="n">
        <v>46184</v>
      </c>
      <c r="C721" s="45" t="s">
        <v>131</v>
      </c>
      <c r="D721" s="45" t="s">
        <v>132</v>
      </c>
      <c r="E721" s="45" t="s">
        <v>222</v>
      </c>
      <c r="F721" s="45" t="s">
        <v>1634</v>
      </c>
      <c r="G721" s="46" t="n">
        <v>46184</v>
      </c>
      <c r="H721" s="45" t="s">
        <v>168</v>
      </c>
      <c r="I721" s="45" t="s">
        <v>191</v>
      </c>
      <c r="J721" s="45" t="s">
        <v>1635</v>
      </c>
      <c r="K721" s="45" t="n">
        <v>1254.4</v>
      </c>
      <c r="L721" s="45" t="s">
        <v>263</v>
      </c>
      <c r="M721" s="45" t="s">
        <v>259</v>
      </c>
      <c r="N721" s="45" t="s">
        <v>264</v>
      </c>
      <c r="O721" s="47" t="n">
        <v>46184.8020486111</v>
      </c>
      <c r="P721" s="47" t="n">
        <v>46185.6731712963</v>
      </c>
    </row>
    <row r="722" customFormat="false" ht="15" hidden="false" customHeight="false" outlineLevel="0" collapsed="false">
      <c r="A722" s="45" t="n">
        <v>925</v>
      </c>
      <c r="B722" s="46" t="n">
        <v>46184</v>
      </c>
      <c r="C722" s="45" t="s">
        <v>141</v>
      </c>
      <c r="D722" s="45" t="s">
        <v>142</v>
      </c>
      <c r="E722" s="45" t="s">
        <v>1623</v>
      </c>
      <c r="F722" s="45" t="s">
        <v>1636</v>
      </c>
      <c r="G722" s="46" t="n">
        <v>46183</v>
      </c>
      <c r="H722" s="45" t="s">
        <v>167</v>
      </c>
      <c r="I722" s="45" t="s">
        <v>175</v>
      </c>
      <c r="J722" s="45" t="s">
        <v>1637</v>
      </c>
      <c r="K722" s="45" t="n">
        <v>0.4</v>
      </c>
      <c r="L722" s="45" t="s">
        <v>263</v>
      </c>
      <c r="M722" s="45" t="s">
        <v>259</v>
      </c>
      <c r="N722" s="45" t="s">
        <v>167</v>
      </c>
      <c r="O722" s="47" t="n">
        <v>46184.8436342593</v>
      </c>
      <c r="P722" s="47" t="n">
        <v>46184.8439351852</v>
      </c>
    </row>
    <row r="723" customFormat="false" ht="15" hidden="false" customHeight="false" outlineLevel="0" collapsed="false">
      <c r="A723" s="45" t="n">
        <v>926</v>
      </c>
      <c r="B723" s="46" t="n">
        <v>46184</v>
      </c>
      <c r="C723" s="45" t="s">
        <v>141</v>
      </c>
      <c r="D723" s="45" t="s">
        <v>142</v>
      </c>
      <c r="E723" s="45" t="s">
        <v>1623</v>
      </c>
      <c r="F723" s="45" t="s">
        <v>1638</v>
      </c>
      <c r="G723" s="46" t="n">
        <v>46181</v>
      </c>
      <c r="H723" s="45" t="s">
        <v>168</v>
      </c>
      <c r="I723" s="45" t="s">
        <v>194</v>
      </c>
      <c r="J723" s="45" t="s">
        <v>1639</v>
      </c>
      <c r="K723" s="45" t="n">
        <v>5.2</v>
      </c>
      <c r="L723" s="45" t="s">
        <v>263</v>
      </c>
      <c r="M723" s="45" t="s">
        <v>259</v>
      </c>
      <c r="N723" s="45" t="s">
        <v>264</v>
      </c>
      <c r="O723" s="47" t="n">
        <v>46184.8441782407</v>
      </c>
      <c r="P723" s="47" t="n">
        <v>46184.8477546296</v>
      </c>
    </row>
    <row r="724" customFormat="false" ht="15" hidden="false" customHeight="false" outlineLevel="0" collapsed="false">
      <c r="A724" s="45" t="n">
        <v>927</v>
      </c>
      <c r="B724" s="46" t="n">
        <v>46184</v>
      </c>
      <c r="C724" s="45" t="s">
        <v>141</v>
      </c>
      <c r="D724" s="45" t="s">
        <v>142</v>
      </c>
      <c r="E724" s="45" t="s">
        <v>1623</v>
      </c>
      <c r="F724" s="45" t="s">
        <v>1640</v>
      </c>
      <c r="G724" s="46" t="n">
        <v>46181</v>
      </c>
      <c r="H724" s="45" t="s">
        <v>169</v>
      </c>
      <c r="I724" s="45"/>
      <c r="J724" s="45"/>
      <c r="K724" s="45" t="n">
        <v>1.3</v>
      </c>
      <c r="L724" s="45" t="s">
        <v>263</v>
      </c>
      <c r="M724" s="45" t="s">
        <v>259</v>
      </c>
      <c r="N724" s="45" t="s">
        <v>169</v>
      </c>
      <c r="O724" s="47" t="n">
        <v>46184.8478587963</v>
      </c>
      <c r="P724" s="47" t="n">
        <v>46184.8487847222</v>
      </c>
    </row>
    <row r="725" customFormat="false" ht="15" hidden="false" customHeight="false" outlineLevel="0" collapsed="false">
      <c r="A725" s="45" t="n">
        <v>928</v>
      </c>
      <c r="B725" s="46" t="n">
        <v>46184</v>
      </c>
      <c r="C725" s="45" t="s">
        <v>141</v>
      </c>
      <c r="D725" s="45" t="s">
        <v>142</v>
      </c>
      <c r="E725" s="45" t="s">
        <v>1027</v>
      </c>
      <c r="F725" s="45" t="s">
        <v>1641</v>
      </c>
      <c r="G725" s="46" t="n">
        <v>46178</v>
      </c>
      <c r="H725" s="45" t="s">
        <v>169</v>
      </c>
      <c r="I725" s="45"/>
      <c r="J725" s="45"/>
      <c r="K725" s="45" t="n">
        <v>0.2</v>
      </c>
      <c r="L725" s="45" t="s">
        <v>263</v>
      </c>
      <c r="M725" s="45" t="s">
        <v>259</v>
      </c>
      <c r="N725" s="45" t="s">
        <v>169</v>
      </c>
      <c r="O725" s="47" t="n">
        <v>46184.8506712963</v>
      </c>
      <c r="P725" s="47" t="n">
        <v>46184.8507986111</v>
      </c>
    </row>
    <row r="726" customFormat="false" ht="15" hidden="false" customHeight="false" outlineLevel="0" collapsed="false">
      <c r="A726" s="45" t="n">
        <v>929</v>
      </c>
      <c r="B726" s="46" t="n">
        <v>46184</v>
      </c>
      <c r="C726" s="45" t="s">
        <v>141</v>
      </c>
      <c r="D726" s="45" t="s">
        <v>142</v>
      </c>
      <c r="E726" s="45" t="s">
        <v>227</v>
      </c>
      <c r="F726" s="45" t="s">
        <v>1642</v>
      </c>
      <c r="G726" s="46" t="n">
        <v>46181</v>
      </c>
      <c r="H726" s="45" t="s">
        <v>168</v>
      </c>
      <c r="I726" s="45" t="s">
        <v>192</v>
      </c>
      <c r="J726" s="45" t="s">
        <v>1643</v>
      </c>
      <c r="K726" s="45" t="n">
        <v>13.1</v>
      </c>
      <c r="L726" s="45" t="s">
        <v>263</v>
      </c>
      <c r="M726" s="45" t="s">
        <v>259</v>
      </c>
      <c r="N726" s="45" t="s">
        <v>264</v>
      </c>
      <c r="O726" s="47" t="n">
        <v>46184.8508564815</v>
      </c>
      <c r="P726" s="47" t="n">
        <v>46184.8599652778</v>
      </c>
    </row>
    <row r="727" customFormat="false" ht="15" hidden="false" customHeight="false" outlineLevel="0" collapsed="false">
      <c r="A727" s="45" t="n">
        <v>930</v>
      </c>
      <c r="B727" s="46" t="n">
        <v>46184</v>
      </c>
      <c r="C727" s="45" t="s">
        <v>141</v>
      </c>
      <c r="D727" s="45" t="s">
        <v>142</v>
      </c>
      <c r="E727" s="45" t="s">
        <v>1623</v>
      </c>
      <c r="F727" s="45" t="s">
        <v>1624</v>
      </c>
      <c r="G727" s="46" t="n">
        <v>46182</v>
      </c>
      <c r="H727" s="45" t="s">
        <v>168</v>
      </c>
      <c r="I727" s="45" t="s">
        <v>195</v>
      </c>
      <c r="J727" s="45" t="s">
        <v>1644</v>
      </c>
      <c r="K727" s="45" t="n">
        <v>3.8</v>
      </c>
      <c r="L727" s="45" t="s">
        <v>259</v>
      </c>
      <c r="M727" s="45" t="s">
        <v>259</v>
      </c>
      <c r="N727" s="45" t="s">
        <v>264</v>
      </c>
      <c r="O727" s="47" t="n">
        <v>46184.986099537</v>
      </c>
      <c r="P727" s="47" t="n">
        <v>46184.9887152778</v>
      </c>
    </row>
    <row r="728" customFormat="false" ht="15" hidden="false" customHeight="false" outlineLevel="0" collapsed="false">
      <c r="A728" s="45" t="n">
        <v>931</v>
      </c>
      <c r="B728" s="46" t="n">
        <v>46185</v>
      </c>
      <c r="C728" s="45" t="s">
        <v>143</v>
      </c>
      <c r="D728" s="45" t="s">
        <v>144</v>
      </c>
      <c r="E728" s="45" t="s">
        <v>223</v>
      </c>
      <c r="F728" s="45" t="s">
        <v>1645</v>
      </c>
      <c r="G728" s="46" t="n">
        <v>46183</v>
      </c>
      <c r="H728" s="45" t="s">
        <v>167</v>
      </c>
      <c r="I728" s="45" t="s">
        <v>175</v>
      </c>
      <c r="J728" s="45" t="s">
        <v>1646</v>
      </c>
      <c r="K728" s="45" t="n">
        <v>0.9</v>
      </c>
      <c r="L728" s="45" t="s">
        <v>263</v>
      </c>
      <c r="M728" s="45" t="s">
        <v>259</v>
      </c>
      <c r="N728" s="45" t="s">
        <v>167</v>
      </c>
      <c r="O728" s="47" t="n">
        <v>46185.0020833333</v>
      </c>
      <c r="P728" s="47" t="n">
        <v>46185.0027199074</v>
      </c>
    </row>
    <row r="729" customFormat="false" ht="15" hidden="false" customHeight="false" outlineLevel="0" collapsed="false">
      <c r="A729" s="45" t="n">
        <v>933</v>
      </c>
      <c r="B729" s="46" t="n">
        <v>46185</v>
      </c>
      <c r="C729" s="45" t="s">
        <v>135</v>
      </c>
      <c r="D729" s="45" t="s">
        <v>136</v>
      </c>
      <c r="E729" s="45" t="s">
        <v>238</v>
      </c>
      <c r="F729" s="45" t="s">
        <v>1596</v>
      </c>
      <c r="G729" s="46" t="n">
        <v>46181</v>
      </c>
      <c r="H729" s="45" t="s">
        <v>168</v>
      </c>
      <c r="I729" s="45" t="s">
        <v>192</v>
      </c>
      <c r="J729" s="45" t="s">
        <v>1647</v>
      </c>
      <c r="K729" s="45" t="n">
        <v>5.4</v>
      </c>
      <c r="L729" s="45" t="s">
        <v>259</v>
      </c>
      <c r="M729" s="45" t="s">
        <v>259</v>
      </c>
      <c r="N729" s="45" t="s">
        <v>264</v>
      </c>
      <c r="O729" s="47" t="n">
        <v>46185.0247222222</v>
      </c>
      <c r="P729" s="47" t="n">
        <v>46185.0284722222</v>
      </c>
    </row>
    <row r="730" customFormat="false" ht="15" hidden="false" customHeight="false" outlineLevel="0" collapsed="false">
      <c r="A730" s="45" t="n">
        <v>934</v>
      </c>
      <c r="B730" s="46" t="n">
        <v>46185</v>
      </c>
      <c r="C730" s="45" t="s">
        <v>135</v>
      </c>
      <c r="D730" s="45" t="s">
        <v>136</v>
      </c>
      <c r="E730" s="45" t="s">
        <v>408</v>
      </c>
      <c r="F730" s="45" t="s">
        <v>1648</v>
      </c>
      <c r="G730" s="46" t="n">
        <v>46181</v>
      </c>
      <c r="H730" s="45" t="s">
        <v>167</v>
      </c>
      <c r="I730" s="45" t="s">
        <v>175</v>
      </c>
      <c r="J730" s="45" t="s">
        <v>1649</v>
      </c>
      <c r="K730" s="45" t="n">
        <v>5.4</v>
      </c>
      <c r="L730" s="45" t="s">
        <v>263</v>
      </c>
      <c r="M730" s="45" t="s">
        <v>259</v>
      </c>
      <c r="N730" s="45" t="s">
        <v>167</v>
      </c>
      <c r="O730" s="47" t="n">
        <v>46185.0285300926</v>
      </c>
      <c r="P730" s="47" t="n">
        <v>46185.0322685185</v>
      </c>
    </row>
    <row r="731" customFormat="false" ht="15" hidden="false" customHeight="false" outlineLevel="0" collapsed="false">
      <c r="A731" s="45" t="n">
        <v>935</v>
      </c>
      <c r="B731" s="46" t="n">
        <v>46185</v>
      </c>
      <c r="C731" s="45" t="s">
        <v>135</v>
      </c>
      <c r="D731" s="45" t="s">
        <v>136</v>
      </c>
      <c r="E731" s="45" t="s">
        <v>238</v>
      </c>
      <c r="F731" s="45" t="s">
        <v>1650</v>
      </c>
      <c r="G731" s="46" t="n">
        <v>46181</v>
      </c>
      <c r="H731" s="45" t="s">
        <v>167</v>
      </c>
      <c r="I731" s="45" t="s">
        <v>175</v>
      </c>
      <c r="J731" s="45" t="s">
        <v>1651</v>
      </c>
      <c r="K731" s="45" t="n">
        <v>9.6</v>
      </c>
      <c r="L731" s="45" t="s">
        <v>263</v>
      </c>
      <c r="M731" s="45" t="s">
        <v>259</v>
      </c>
      <c r="N731" s="45" t="s">
        <v>167</v>
      </c>
      <c r="O731" s="47" t="n">
        <v>46185.0323148148</v>
      </c>
      <c r="P731" s="47" t="n">
        <v>46185.0389583333</v>
      </c>
    </row>
    <row r="732" customFormat="false" ht="15" hidden="false" customHeight="false" outlineLevel="0" collapsed="false">
      <c r="A732" s="45" t="n">
        <v>936</v>
      </c>
      <c r="B732" s="46" t="n">
        <v>46185</v>
      </c>
      <c r="C732" s="45" t="s">
        <v>133</v>
      </c>
      <c r="D732" s="45" t="s">
        <v>134</v>
      </c>
      <c r="E732" s="45" t="s">
        <v>234</v>
      </c>
      <c r="F732" s="45" t="s">
        <v>1652</v>
      </c>
      <c r="G732" s="46" t="n">
        <v>46184</v>
      </c>
      <c r="H732" s="45" t="s">
        <v>167</v>
      </c>
      <c r="I732" s="45" t="s">
        <v>175</v>
      </c>
      <c r="J732" s="45" t="s">
        <v>1653</v>
      </c>
      <c r="K732" s="45" t="n">
        <v>2.4</v>
      </c>
      <c r="L732" s="45" t="s">
        <v>263</v>
      </c>
      <c r="M732" s="45" t="s">
        <v>259</v>
      </c>
      <c r="N732" s="45" t="s">
        <v>167</v>
      </c>
      <c r="O732" s="47" t="n">
        <v>46185.0646064815</v>
      </c>
      <c r="P732" s="47" t="n">
        <v>46185.0662731482</v>
      </c>
    </row>
    <row r="733" customFormat="false" ht="15" hidden="false" customHeight="false" outlineLevel="0" collapsed="false">
      <c r="A733" s="45" t="n">
        <v>937</v>
      </c>
      <c r="B733" s="46" t="n">
        <v>46185</v>
      </c>
      <c r="C733" s="45" t="s">
        <v>133</v>
      </c>
      <c r="D733" s="45" t="s">
        <v>134</v>
      </c>
      <c r="E733" s="45" t="s">
        <v>234</v>
      </c>
      <c r="F733" s="45" t="s">
        <v>1654</v>
      </c>
      <c r="G733" s="46" t="n">
        <v>46184</v>
      </c>
      <c r="H733" s="45" t="s">
        <v>167</v>
      </c>
      <c r="I733" s="45" t="s">
        <v>175</v>
      </c>
      <c r="J733" s="45" t="s">
        <v>1655</v>
      </c>
      <c r="K733" s="45" t="n">
        <v>4.9</v>
      </c>
      <c r="L733" s="45" t="s">
        <v>263</v>
      </c>
      <c r="M733" s="45" t="s">
        <v>259</v>
      </c>
      <c r="N733" s="45" t="s">
        <v>167</v>
      </c>
      <c r="O733" s="47" t="n">
        <v>46185.0663078704</v>
      </c>
      <c r="P733" s="47" t="n">
        <v>46185.0696875</v>
      </c>
    </row>
    <row r="734" customFormat="false" ht="15" hidden="false" customHeight="false" outlineLevel="0" collapsed="false">
      <c r="A734" s="45" t="n">
        <v>938</v>
      </c>
      <c r="B734" s="46" t="n">
        <v>46185</v>
      </c>
      <c r="C734" s="45" t="s">
        <v>133</v>
      </c>
      <c r="D734" s="45" t="s">
        <v>134</v>
      </c>
      <c r="E734" s="45" t="s">
        <v>405</v>
      </c>
      <c r="F734" s="45" t="s">
        <v>1656</v>
      </c>
      <c r="G734" s="46" t="n">
        <v>46184</v>
      </c>
      <c r="H734" s="45" t="s">
        <v>167</v>
      </c>
      <c r="I734" s="45" t="s">
        <v>177</v>
      </c>
      <c r="J734" s="45" t="s">
        <v>1657</v>
      </c>
      <c r="K734" s="45" t="n">
        <v>19.5</v>
      </c>
      <c r="L734" s="45" t="s">
        <v>263</v>
      </c>
      <c r="M734" s="45" t="s">
        <v>259</v>
      </c>
      <c r="N734" s="45" t="s">
        <v>167</v>
      </c>
      <c r="O734" s="47" t="n">
        <v>46185.0697222222</v>
      </c>
      <c r="P734" s="47" t="n">
        <v>46185.083287037</v>
      </c>
    </row>
    <row r="735" customFormat="false" ht="15" hidden="false" customHeight="false" outlineLevel="0" collapsed="false">
      <c r="A735" s="45" t="n">
        <v>939</v>
      </c>
      <c r="B735" s="46" t="n">
        <v>46185</v>
      </c>
      <c r="C735" s="45" t="s">
        <v>133</v>
      </c>
      <c r="D735" s="45" t="s">
        <v>134</v>
      </c>
      <c r="E735" s="45" t="s">
        <v>466</v>
      </c>
      <c r="F735" s="45" t="s">
        <v>1658</v>
      </c>
      <c r="G735" s="46" t="n">
        <v>46184</v>
      </c>
      <c r="H735" s="45" t="s">
        <v>167</v>
      </c>
      <c r="I735" s="45" t="s">
        <v>175</v>
      </c>
      <c r="J735" s="45" t="s">
        <v>1659</v>
      </c>
      <c r="K735" s="45" t="n">
        <v>3.4</v>
      </c>
      <c r="L735" s="45" t="s">
        <v>263</v>
      </c>
      <c r="M735" s="45" t="s">
        <v>259</v>
      </c>
      <c r="N735" s="45" t="s">
        <v>167</v>
      </c>
      <c r="O735" s="47" t="n">
        <v>46185.089525463</v>
      </c>
      <c r="P735" s="47" t="n">
        <v>46185.0918518519</v>
      </c>
    </row>
    <row r="736" customFormat="false" ht="15" hidden="false" customHeight="false" outlineLevel="0" collapsed="false">
      <c r="A736" s="45" t="n">
        <v>940</v>
      </c>
      <c r="B736" s="46" t="n">
        <v>46185</v>
      </c>
      <c r="C736" s="45" t="s">
        <v>137</v>
      </c>
      <c r="D736" s="45" t="s">
        <v>138</v>
      </c>
      <c r="E736" s="45" t="s">
        <v>449</v>
      </c>
      <c r="F736" s="45" t="s">
        <v>1660</v>
      </c>
      <c r="G736" s="46" t="n">
        <v>46183</v>
      </c>
      <c r="H736" s="45" t="s">
        <v>168</v>
      </c>
      <c r="I736" s="45" t="s">
        <v>191</v>
      </c>
      <c r="J736" s="45" t="s">
        <v>1661</v>
      </c>
      <c r="K736" s="45" t="n">
        <v>2.7</v>
      </c>
      <c r="L736" s="45" t="s">
        <v>263</v>
      </c>
      <c r="M736" s="45" t="s">
        <v>259</v>
      </c>
      <c r="N736" s="45" t="s">
        <v>264</v>
      </c>
      <c r="O736" s="47" t="n">
        <v>46185.6084259259</v>
      </c>
      <c r="P736" s="47" t="n">
        <v>46185.6103240741</v>
      </c>
    </row>
    <row r="737" customFormat="false" ht="15" hidden="false" customHeight="false" outlineLevel="0" collapsed="false">
      <c r="A737" s="45" t="n">
        <v>941</v>
      </c>
      <c r="B737" s="46" t="n">
        <v>46185</v>
      </c>
      <c r="C737" s="45" t="s">
        <v>137</v>
      </c>
      <c r="D737" s="45" t="s">
        <v>138</v>
      </c>
      <c r="E737" s="45" t="s">
        <v>309</v>
      </c>
      <c r="F737" s="45" t="s">
        <v>1662</v>
      </c>
      <c r="G737" s="46" t="n">
        <v>46181</v>
      </c>
      <c r="H737" s="45" t="s">
        <v>168</v>
      </c>
      <c r="I737" s="45" t="s">
        <v>191</v>
      </c>
      <c r="J737" s="45" t="s">
        <v>1663</v>
      </c>
      <c r="K737" s="45" t="n">
        <v>1.9</v>
      </c>
      <c r="L737" s="45" t="s">
        <v>263</v>
      </c>
      <c r="M737" s="45" t="s">
        <v>259</v>
      </c>
      <c r="N737" s="45" t="s">
        <v>264</v>
      </c>
      <c r="O737" s="47" t="n">
        <v>46185.6103587963</v>
      </c>
      <c r="P737" s="47" t="n">
        <v>46185.6116898148</v>
      </c>
    </row>
    <row r="738" customFormat="false" ht="15" hidden="false" customHeight="false" outlineLevel="0" collapsed="false">
      <c r="A738" s="45" t="n">
        <v>942</v>
      </c>
      <c r="B738" s="46" t="n">
        <v>46185</v>
      </c>
      <c r="C738" s="45" t="s">
        <v>137</v>
      </c>
      <c r="D738" s="45" t="s">
        <v>138</v>
      </c>
      <c r="E738" s="45" t="s">
        <v>229</v>
      </c>
      <c r="F738" s="45" t="s">
        <v>1664</v>
      </c>
      <c r="G738" s="46" t="n">
        <v>46184</v>
      </c>
      <c r="H738" s="45" t="s">
        <v>167</v>
      </c>
      <c r="I738" s="45" t="s">
        <v>182</v>
      </c>
      <c r="J738" s="45" t="s">
        <v>1665</v>
      </c>
      <c r="K738" s="45" t="n">
        <v>1</v>
      </c>
      <c r="L738" s="45" t="s">
        <v>263</v>
      </c>
      <c r="M738" s="45" t="s">
        <v>259</v>
      </c>
      <c r="N738" s="45" t="s">
        <v>167</v>
      </c>
      <c r="O738" s="47" t="n">
        <v>46185.6119560185</v>
      </c>
      <c r="P738" s="47" t="n">
        <v>46185.6126273148</v>
      </c>
    </row>
    <row r="739" customFormat="false" ht="15" hidden="false" customHeight="false" outlineLevel="0" collapsed="false">
      <c r="A739" s="45" t="n">
        <v>943</v>
      </c>
      <c r="B739" s="46" t="n">
        <v>46185</v>
      </c>
      <c r="C739" s="45" t="s">
        <v>137</v>
      </c>
      <c r="D739" s="45" t="s">
        <v>138</v>
      </c>
      <c r="E739" s="45" t="s">
        <v>449</v>
      </c>
      <c r="F739" s="45" t="s">
        <v>1666</v>
      </c>
      <c r="G739" s="46" t="n">
        <v>46182</v>
      </c>
      <c r="H739" s="45" t="s">
        <v>168</v>
      </c>
      <c r="I739" s="45" t="s">
        <v>195</v>
      </c>
      <c r="J739" s="45" t="s">
        <v>1667</v>
      </c>
      <c r="K739" s="45" t="n">
        <v>1.6</v>
      </c>
      <c r="L739" s="45" t="s">
        <v>263</v>
      </c>
      <c r="M739" s="45" t="s">
        <v>259</v>
      </c>
      <c r="N739" s="45" t="s">
        <v>264</v>
      </c>
      <c r="O739" s="47" t="n">
        <v>46185.612662037</v>
      </c>
      <c r="P739" s="47" t="n">
        <v>46185.61375</v>
      </c>
    </row>
    <row r="740" customFormat="false" ht="15" hidden="false" customHeight="false" outlineLevel="0" collapsed="false">
      <c r="A740" s="45" t="n">
        <v>944</v>
      </c>
      <c r="B740" s="46" t="n">
        <v>46185</v>
      </c>
      <c r="C740" s="45" t="s">
        <v>137</v>
      </c>
      <c r="D740" s="45" t="s">
        <v>138</v>
      </c>
      <c r="E740" s="45" t="s">
        <v>449</v>
      </c>
      <c r="F740" s="45" t="s">
        <v>1668</v>
      </c>
      <c r="G740" s="46" t="n">
        <v>46181</v>
      </c>
      <c r="H740" s="45" t="s">
        <v>167</v>
      </c>
      <c r="I740" s="45" t="s">
        <v>177</v>
      </c>
      <c r="J740" s="45" t="s">
        <v>1669</v>
      </c>
      <c r="K740" s="45" t="n">
        <v>0.4</v>
      </c>
      <c r="L740" s="45" t="s">
        <v>263</v>
      </c>
      <c r="M740" s="45" t="s">
        <v>259</v>
      </c>
      <c r="N740" s="45" t="s">
        <v>167</v>
      </c>
      <c r="O740" s="47" t="n">
        <v>46185.6138888889</v>
      </c>
      <c r="P740" s="47" t="n">
        <v>46185.6141550926</v>
      </c>
    </row>
    <row r="741" customFormat="false" ht="15" hidden="false" customHeight="false" outlineLevel="0" collapsed="false">
      <c r="A741" s="45" t="n">
        <v>945</v>
      </c>
      <c r="B741" s="46" t="n">
        <v>46185</v>
      </c>
      <c r="C741" s="45" t="s">
        <v>137</v>
      </c>
      <c r="D741" s="45" t="s">
        <v>138</v>
      </c>
      <c r="E741" s="45" t="s">
        <v>235</v>
      </c>
      <c r="F741" s="45" t="s">
        <v>1670</v>
      </c>
      <c r="G741" s="46" t="n">
        <v>46182</v>
      </c>
      <c r="H741" s="45" t="s">
        <v>167</v>
      </c>
      <c r="I741" s="45" t="s">
        <v>175</v>
      </c>
      <c r="J741" s="45" t="s">
        <v>1671</v>
      </c>
      <c r="K741" s="45" t="n">
        <v>25.1</v>
      </c>
      <c r="L741" s="45" t="s">
        <v>263</v>
      </c>
      <c r="M741" s="45" t="s">
        <v>259</v>
      </c>
      <c r="N741" s="45" t="s">
        <v>167</v>
      </c>
      <c r="O741" s="47" t="n">
        <v>46185.6145833333</v>
      </c>
      <c r="P741" s="47" t="n">
        <v>46185.6319907407</v>
      </c>
    </row>
    <row r="742" customFormat="false" ht="15" hidden="false" customHeight="false" outlineLevel="0" collapsed="false">
      <c r="A742" s="45" t="n">
        <v>946</v>
      </c>
      <c r="B742" s="46" t="n">
        <v>46185</v>
      </c>
      <c r="C742" s="45" t="s">
        <v>137</v>
      </c>
      <c r="D742" s="45" t="s">
        <v>138</v>
      </c>
      <c r="E742" s="45" t="s">
        <v>449</v>
      </c>
      <c r="F742" s="45" t="s">
        <v>1672</v>
      </c>
      <c r="G742" s="46" t="n">
        <v>46155</v>
      </c>
      <c r="H742" s="45" t="s">
        <v>167</v>
      </c>
      <c r="I742" s="45" t="s">
        <v>182</v>
      </c>
      <c r="J742" s="45" t="s">
        <v>445</v>
      </c>
      <c r="K742" s="45" t="n">
        <v>43.8</v>
      </c>
      <c r="L742" s="45" t="s">
        <v>263</v>
      </c>
      <c r="M742" s="45" t="s">
        <v>259</v>
      </c>
      <c r="N742" s="45" t="s">
        <v>167</v>
      </c>
      <c r="O742" s="47" t="n">
        <v>46185.6321296296</v>
      </c>
      <c r="P742" s="47" t="n">
        <v>46185.6625578704</v>
      </c>
    </row>
    <row r="743" customFormat="false" ht="15" hidden="false" customHeight="false" outlineLevel="0" collapsed="false">
      <c r="A743" s="45" t="n">
        <v>947</v>
      </c>
      <c r="B743" s="46" t="n">
        <v>46185</v>
      </c>
      <c r="C743" s="45" t="s">
        <v>137</v>
      </c>
      <c r="D743" s="45" t="s">
        <v>138</v>
      </c>
      <c r="E743" s="45" t="s">
        <v>1673</v>
      </c>
      <c r="F743" s="45" t="s">
        <v>1674</v>
      </c>
      <c r="G743" s="46" t="n">
        <v>46184</v>
      </c>
      <c r="H743" s="45" t="s">
        <v>167</v>
      </c>
      <c r="I743" s="45" t="s">
        <v>177</v>
      </c>
      <c r="J743" s="45" t="s">
        <v>1675</v>
      </c>
      <c r="K743" s="45" t="n">
        <v>1.3</v>
      </c>
      <c r="L743" s="45" t="s">
        <v>263</v>
      </c>
      <c r="M743" s="45" t="s">
        <v>259</v>
      </c>
      <c r="N743" s="45" t="s">
        <v>167</v>
      </c>
      <c r="O743" s="47" t="n">
        <v>46185.6626736111</v>
      </c>
      <c r="P743" s="47" t="n">
        <v>46185.6635763889</v>
      </c>
    </row>
    <row r="744" customFormat="false" ht="15" hidden="false" customHeight="false" outlineLevel="0" collapsed="false">
      <c r="A744" s="45" t="n">
        <v>948</v>
      </c>
      <c r="B744" s="46" t="n">
        <v>46185</v>
      </c>
      <c r="C744" s="45" t="s">
        <v>137</v>
      </c>
      <c r="D744" s="45" t="s">
        <v>138</v>
      </c>
      <c r="E744" s="45" t="s">
        <v>496</v>
      </c>
      <c r="F744" s="45" t="s">
        <v>1676</v>
      </c>
      <c r="G744" s="46" t="n">
        <v>46181</v>
      </c>
      <c r="H744" s="45" t="s">
        <v>168</v>
      </c>
      <c r="I744" s="45" t="s">
        <v>193</v>
      </c>
      <c r="J744" s="45" t="s">
        <v>1677</v>
      </c>
      <c r="K744" s="45" t="n">
        <v>0.5</v>
      </c>
      <c r="L744" s="45" t="s">
        <v>263</v>
      </c>
      <c r="M744" s="45" t="s">
        <v>259</v>
      </c>
      <c r="N744" s="45" t="s">
        <v>264</v>
      </c>
      <c r="O744" s="47" t="n">
        <v>46185.6637268519</v>
      </c>
      <c r="P744" s="47" t="n">
        <v>46185.6640625</v>
      </c>
    </row>
    <row r="745" customFormat="false" ht="15" hidden="false" customHeight="false" outlineLevel="0" collapsed="false">
      <c r="A745" s="45" t="n">
        <v>949</v>
      </c>
      <c r="B745" s="46" t="n">
        <v>46185</v>
      </c>
      <c r="C745" s="45" t="s">
        <v>137</v>
      </c>
      <c r="D745" s="45" t="s">
        <v>138</v>
      </c>
      <c r="E745" s="45" t="s">
        <v>496</v>
      </c>
      <c r="F745" s="45" t="s">
        <v>1678</v>
      </c>
      <c r="G745" s="46" t="n">
        <v>46181</v>
      </c>
      <c r="H745" s="45" t="s">
        <v>167</v>
      </c>
      <c r="I745" s="45" t="s">
        <v>175</v>
      </c>
      <c r="J745" s="45" t="s">
        <v>1679</v>
      </c>
      <c r="K745" s="45" t="n">
        <v>0.6</v>
      </c>
      <c r="L745" s="45" t="s">
        <v>263</v>
      </c>
      <c r="M745" s="45" t="s">
        <v>259</v>
      </c>
      <c r="N745" s="45" t="s">
        <v>167</v>
      </c>
      <c r="O745" s="47" t="n">
        <v>46185.6640856482</v>
      </c>
      <c r="P745" s="47" t="n">
        <v>46185.6644907407</v>
      </c>
    </row>
    <row r="746" customFormat="false" ht="15" hidden="false" customHeight="false" outlineLevel="0" collapsed="false">
      <c r="A746" s="45" t="n">
        <v>950</v>
      </c>
      <c r="B746" s="46" t="n">
        <v>46185</v>
      </c>
      <c r="C746" s="45" t="s">
        <v>137</v>
      </c>
      <c r="D746" s="45" t="s">
        <v>138</v>
      </c>
      <c r="E746" s="45" t="s">
        <v>875</v>
      </c>
      <c r="F746" s="45" t="s">
        <v>1680</v>
      </c>
      <c r="G746" s="46" t="n">
        <v>46184</v>
      </c>
      <c r="H746" s="45" t="s">
        <v>167</v>
      </c>
      <c r="I746" s="45" t="s">
        <v>175</v>
      </c>
      <c r="J746" s="45" t="s">
        <v>1681</v>
      </c>
      <c r="K746" s="45" t="n">
        <v>0.4</v>
      </c>
      <c r="L746" s="45" t="s">
        <v>263</v>
      </c>
      <c r="M746" s="45" t="s">
        <v>259</v>
      </c>
      <c r="N746" s="45" t="s">
        <v>167</v>
      </c>
      <c r="O746" s="47" t="n">
        <v>46185.6645833333</v>
      </c>
      <c r="P746" s="47" t="n">
        <v>46185.664837963</v>
      </c>
    </row>
    <row r="747" customFormat="false" ht="15" hidden="false" customHeight="false" outlineLevel="0" collapsed="false">
      <c r="A747" s="45" t="n">
        <v>951</v>
      </c>
      <c r="B747" s="46" t="n">
        <v>46185</v>
      </c>
      <c r="C747" s="45" t="s">
        <v>137</v>
      </c>
      <c r="D747" s="45" t="s">
        <v>138</v>
      </c>
      <c r="E747" s="45" t="s">
        <v>875</v>
      </c>
      <c r="F747" s="45" t="s">
        <v>1682</v>
      </c>
      <c r="G747" s="46" t="n">
        <v>46182</v>
      </c>
      <c r="H747" s="45" t="s">
        <v>167</v>
      </c>
      <c r="I747" s="45" t="s">
        <v>175</v>
      </c>
      <c r="J747" s="45" t="s">
        <v>1683</v>
      </c>
      <c r="K747" s="45" t="n">
        <v>0.4</v>
      </c>
      <c r="L747" s="45" t="s">
        <v>263</v>
      </c>
      <c r="M747" s="45" t="s">
        <v>259</v>
      </c>
      <c r="N747" s="45" t="s">
        <v>167</v>
      </c>
      <c r="O747" s="47" t="n">
        <v>46185.6648958333</v>
      </c>
      <c r="P747" s="47" t="n">
        <v>46185.665162037</v>
      </c>
    </row>
    <row r="748" customFormat="false" ht="15" hidden="false" customHeight="false" outlineLevel="0" collapsed="false">
      <c r="A748" s="45" t="n">
        <v>955</v>
      </c>
      <c r="B748" s="46" t="n">
        <v>46185</v>
      </c>
      <c r="C748" s="45" t="s">
        <v>141</v>
      </c>
      <c r="D748" s="45" t="s">
        <v>142</v>
      </c>
      <c r="E748" s="45" t="s">
        <v>227</v>
      </c>
      <c r="F748" s="45" t="s">
        <v>1684</v>
      </c>
      <c r="G748" s="46" t="n">
        <v>46184</v>
      </c>
      <c r="H748" s="45" t="s">
        <v>168</v>
      </c>
      <c r="I748" s="45" t="s">
        <v>193</v>
      </c>
      <c r="J748" s="45" t="s">
        <v>1685</v>
      </c>
      <c r="K748" s="45" t="n">
        <v>263.5</v>
      </c>
      <c r="L748" s="45" t="s">
        <v>259</v>
      </c>
      <c r="M748" s="45" t="s">
        <v>259</v>
      </c>
      <c r="N748" s="45" t="s">
        <v>264</v>
      </c>
      <c r="O748" s="47" t="n">
        <v>46185.6654398148</v>
      </c>
      <c r="P748" s="47" t="n">
        <v>46185.8484490741</v>
      </c>
    </row>
    <row r="749" customFormat="false" ht="15" hidden="false" customHeight="false" outlineLevel="0" collapsed="false">
      <c r="A749" s="45" t="n">
        <v>953</v>
      </c>
      <c r="B749" s="46" t="n">
        <v>46185</v>
      </c>
      <c r="C749" s="45" t="s">
        <v>131</v>
      </c>
      <c r="D749" s="45" t="s">
        <v>132</v>
      </c>
      <c r="E749" s="45" t="s">
        <v>487</v>
      </c>
      <c r="F749" s="45" t="s">
        <v>1686</v>
      </c>
      <c r="G749" s="46" t="n">
        <v>46184</v>
      </c>
      <c r="H749" s="45" t="s">
        <v>167</v>
      </c>
      <c r="I749" s="45" t="s">
        <v>175</v>
      </c>
      <c r="J749" s="45" t="s">
        <v>1687</v>
      </c>
      <c r="K749" s="45" t="n">
        <v>3.6</v>
      </c>
      <c r="L749" s="45" t="s">
        <v>263</v>
      </c>
      <c r="M749" s="45" t="s">
        <v>259</v>
      </c>
      <c r="N749" s="45" t="s">
        <v>167</v>
      </c>
      <c r="O749" s="47" t="n">
        <v>46185.71625</v>
      </c>
      <c r="P749" s="47" t="n">
        <v>46185.7187268519</v>
      </c>
    </row>
    <row r="750" customFormat="false" ht="15" hidden="false" customHeight="false" outlineLevel="0" collapsed="false">
      <c r="A750" s="45" t="n">
        <v>954</v>
      </c>
      <c r="B750" s="46" t="n">
        <v>46185</v>
      </c>
      <c r="C750" s="45" t="s">
        <v>131</v>
      </c>
      <c r="D750" s="45" t="s">
        <v>132</v>
      </c>
      <c r="E750" s="45" t="s">
        <v>1688</v>
      </c>
      <c r="F750" s="45" t="s">
        <v>1689</v>
      </c>
      <c r="G750" s="46" t="n">
        <v>46184</v>
      </c>
      <c r="H750" s="45" t="s">
        <v>167</v>
      </c>
      <c r="I750" s="45" t="s">
        <v>175</v>
      </c>
      <c r="J750" s="45" t="s">
        <v>1690</v>
      </c>
      <c r="K750" s="45" t="n">
        <v>3.1</v>
      </c>
      <c r="L750" s="45" t="s">
        <v>263</v>
      </c>
      <c r="M750" s="45" t="s">
        <v>259</v>
      </c>
      <c r="N750" s="45" t="s">
        <v>167</v>
      </c>
      <c r="O750" s="47" t="n">
        <v>46185.7245486111</v>
      </c>
      <c r="P750" s="47" t="n">
        <v>46185.7266898148</v>
      </c>
    </row>
    <row r="751" customFormat="false" ht="15" hidden="false" customHeight="false" outlineLevel="0" collapsed="false">
      <c r="A751" s="45" t="n">
        <v>956</v>
      </c>
      <c r="B751" s="46" t="n">
        <v>46185</v>
      </c>
      <c r="C751" s="45" t="s">
        <v>141</v>
      </c>
      <c r="D751" s="45" t="s">
        <v>142</v>
      </c>
      <c r="E751" s="45" t="s">
        <v>227</v>
      </c>
      <c r="F751" s="45" t="s">
        <v>1691</v>
      </c>
      <c r="G751" s="46" t="n">
        <v>46184</v>
      </c>
      <c r="H751" s="45" t="s">
        <v>167</v>
      </c>
      <c r="I751" s="45" t="s">
        <v>176</v>
      </c>
      <c r="J751" s="45" t="s">
        <v>1692</v>
      </c>
      <c r="K751" s="45" t="n">
        <v>1.1</v>
      </c>
      <c r="L751" s="45" t="s">
        <v>263</v>
      </c>
      <c r="M751" s="45" t="s">
        <v>259</v>
      </c>
      <c r="N751" s="45" t="s">
        <v>167</v>
      </c>
      <c r="O751" s="47" t="n">
        <v>46185.8581481482</v>
      </c>
      <c r="P751" s="47" t="n">
        <v>46185.8589467593</v>
      </c>
    </row>
    <row r="752" customFormat="false" ht="15" hidden="false" customHeight="false" outlineLevel="0" collapsed="false">
      <c r="A752" s="45" t="n">
        <v>957</v>
      </c>
      <c r="B752" s="46" t="n">
        <v>46185</v>
      </c>
      <c r="C752" s="45" t="s">
        <v>141</v>
      </c>
      <c r="D752" s="45" t="s">
        <v>142</v>
      </c>
      <c r="E752" s="45" t="s">
        <v>421</v>
      </c>
      <c r="F752" s="45" t="s">
        <v>1693</v>
      </c>
      <c r="G752" s="46" t="n">
        <v>46171</v>
      </c>
      <c r="H752" s="45" t="s">
        <v>167</v>
      </c>
      <c r="I752" s="45" t="s">
        <v>175</v>
      </c>
      <c r="J752" s="45" t="s">
        <v>1694</v>
      </c>
      <c r="K752" s="45" t="n">
        <v>2.3</v>
      </c>
      <c r="L752" s="45" t="s">
        <v>263</v>
      </c>
      <c r="M752" s="45" t="s">
        <v>259</v>
      </c>
      <c r="N752" s="45" t="s">
        <v>167</v>
      </c>
      <c r="O752" s="47" t="n">
        <v>46185.8589814815</v>
      </c>
      <c r="P752" s="47" t="n">
        <v>46185.8605902778</v>
      </c>
    </row>
    <row r="753" customFormat="false" ht="15" hidden="false" customHeight="false" outlineLevel="0" collapsed="false">
      <c r="A753" s="45" t="n">
        <v>958</v>
      </c>
      <c r="B753" s="46" t="n">
        <v>46185</v>
      </c>
      <c r="C753" s="45" t="s">
        <v>141</v>
      </c>
      <c r="D753" s="45" t="s">
        <v>142</v>
      </c>
      <c r="E753" s="45" t="s">
        <v>543</v>
      </c>
      <c r="F753" s="45" t="s">
        <v>1695</v>
      </c>
      <c r="G753" s="46" t="n">
        <v>46182</v>
      </c>
      <c r="H753" s="45" t="s">
        <v>168</v>
      </c>
      <c r="I753" s="45" t="s">
        <v>192</v>
      </c>
      <c r="J753" s="45" t="s">
        <v>1696</v>
      </c>
      <c r="K753" s="45" t="n">
        <v>0.8</v>
      </c>
      <c r="L753" s="45" t="s">
        <v>263</v>
      </c>
      <c r="M753" s="45" t="s">
        <v>259</v>
      </c>
      <c r="N753" s="45" t="s">
        <v>264</v>
      </c>
      <c r="O753" s="47" t="n">
        <v>46185.861875</v>
      </c>
      <c r="P753" s="47" t="n">
        <v>46185.8624189815</v>
      </c>
    </row>
    <row r="754" customFormat="false" ht="15" hidden="false" customHeight="false" outlineLevel="0" collapsed="false">
      <c r="A754" s="45" t="n">
        <v>959</v>
      </c>
      <c r="B754" s="46" t="n">
        <v>46185</v>
      </c>
      <c r="C754" s="45" t="s">
        <v>141</v>
      </c>
      <c r="D754" s="45" t="s">
        <v>142</v>
      </c>
      <c r="E754" s="45" t="s">
        <v>1697</v>
      </c>
      <c r="F754" s="45" t="s">
        <v>1698</v>
      </c>
      <c r="G754" s="46" t="n">
        <v>46182</v>
      </c>
      <c r="H754" s="45" t="s">
        <v>167</v>
      </c>
      <c r="I754" s="45" t="s">
        <v>175</v>
      </c>
      <c r="J754" s="45" t="s">
        <v>1699</v>
      </c>
      <c r="K754" s="45" t="n">
        <v>0.7</v>
      </c>
      <c r="L754" s="45" t="s">
        <v>263</v>
      </c>
      <c r="M754" s="45" t="s">
        <v>259</v>
      </c>
      <c r="N754" s="45" t="s">
        <v>167</v>
      </c>
      <c r="O754" s="47" t="n">
        <v>46185.8626041667</v>
      </c>
      <c r="P754" s="47" t="n">
        <v>46185.8630902778</v>
      </c>
    </row>
    <row r="755" customFormat="false" ht="15" hidden="false" customHeight="false" outlineLevel="0" collapsed="false">
      <c r="A755" s="45" t="n">
        <v>960</v>
      </c>
      <c r="B755" s="46" t="n">
        <v>46185</v>
      </c>
      <c r="C755" s="45" t="s">
        <v>141</v>
      </c>
      <c r="D755" s="45" t="s">
        <v>142</v>
      </c>
      <c r="E755" s="45" t="s">
        <v>256</v>
      </c>
      <c r="F755" s="45" t="s">
        <v>1700</v>
      </c>
      <c r="G755" s="46" t="n">
        <v>46171</v>
      </c>
      <c r="H755" s="45" t="s">
        <v>167</v>
      </c>
      <c r="I755" s="45" t="s">
        <v>175</v>
      </c>
      <c r="J755" s="45" t="s">
        <v>1701</v>
      </c>
      <c r="K755" s="45" t="n">
        <v>0.7</v>
      </c>
      <c r="L755" s="45" t="s">
        <v>263</v>
      </c>
      <c r="M755" s="45" t="s">
        <v>259</v>
      </c>
      <c r="N755" s="45" t="s">
        <v>167</v>
      </c>
      <c r="O755" s="47" t="n">
        <v>46185.863275463</v>
      </c>
      <c r="P755" s="47" t="n">
        <v>46185.8637268519</v>
      </c>
    </row>
    <row r="756" customFormat="false" ht="15" hidden="false" customHeight="false" outlineLevel="0" collapsed="false">
      <c r="A756" s="45" t="n">
        <v>961</v>
      </c>
      <c r="B756" s="46" t="n">
        <v>46185</v>
      </c>
      <c r="C756" s="45" t="s">
        <v>141</v>
      </c>
      <c r="D756" s="45" t="s">
        <v>142</v>
      </c>
      <c r="E756" s="45" t="s">
        <v>1027</v>
      </c>
      <c r="F756" s="45" t="s">
        <v>1702</v>
      </c>
      <c r="G756" s="46" t="n">
        <v>46168</v>
      </c>
      <c r="H756" s="45" t="s">
        <v>168</v>
      </c>
      <c r="I756" s="45" t="s">
        <v>192</v>
      </c>
      <c r="J756" s="45" t="s">
        <v>1703</v>
      </c>
      <c r="K756" s="45" t="n">
        <v>0.5</v>
      </c>
      <c r="L756" s="45" t="s">
        <v>263</v>
      </c>
      <c r="M756" s="45" t="s">
        <v>259</v>
      </c>
      <c r="N756" s="45" t="s">
        <v>264</v>
      </c>
      <c r="O756" s="47" t="n">
        <v>46185.8638888889</v>
      </c>
      <c r="P756" s="47" t="n">
        <v>46185.8642476852</v>
      </c>
    </row>
    <row r="757" customFormat="false" ht="15" hidden="false" customHeight="false" outlineLevel="0" collapsed="false">
      <c r="A757" s="45" t="n">
        <v>962</v>
      </c>
      <c r="B757" s="46" t="n">
        <v>46185</v>
      </c>
      <c r="C757" s="45" t="s">
        <v>141</v>
      </c>
      <c r="D757" s="45" t="s">
        <v>142</v>
      </c>
      <c r="E757" s="45" t="s">
        <v>1704</v>
      </c>
      <c r="F757" s="45" t="s">
        <v>1705</v>
      </c>
      <c r="G757" s="46" t="n">
        <v>46183</v>
      </c>
      <c r="H757" s="45" t="s">
        <v>168</v>
      </c>
      <c r="I757" s="45" t="s">
        <v>193</v>
      </c>
      <c r="J757" s="45" t="s">
        <v>1706</v>
      </c>
      <c r="K757" s="45" t="n">
        <v>16.9</v>
      </c>
      <c r="L757" s="45" t="s">
        <v>263</v>
      </c>
      <c r="M757" s="45" t="s">
        <v>259</v>
      </c>
      <c r="N757" s="45" t="s">
        <v>264</v>
      </c>
      <c r="O757" s="47" t="n">
        <v>46185.8642824074</v>
      </c>
      <c r="P757" s="47" t="n">
        <v>46185.8760416667</v>
      </c>
    </row>
    <row r="758" customFormat="false" ht="15" hidden="false" customHeight="false" outlineLevel="0" collapsed="false">
      <c r="A758" s="45" t="n">
        <v>963</v>
      </c>
      <c r="B758" s="46" t="n">
        <v>46185</v>
      </c>
      <c r="C758" s="45" t="s">
        <v>141</v>
      </c>
      <c r="D758" s="45" t="s">
        <v>142</v>
      </c>
      <c r="E758" s="45" t="s">
        <v>421</v>
      </c>
      <c r="F758" s="45" t="s">
        <v>1707</v>
      </c>
      <c r="G758" s="46" t="n">
        <v>46182</v>
      </c>
      <c r="H758" s="45" t="s">
        <v>168</v>
      </c>
      <c r="I758" s="45" t="s">
        <v>192</v>
      </c>
      <c r="J758" s="45" t="s">
        <v>1708</v>
      </c>
      <c r="K758" s="45" t="n">
        <v>0.3</v>
      </c>
      <c r="L758" s="45" t="s">
        <v>259</v>
      </c>
      <c r="M758" s="45" t="s">
        <v>259</v>
      </c>
      <c r="N758" s="45" t="s">
        <v>264</v>
      </c>
      <c r="O758" s="47" t="n">
        <v>46185.883599537</v>
      </c>
      <c r="P758" s="47" t="n">
        <v>46185.8838425926</v>
      </c>
    </row>
    <row r="759" customFormat="false" ht="15" hidden="false" customHeight="false" outlineLevel="0" collapsed="false">
      <c r="A759" s="45" t="n">
        <v>964</v>
      </c>
      <c r="B759" s="46" t="n">
        <v>46185</v>
      </c>
      <c r="C759" s="45" t="s">
        <v>141</v>
      </c>
      <c r="D759" s="45" t="s">
        <v>142</v>
      </c>
      <c r="E759" s="45" t="s">
        <v>1027</v>
      </c>
      <c r="F759" s="45" t="s">
        <v>1709</v>
      </c>
      <c r="G759" s="46" t="n">
        <v>46183</v>
      </c>
      <c r="H759" s="45" t="s">
        <v>168</v>
      </c>
      <c r="I759" s="45" t="s">
        <v>191</v>
      </c>
      <c r="J759" s="45" t="s">
        <v>1710</v>
      </c>
      <c r="K759" s="45" t="n">
        <v>11.9</v>
      </c>
      <c r="L759" s="45" t="s">
        <v>263</v>
      </c>
      <c r="M759" s="45" t="s">
        <v>259</v>
      </c>
      <c r="N759" s="45" t="s">
        <v>264</v>
      </c>
      <c r="O759" s="47" t="n">
        <v>46185.9795601852</v>
      </c>
      <c r="P759" s="47" t="n">
        <v>46185.9878240741</v>
      </c>
    </row>
    <row r="760" customFormat="false" ht="15" hidden="false" customHeight="false" outlineLevel="0" collapsed="false">
      <c r="A760" s="45" t="n">
        <v>965</v>
      </c>
      <c r="B760" s="46" t="n">
        <v>46186</v>
      </c>
      <c r="C760" s="45" t="s">
        <v>143</v>
      </c>
      <c r="D760" s="45" t="s">
        <v>144</v>
      </c>
      <c r="E760" s="45" t="s">
        <v>228</v>
      </c>
      <c r="F760" s="45" t="s">
        <v>1711</v>
      </c>
      <c r="G760" s="46" t="n">
        <v>46184</v>
      </c>
      <c r="H760" s="45" t="s">
        <v>167</v>
      </c>
      <c r="I760" s="45" t="s">
        <v>175</v>
      </c>
      <c r="J760" s="45" t="s">
        <v>1712</v>
      </c>
      <c r="K760" s="45" t="n">
        <v>0.4</v>
      </c>
      <c r="L760" s="45" t="s">
        <v>263</v>
      </c>
      <c r="M760" s="45" t="s">
        <v>259</v>
      </c>
      <c r="N760" s="45" t="s">
        <v>167</v>
      </c>
      <c r="O760" s="47" t="n">
        <v>46186.1048958333</v>
      </c>
      <c r="P760" s="47" t="n">
        <v>46186.1051851852</v>
      </c>
    </row>
    <row r="761" customFormat="false" ht="15" hidden="false" customHeight="false" outlineLevel="0" collapsed="false">
      <c r="A761" s="45" t="n">
        <v>966</v>
      </c>
      <c r="B761" s="46" t="n">
        <v>46186</v>
      </c>
      <c r="C761" s="45" t="s">
        <v>143</v>
      </c>
      <c r="D761" s="45" t="s">
        <v>144</v>
      </c>
      <c r="E761" s="45" t="s">
        <v>232</v>
      </c>
      <c r="F761" s="45" t="s">
        <v>1713</v>
      </c>
      <c r="G761" s="46" t="n">
        <v>46184</v>
      </c>
      <c r="H761" s="45" t="s">
        <v>57</v>
      </c>
      <c r="I761" s="45" t="s">
        <v>200</v>
      </c>
      <c r="J761" s="45" t="s">
        <v>1714</v>
      </c>
      <c r="K761" s="45" t="n">
        <v>6.9</v>
      </c>
      <c r="L761" s="45" t="s">
        <v>263</v>
      </c>
      <c r="M761" s="45" t="s">
        <v>259</v>
      </c>
      <c r="N761" s="45" t="s">
        <v>57</v>
      </c>
      <c r="O761" s="47" t="n">
        <v>46186.1052083333</v>
      </c>
      <c r="P761" s="47" t="n">
        <v>46186.1100231482</v>
      </c>
    </row>
    <row r="762" customFormat="false" ht="15" hidden="false" customHeight="false" outlineLevel="0" collapsed="false">
      <c r="A762" s="45" t="n">
        <v>967</v>
      </c>
      <c r="B762" s="46" t="n">
        <v>46188</v>
      </c>
      <c r="C762" s="45" t="s">
        <v>137</v>
      </c>
      <c r="D762" s="45" t="s">
        <v>138</v>
      </c>
      <c r="E762" s="45" t="s">
        <v>1673</v>
      </c>
      <c r="F762" s="45" t="s">
        <v>1715</v>
      </c>
      <c r="G762" s="46" t="n">
        <v>46185</v>
      </c>
      <c r="H762" s="45" t="s">
        <v>167</v>
      </c>
      <c r="I762" s="45" t="s">
        <v>182</v>
      </c>
      <c r="J762" s="45" t="s">
        <v>1716</v>
      </c>
      <c r="K762" s="45" t="n">
        <v>0.8</v>
      </c>
      <c r="L762" s="45" t="s">
        <v>263</v>
      </c>
      <c r="M762" s="45" t="s">
        <v>259</v>
      </c>
      <c r="N762" s="45" t="s">
        <v>167</v>
      </c>
      <c r="O762" s="47" t="n">
        <v>46188.564537037</v>
      </c>
      <c r="P762" s="47" t="n">
        <v>46188.5650925926</v>
      </c>
    </row>
    <row r="763" customFormat="false" ht="15" hidden="false" customHeight="false" outlineLevel="0" collapsed="false">
      <c r="A763" s="45" t="n">
        <v>968</v>
      </c>
      <c r="B763" s="46" t="n">
        <v>46188</v>
      </c>
      <c r="C763" s="45" t="s">
        <v>137</v>
      </c>
      <c r="D763" s="45" t="s">
        <v>138</v>
      </c>
      <c r="E763" s="45" t="s">
        <v>453</v>
      </c>
      <c r="F763" s="45" t="s">
        <v>1717</v>
      </c>
      <c r="G763" s="46" t="n">
        <v>46185</v>
      </c>
      <c r="H763" s="45" t="s">
        <v>168</v>
      </c>
      <c r="I763" s="45" t="s">
        <v>195</v>
      </c>
      <c r="J763" s="45" t="s">
        <v>1718</v>
      </c>
      <c r="K763" s="45" t="n">
        <v>1.9</v>
      </c>
      <c r="L763" s="45" t="s">
        <v>263</v>
      </c>
      <c r="M763" s="45" t="s">
        <v>259</v>
      </c>
      <c r="N763" s="45" t="s">
        <v>264</v>
      </c>
      <c r="O763" s="47" t="n">
        <v>46188.5651273148</v>
      </c>
      <c r="P763" s="47" t="n">
        <v>46188.5664583333</v>
      </c>
    </row>
    <row r="764" customFormat="false" ht="15" hidden="false" customHeight="false" outlineLevel="0" collapsed="false">
      <c r="A764" s="45" t="n">
        <v>969</v>
      </c>
      <c r="B764" s="46" t="n">
        <v>46188</v>
      </c>
      <c r="C764" s="45" t="s">
        <v>137</v>
      </c>
      <c r="D764" s="45" t="s">
        <v>138</v>
      </c>
      <c r="E764" s="45" t="s">
        <v>1673</v>
      </c>
      <c r="F764" s="45" t="s">
        <v>1719</v>
      </c>
      <c r="G764" s="46" t="n">
        <v>46182</v>
      </c>
      <c r="H764" s="45" t="s">
        <v>167</v>
      </c>
      <c r="I764" s="45" t="s">
        <v>177</v>
      </c>
      <c r="J764" s="45" t="s">
        <v>445</v>
      </c>
      <c r="K764" s="45" t="n">
        <v>0.3</v>
      </c>
      <c r="L764" s="45" t="s">
        <v>259</v>
      </c>
      <c r="M764" s="45" t="s">
        <v>259</v>
      </c>
      <c r="N764" s="45" t="s">
        <v>167</v>
      </c>
      <c r="O764" s="47" t="n">
        <v>46188.5665972222</v>
      </c>
      <c r="P764" s="47" t="n">
        <v>46188.5668171296</v>
      </c>
    </row>
    <row r="765" customFormat="false" ht="15" hidden="false" customHeight="false" outlineLevel="0" collapsed="false">
      <c r="A765" s="45" t="n">
        <v>970</v>
      </c>
      <c r="B765" s="46" t="n">
        <v>46188</v>
      </c>
      <c r="C765" s="45" t="s">
        <v>137</v>
      </c>
      <c r="D765" s="45" t="s">
        <v>138</v>
      </c>
      <c r="E765" s="45" t="s">
        <v>1673</v>
      </c>
      <c r="F765" s="45" t="s">
        <v>1719</v>
      </c>
      <c r="G765" s="46" t="n">
        <v>46182</v>
      </c>
      <c r="H765" s="45" t="s">
        <v>167</v>
      </c>
      <c r="I765" s="45" t="s">
        <v>175</v>
      </c>
      <c r="J765" s="45" t="s">
        <v>1720</v>
      </c>
      <c r="K765" s="45" t="n">
        <v>0.6</v>
      </c>
      <c r="L765" s="45" t="s">
        <v>259</v>
      </c>
      <c r="M765" s="45" t="s">
        <v>259</v>
      </c>
      <c r="N765" s="45" t="s">
        <v>167</v>
      </c>
      <c r="O765" s="47" t="n">
        <v>46188.566875</v>
      </c>
      <c r="P765" s="47" t="n">
        <v>46188.5673148148</v>
      </c>
    </row>
    <row r="766" customFormat="false" ht="15" hidden="false" customHeight="false" outlineLevel="0" collapsed="false">
      <c r="A766" s="45" t="n">
        <v>971</v>
      </c>
      <c r="B766" s="46" t="n">
        <v>46188</v>
      </c>
      <c r="C766" s="45" t="s">
        <v>137</v>
      </c>
      <c r="D766" s="45" t="s">
        <v>138</v>
      </c>
      <c r="E766" s="45" t="s">
        <v>1673</v>
      </c>
      <c r="F766" s="45" t="s">
        <v>1721</v>
      </c>
      <c r="G766" s="46" t="n">
        <v>46182</v>
      </c>
      <c r="H766" s="45" t="s">
        <v>167</v>
      </c>
      <c r="I766" s="45" t="s">
        <v>182</v>
      </c>
      <c r="J766" s="45" t="s">
        <v>1722</v>
      </c>
      <c r="K766" s="45" t="n">
        <v>0.4</v>
      </c>
      <c r="L766" s="45" t="s">
        <v>263</v>
      </c>
      <c r="M766" s="45" t="s">
        <v>259</v>
      </c>
      <c r="N766" s="45" t="s">
        <v>167</v>
      </c>
      <c r="O766" s="47" t="n">
        <v>46188.567337963</v>
      </c>
      <c r="P766" s="47" t="n">
        <v>46188.5676273148</v>
      </c>
    </row>
    <row r="767" customFormat="false" ht="15" hidden="false" customHeight="false" outlineLevel="0" collapsed="false">
      <c r="A767" s="45" t="n">
        <v>972</v>
      </c>
      <c r="B767" s="46" t="n">
        <v>46188</v>
      </c>
      <c r="C767" s="45" t="s">
        <v>137</v>
      </c>
      <c r="D767" s="45" t="s">
        <v>138</v>
      </c>
      <c r="E767" s="45" t="s">
        <v>1673</v>
      </c>
      <c r="F767" s="45" t="s">
        <v>1723</v>
      </c>
      <c r="G767" s="46" t="n">
        <v>46182</v>
      </c>
      <c r="H767" s="45" t="s">
        <v>167</v>
      </c>
      <c r="I767" s="45" t="s">
        <v>176</v>
      </c>
      <c r="J767" s="45" t="s">
        <v>1724</v>
      </c>
      <c r="K767" s="45" t="n">
        <v>0.5</v>
      </c>
      <c r="L767" s="45" t="s">
        <v>263</v>
      </c>
      <c r="M767" s="45" t="s">
        <v>259</v>
      </c>
      <c r="N767" s="45" t="s">
        <v>167</v>
      </c>
      <c r="O767" s="47" t="n">
        <v>46188.5676851852</v>
      </c>
      <c r="P767" s="47" t="n">
        <v>46188.5680092593</v>
      </c>
    </row>
    <row r="768" customFormat="false" ht="15" hidden="false" customHeight="false" outlineLevel="0" collapsed="false">
      <c r="A768" s="45" t="n">
        <v>973</v>
      </c>
      <c r="B768" s="46" t="n">
        <v>46188</v>
      </c>
      <c r="C768" s="45" t="s">
        <v>137</v>
      </c>
      <c r="D768" s="45" t="s">
        <v>138</v>
      </c>
      <c r="E768" s="45" t="s">
        <v>1673</v>
      </c>
      <c r="F768" s="45" t="s">
        <v>1725</v>
      </c>
      <c r="G768" s="46" t="n">
        <v>46182</v>
      </c>
      <c r="H768" s="45" t="s">
        <v>167</v>
      </c>
      <c r="I768" s="45" t="s">
        <v>177</v>
      </c>
      <c r="J768" s="45" t="s">
        <v>1726</v>
      </c>
      <c r="K768" s="45" t="n">
        <v>0.3</v>
      </c>
      <c r="L768" s="45" t="s">
        <v>263</v>
      </c>
      <c r="M768" s="45" t="s">
        <v>259</v>
      </c>
      <c r="N768" s="45" t="s">
        <v>167</v>
      </c>
      <c r="O768" s="47" t="n">
        <v>46188.5680671296</v>
      </c>
      <c r="P768" s="47" t="n">
        <v>46188.568275463</v>
      </c>
    </row>
    <row r="769" customFormat="false" ht="15" hidden="false" customHeight="false" outlineLevel="0" collapsed="false">
      <c r="A769" s="45" t="n">
        <v>974</v>
      </c>
      <c r="B769" s="46" t="n">
        <v>46188</v>
      </c>
      <c r="C769" s="45" t="s">
        <v>137</v>
      </c>
      <c r="D769" s="45" t="s">
        <v>138</v>
      </c>
      <c r="E769" s="45" t="s">
        <v>1727</v>
      </c>
      <c r="F769" s="45" t="s">
        <v>1728</v>
      </c>
      <c r="G769" s="46" t="n">
        <v>46182</v>
      </c>
      <c r="H769" s="45" t="s">
        <v>167</v>
      </c>
      <c r="I769" s="45" t="s">
        <v>182</v>
      </c>
      <c r="J769" s="45" t="s">
        <v>1729</v>
      </c>
      <c r="K769" s="45" t="n">
        <v>0.9</v>
      </c>
      <c r="L769" s="45" t="s">
        <v>263</v>
      </c>
      <c r="M769" s="45" t="s">
        <v>259</v>
      </c>
      <c r="N769" s="45" t="s">
        <v>167</v>
      </c>
      <c r="O769" s="47" t="n">
        <v>46188.5683217593</v>
      </c>
      <c r="P769" s="47" t="n">
        <v>46188.5689351852</v>
      </c>
    </row>
    <row r="770" customFormat="false" ht="15" hidden="false" customHeight="false" outlineLevel="0" collapsed="false">
      <c r="A770" s="45" t="n">
        <v>975</v>
      </c>
      <c r="B770" s="46" t="n">
        <v>46188</v>
      </c>
      <c r="C770" s="45" t="s">
        <v>137</v>
      </c>
      <c r="D770" s="45" t="s">
        <v>138</v>
      </c>
      <c r="E770" s="45" t="s">
        <v>1673</v>
      </c>
      <c r="F770" s="45" t="s">
        <v>1730</v>
      </c>
      <c r="G770" s="46" t="n">
        <v>46182</v>
      </c>
      <c r="H770" s="45" t="s">
        <v>167</v>
      </c>
      <c r="I770" s="45" t="s">
        <v>175</v>
      </c>
      <c r="J770" s="45" t="s">
        <v>1731</v>
      </c>
      <c r="K770" s="45" t="n">
        <v>0.3</v>
      </c>
      <c r="L770" s="45" t="s">
        <v>263</v>
      </c>
      <c r="M770" s="45" t="s">
        <v>259</v>
      </c>
      <c r="N770" s="45" t="s">
        <v>167</v>
      </c>
      <c r="O770" s="47" t="n">
        <v>46188.5690277778</v>
      </c>
      <c r="P770" s="47" t="n">
        <v>46188.569224537</v>
      </c>
    </row>
    <row r="771" customFormat="false" ht="15" hidden="false" customHeight="false" outlineLevel="0" collapsed="false">
      <c r="A771" s="45" t="n">
        <v>976</v>
      </c>
      <c r="B771" s="46" t="n">
        <v>46188</v>
      </c>
      <c r="C771" s="45" t="s">
        <v>137</v>
      </c>
      <c r="D771" s="45" t="s">
        <v>138</v>
      </c>
      <c r="E771" s="45" t="s">
        <v>1732</v>
      </c>
      <c r="F771" s="45" t="s">
        <v>1733</v>
      </c>
      <c r="G771" s="46" t="n">
        <v>46183</v>
      </c>
      <c r="H771" s="45" t="s">
        <v>167</v>
      </c>
      <c r="I771" s="45" t="s">
        <v>175</v>
      </c>
      <c r="J771" s="45" t="s">
        <v>1734</v>
      </c>
      <c r="K771" s="45" t="n">
        <v>0.6</v>
      </c>
      <c r="L771" s="45" t="s">
        <v>263</v>
      </c>
      <c r="M771" s="45" t="s">
        <v>259</v>
      </c>
      <c r="N771" s="45" t="s">
        <v>167</v>
      </c>
      <c r="O771" s="47" t="n">
        <v>46188.5692361111</v>
      </c>
      <c r="P771" s="47" t="n">
        <v>46188.5696759259</v>
      </c>
    </row>
    <row r="772" customFormat="false" ht="15" hidden="false" customHeight="false" outlineLevel="0" collapsed="false">
      <c r="A772" s="45" t="n">
        <v>977</v>
      </c>
      <c r="B772" s="46" t="n">
        <v>46188</v>
      </c>
      <c r="C772" s="45" t="s">
        <v>137</v>
      </c>
      <c r="D772" s="45" t="s">
        <v>138</v>
      </c>
      <c r="E772" s="45" t="s">
        <v>235</v>
      </c>
      <c r="F772" s="45" t="s">
        <v>1735</v>
      </c>
      <c r="G772" s="46" t="n">
        <v>46182</v>
      </c>
      <c r="H772" s="45" t="s">
        <v>167</v>
      </c>
      <c r="I772" s="45" t="s">
        <v>175</v>
      </c>
      <c r="J772" s="45" t="s">
        <v>1736</v>
      </c>
      <c r="K772" s="45" t="n">
        <v>0.4</v>
      </c>
      <c r="L772" s="45" t="s">
        <v>263</v>
      </c>
      <c r="M772" s="45" t="s">
        <v>259</v>
      </c>
      <c r="N772" s="45" t="s">
        <v>167</v>
      </c>
      <c r="O772" s="47" t="n">
        <v>46188.5698032407</v>
      </c>
      <c r="P772" s="47" t="n">
        <v>46188.5700694445</v>
      </c>
    </row>
    <row r="773" customFormat="false" ht="15" hidden="false" customHeight="false" outlineLevel="0" collapsed="false">
      <c r="A773" s="45" t="n">
        <v>978</v>
      </c>
      <c r="B773" s="46" t="n">
        <v>46188</v>
      </c>
      <c r="C773" s="45" t="s">
        <v>137</v>
      </c>
      <c r="D773" s="45" t="s">
        <v>138</v>
      </c>
      <c r="E773" s="45" t="s">
        <v>1737</v>
      </c>
      <c r="F773" s="45" t="s">
        <v>496</v>
      </c>
      <c r="G773" s="46" t="n">
        <v>46183</v>
      </c>
      <c r="H773" s="45" t="s">
        <v>168</v>
      </c>
      <c r="I773" s="45" t="s">
        <v>192</v>
      </c>
      <c r="J773" s="45" t="s">
        <v>1738</v>
      </c>
      <c r="K773" s="45" t="n">
        <v>0.4</v>
      </c>
      <c r="L773" s="45" t="s">
        <v>263</v>
      </c>
      <c r="M773" s="45" t="s">
        <v>263</v>
      </c>
      <c r="N773" s="45" t="s">
        <v>264</v>
      </c>
      <c r="O773" s="47" t="n">
        <v>46188.570625</v>
      </c>
      <c r="P773" s="47" t="n">
        <v>46188.5709259259</v>
      </c>
    </row>
    <row r="774" customFormat="false" ht="15" hidden="false" customHeight="false" outlineLevel="0" collapsed="false">
      <c r="A774" s="45" t="n">
        <v>979</v>
      </c>
      <c r="B774" s="46" t="n">
        <v>46188</v>
      </c>
      <c r="C774" s="45" t="s">
        <v>137</v>
      </c>
      <c r="D774" s="45" t="s">
        <v>138</v>
      </c>
      <c r="E774" s="45" t="s">
        <v>235</v>
      </c>
      <c r="F774" s="45" t="s">
        <v>1739</v>
      </c>
      <c r="G774" s="46" t="n">
        <v>46181</v>
      </c>
      <c r="H774" s="45" t="s">
        <v>168</v>
      </c>
      <c r="I774" s="45" t="s">
        <v>191</v>
      </c>
      <c r="J774" s="45" t="s">
        <v>1740</v>
      </c>
      <c r="K774" s="45" t="n">
        <v>0.3</v>
      </c>
      <c r="L774" s="45" t="s">
        <v>263</v>
      </c>
      <c r="M774" s="45" t="s">
        <v>259</v>
      </c>
      <c r="N774" s="45" t="s">
        <v>264</v>
      </c>
      <c r="O774" s="47" t="n">
        <v>46188.5710300926</v>
      </c>
      <c r="P774" s="47" t="n">
        <v>46188.5712615741</v>
      </c>
    </row>
    <row r="775" customFormat="false" ht="15" hidden="false" customHeight="false" outlineLevel="0" collapsed="false">
      <c r="A775" s="45" t="n">
        <v>984</v>
      </c>
      <c r="B775" s="46" t="n">
        <v>46188</v>
      </c>
      <c r="C775" s="45" t="s">
        <v>141</v>
      </c>
      <c r="D775" s="45" t="s">
        <v>142</v>
      </c>
      <c r="E775" s="45" t="s">
        <v>1027</v>
      </c>
      <c r="F775" s="45" t="s">
        <v>1741</v>
      </c>
      <c r="G775" s="46" t="n">
        <v>46184</v>
      </c>
      <c r="H775" s="45" t="s">
        <v>168</v>
      </c>
      <c r="I775" s="45" t="s">
        <v>191</v>
      </c>
      <c r="J775" s="45" t="s">
        <v>1742</v>
      </c>
      <c r="K775" s="45" t="n">
        <v>173.2</v>
      </c>
      <c r="L775" s="45" t="s">
        <v>263</v>
      </c>
      <c r="M775" s="45" t="s">
        <v>259</v>
      </c>
      <c r="N775" s="45" t="s">
        <v>264</v>
      </c>
      <c r="O775" s="47" t="n">
        <v>46188.6401851852</v>
      </c>
      <c r="P775" s="47" t="n">
        <v>46188.760462963</v>
      </c>
    </row>
    <row r="776" customFormat="false" ht="15" hidden="false" customHeight="false" outlineLevel="0" collapsed="false">
      <c r="A776" s="45" t="n">
        <v>980</v>
      </c>
      <c r="B776" s="46" t="n">
        <v>46188</v>
      </c>
      <c r="C776" s="45" t="s">
        <v>133</v>
      </c>
      <c r="D776" s="45" t="s">
        <v>134</v>
      </c>
      <c r="E776" s="45" t="s">
        <v>231</v>
      </c>
      <c r="F776" s="45" t="s">
        <v>1743</v>
      </c>
      <c r="G776" s="46" t="n">
        <v>46185</v>
      </c>
      <c r="H776" s="45" t="s">
        <v>168</v>
      </c>
      <c r="I776" s="45" t="s">
        <v>191</v>
      </c>
      <c r="J776" s="45" t="s">
        <v>1744</v>
      </c>
      <c r="K776" s="45" t="n">
        <v>8.5</v>
      </c>
      <c r="L776" s="45" t="s">
        <v>263</v>
      </c>
      <c r="M776" s="45" t="s">
        <v>259</v>
      </c>
      <c r="N776" s="45" t="s">
        <v>264</v>
      </c>
      <c r="O776" s="47" t="n">
        <v>46188.6856481481</v>
      </c>
      <c r="P776" s="47" t="n">
        <v>46188.6915277778</v>
      </c>
    </row>
    <row r="777" customFormat="false" ht="15" hidden="false" customHeight="false" outlineLevel="0" collapsed="false">
      <c r="A777" s="45" t="n">
        <v>981</v>
      </c>
      <c r="B777" s="46" t="n">
        <v>46188</v>
      </c>
      <c r="C777" s="45" t="s">
        <v>131</v>
      </c>
      <c r="D777" s="45" t="s">
        <v>132</v>
      </c>
      <c r="E777" s="45" t="s">
        <v>577</v>
      </c>
      <c r="F777" s="45" t="s">
        <v>1745</v>
      </c>
      <c r="G777" s="46" t="n">
        <v>46185</v>
      </c>
      <c r="H777" s="45" t="s">
        <v>167</v>
      </c>
      <c r="I777" s="45" t="s">
        <v>175</v>
      </c>
      <c r="J777" s="45" t="s">
        <v>1746</v>
      </c>
      <c r="K777" s="45" t="n">
        <v>11.5</v>
      </c>
      <c r="L777" s="45" t="s">
        <v>263</v>
      </c>
      <c r="M777" s="45" t="s">
        <v>259</v>
      </c>
      <c r="N777" s="45" t="s">
        <v>167</v>
      </c>
      <c r="O777" s="47" t="n">
        <v>46188.6966435185</v>
      </c>
      <c r="P777" s="47" t="n">
        <v>46188.7046064815</v>
      </c>
    </row>
    <row r="778" customFormat="false" ht="15" hidden="false" customHeight="false" outlineLevel="0" collapsed="false">
      <c r="A778" s="45" t="n">
        <v>982</v>
      </c>
      <c r="B778" s="46" t="n">
        <v>46188</v>
      </c>
      <c r="C778" s="45" t="s">
        <v>131</v>
      </c>
      <c r="D778" s="45" t="s">
        <v>132</v>
      </c>
      <c r="E778" s="45" t="s">
        <v>487</v>
      </c>
      <c r="F778" s="45" t="s">
        <v>1747</v>
      </c>
      <c r="G778" s="46" t="n">
        <v>46185</v>
      </c>
      <c r="H778" s="45" t="s">
        <v>167</v>
      </c>
      <c r="I778" s="45" t="s">
        <v>176</v>
      </c>
      <c r="J778" s="45" t="s">
        <v>1748</v>
      </c>
      <c r="K778" s="45" t="n">
        <v>5.8</v>
      </c>
      <c r="L778" s="45" t="s">
        <v>263</v>
      </c>
      <c r="M778" s="45" t="s">
        <v>259</v>
      </c>
      <c r="N778" s="45" t="s">
        <v>167</v>
      </c>
      <c r="O778" s="47" t="n">
        <v>46188.7215277778</v>
      </c>
      <c r="P778" s="47" t="n">
        <v>46188.7255787037</v>
      </c>
    </row>
    <row r="779" customFormat="false" ht="15" hidden="false" customHeight="false" outlineLevel="0" collapsed="false">
      <c r="A779" s="45" t="n">
        <v>983</v>
      </c>
      <c r="B779" s="46" t="n">
        <v>46188</v>
      </c>
      <c r="C779" s="45" t="s">
        <v>131</v>
      </c>
      <c r="D779" s="45" t="s">
        <v>132</v>
      </c>
      <c r="E779" s="45" t="s">
        <v>1688</v>
      </c>
      <c r="F779" s="45" t="s">
        <v>1749</v>
      </c>
      <c r="G779" s="46" t="n">
        <v>46185</v>
      </c>
      <c r="H779" s="45" t="s">
        <v>167</v>
      </c>
      <c r="I779" s="45" t="s">
        <v>175</v>
      </c>
      <c r="J779" s="45" t="s">
        <v>1750</v>
      </c>
      <c r="K779" s="45" t="n">
        <v>4.3</v>
      </c>
      <c r="L779" s="45" t="s">
        <v>263</v>
      </c>
      <c r="M779" s="45" t="s">
        <v>259</v>
      </c>
      <c r="N779" s="45" t="s">
        <v>167</v>
      </c>
      <c r="O779" s="47" t="n">
        <v>46188.7273611111</v>
      </c>
      <c r="P779" s="47" t="n">
        <v>46188.7303703704</v>
      </c>
    </row>
    <row r="780" customFormat="false" ht="15" hidden="false" customHeight="false" outlineLevel="0" collapsed="false">
      <c r="A780" s="45" t="n">
        <v>985</v>
      </c>
      <c r="B780" s="46" t="n">
        <v>46188</v>
      </c>
      <c r="C780" s="45" t="s">
        <v>141</v>
      </c>
      <c r="D780" s="45" t="s">
        <v>142</v>
      </c>
      <c r="E780" s="45" t="s">
        <v>1704</v>
      </c>
      <c r="F780" s="45" t="s">
        <v>1751</v>
      </c>
      <c r="G780" s="46" t="n">
        <v>46184</v>
      </c>
      <c r="H780" s="45" t="s">
        <v>57</v>
      </c>
      <c r="I780" s="45" t="s">
        <v>202</v>
      </c>
      <c r="J780" s="45" t="s">
        <v>1752</v>
      </c>
      <c r="K780" s="45" t="n">
        <v>1.6</v>
      </c>
      <c r="L780" s="45" t="s">
        <v>259</v>
      </c>
      <c r="M780" s="45" t="s">
        <v>259</v>
      </c>
      <c r="N780" s="45" t="s">
        <v>57</v>
      </c>
      <c r="O780" s="47" t="n">
        <v>46188.7604976852</v>
      </c>
      <c r="P780" s="47" t="n">
        <v>46188.7616435185</v>
      </c>
    </row>
    <row r="781" customFormat="false" ht="15" hidden="false" customHeight="false" outlineLevel="0" collapsed="false">
      <c r="A781" s="45" t="n">
        <v>986</v>
      </c>
      <c r="B781" s="46" t="n">
        <v>46188</v>
      </c>
      <c r="C781" s="45" t="s">
        <v>141</v>
      </c>
      <c r="D781" s="45" t="s">
        <v>142</v>
      </c>
      <c r="E781" s="45" t="s">
        <v>421</v>
      </c>
      <c r="F781" s="45" t="s">
        <v>1707</v>
      </c>
      <c r="G781" s="46" t="n">
        <v>46184</v>
      </c>
      <c r="H781" s="45" t="s">
        <v>168</v>
      </c>
      <c r="I781" s="45" t="s">
        <v>192</v>
      </c>
      <c r="J781" s="45" t="s">
        <v>1753</v>
      </c>
      <c r="K781" s="45" t="n">
        <v>21.8</v>
      </c>
      <c r="L781" s="45" t="s">
        <v>259</v>
      </c>
      <c r="M781" s="45" t="s">
        <v>259</v>
      </c>
      <c r="N781" s="45" t="s">
        <v>264</v>
      </c>
      <c r="O781" s="47" t="n">
        <v>46188.7616898148</v>
      </c>
      <c r="P781" s="47" t="n">
        <v>46188.7768518519</v>
      </c>
    </row>
    <row r="782" customFormat="false" ht="15" hidden="false" customHeight="false" outlineLevel="0" collapsed="false">
      <c r="A782" s="45" t="n">
        <v>989</v>
      </c>
      <c r="B782" s="46" t="n">
        <v>46188</v>
      </c>
      <c r="C782" s="45" t="s">
        <v>141</v>
      </c>
      <c r="D782" s="45" t="s">
        <v>142</v>
      </c>
      <c r="E782" s="45" t="s">
        <v>421</v>
      </c>
      <c r="F782" s="45" t="s">
        <v>1754</v>
      </c>
      <c r="G782" s="46" t="n">
        <v>46184</v>
      </c>
      <c r="H782" s="45" t="s">
        <v>167</v>
      </c>
      <c r="I782" s="45" t="s">
        <v>175</v>
      </c>
      <c r="J782" s="45" t="s">
        <v>1755</v>
      </c>
      <c r="K782" s="45" t="n">
        <v>139.9</v>
      </c>
      <c r="L782" s="45" t="s">
        <v>263</v>
      </c>
      <c r="M782" s="45" t="s">
        <v>259</v>
      </c>
      <c r="N782" s="45" t="s">
        <v>167</v>
      </c>
      <c r="O782" s="47" t="n">
        <v>46188.7864699074</v>
      </c>
      <c r="P782" s="47" t="n">
        <v>46188.8836458333</v>
      </c>
    </row>
    <row r="783" customFormat="false" ht="15" hidden="false" customHeight="false" outlineLevel="0" collapsed="false">
      <c r="A783" s="45" t="n">
        <v>987</v>
      </c>
      <c r="B783" s="46" t="n">
        <v>46188</v>
      </c>
      <c r="C783" s="45" t="s">
        <v>135</v>
      </c>
      <c r="D783" s="45" t="s">
        <v>136</v>
      </c>
      <c r="E783" s="45" t="s">
        <v>1756</v>
      </c>
      <c r="F783" s="45" t="s">
        <v>1757</v>
      </c>
      <c r="G783" s="46" t="n">
        <v>46188</v>
      </c>
      <c r="H783" s="45" t="s">
        <v>167</v>
      </c>
      <c r="I783" s="45" t="s">
        <v>175</v>
      </c>
      <c r="J783" s="45" t="s">
        <v>1758</v>
      </c>
      <c r="K783" s="45" t="n">
        <v>0.8</v>
      </c>
      <c r="L783" s="45" t="s">
        <v>263</v>
      </c>
      <c r="M783" s="45" t="s">
        <v>259</v>
      </c>
      <c r="N783" s="45" t="s">
        <v>167</v>
      </c>
      <c r="O783" s="47" t="n">
        <v>46188.793912037</v>
      </c>
      <c r="P783" s="47" t="n">
        <v>46188.7944560185</v>
      </c>
    </row>
    <row r="784" customFormat="false" ht="15" hidden="false" customHeight="false" outlineLevel="0" collapsed="false">
      <c r="A784" s="45" t="n">
        <v>988</v>
      </c>
      <c r="B784" s="46" t="n">
        <v>46188</v>
      </c>
      <c r="C784" s="45" t="s">
        <v>135</v>
      </c>
      <c r="D784" s="45" t="s">
        <v>136</v>
      </c>
      <c r="E784" s="45" t="s">
        <v>408</v>
      </c>
      <c r="F784" s="45" t="s">
        <v>1759</v>
      </c>
      <c r="G784" s="46" t="n">
        <v>46183</v>
      </c>
      <c r="H784" s="45" t="s">
        <v>167</v>
      </c>
      <c r="I784" s="45" t="s">
        <v>175</v>
      </c>
      <c r="J784" s="45" t="s">
        <v>1760</v>
      </c>
      <c r="K784" s="45" t="n">
        <v>23.6</v>
      </c>
      <c r="L784" s="45" t="s">
        <v>263</v>
      </c>
      <c r="M784" s="45" t="s">
        <v>259</v>
      </c>
      <c r="N784" s="45" t="s">
        <v>167</v>
      </c>
      <c r="O784" s="47" t="n">
        <v>46188.7945023148</v>
      </c>
      <c r="P784" s="47" t="n">
        <v>46188.8109027778</v>
      </c>
    </row>
    <row r="785" customFormat="false" ht="15" hidden="false" customHeight="false" outlineLevel="0" collapsed="false">
      <c r="A785" s="45" t="n">
        <v>990</v>
      </c>
      <c r="B785" s="46" t="n">
        <v>46188</v>
      </c>
      <c r="C785" s="45" t="s">
        <v>141</v>
      </c>
      <c r="D785" s="45" t="s">
        <v>142</v>
      </c>
      <c r="E785" s="45" t="s">
        <v>1704</v>
      </c>
      <c r="F785" s="45" t="s">
        <v>1751</v>
      </c>
      <c r="G785" s="46" t="n">
        <v>46184</v>
      </c>
      <c r="H785" s="45" t="s">
        <v>57</v>
      </c>
      <c r="I785" s="45" t="s">
        <v>202</v>
      </c>
      <c r="J785" s="45" t="s">
        <v>1752</v>
      </c>
      <c r="K785" s="45" t="n">
        <v>0.6</v>
      </c>
      <c r="L785" s="45" t="s">
        <v>259</v>
      </c>
      <c r="M785" s="45" t="s">
        <v>259</v>
      </c>
      <c r="N785" s="45" t="s">
        <v>57</v>
      </c>
      <c r="O785" s="47" t="n">
        <v>46188.8836921296</v>
      </c>
      <c r="P785" s="47" t="n">
        <v>46188.8841087963</v>
      </c>
    </row>
    <row r="786" customFormat="false" ht="15" hidden="false" customHeight="false" outlineLevel="0" collapsed="false">
      <c r="A786" s="45" t="n">
        <v>991</v>
      </c>
      <c r="B786" s="46" t="n">
        <v>46188</v>
      </c>
      <c r="C786" s="45" t="s">
        <v>141</v>
      </c>
      <c r="D786" s="45" t="s">
        <v>142</v>
      </c>
      <c r="E786" s="45" t="s">
        <v>227</v>
      </c>
      <c r="F786" s="45" t="s">
        <v>1684</v>
      </c>
      <c r="G786" s="46" t="n">
        <v>46184</v>
      </c>
      <c r="H786" s="45" t="s">
        <v>168</v>
      </c>
      <c r="I786" s="45" t="s">
        <v>191</v>
      </c>
      <c r="J786" s="45" t="s">
        <v>1761</v>
      </c>
      <c r="K786" s="45" t="n">
        <v>0.9</v>
      </c>
      <c r="L786" s="45" t="s">
        <v>259</v>
      </c>
      <c r="M786" s="45" t="s">
        <v>259</v>
      </c>
      <c r="N786" s="45" t="s">
        <v>264</v>
      </c>
      <c r="O786" s="47" t="n">
        <v>46188.8841435185</v>
      </c>
      <c r="P786" s="47" t="n">
        <v>46188.8847685185</v>
      </c>
    </row>
    <row r="787" customFormat="false" ht="15" hidden="false" customHeight="false" outlineLevel="0" collapsed="false">
      <c r="A787" s="45" t="n">
        <v>992</v>
      </c>
      <c r="B787" s="46" t="n">
        <v>46188</v>
      </c>
      <c r="C787" s="45" t="s">
        <v>143</v>
      </c>
      <c r="D787" s="45" t="s">
        <v>144</v>
      </c>
      <c r="E787" s="45" t="s">
        <v>228</v>
      </c>
      <c r="F787" s="45" t="s">
        <v>1762</v>
      </c>
      <c r="G787" s="46" t="n">
        <v>46185</v>
      </c>
      <c r="H787" s="45" t="s">
        <v>167</v>
      </c>
      <c r="I787" s="45" t="s">
        <v>175</v>
      </c>
      <c r="J787" s="45" t="s">
        <v>1763</v>
      </c>
      <c r="K787" s="45" t="n">
        <v>20.3</v>
      </c>
      <c r="L787" s="45" t="s">
        <v>263</v>
      </c>
      <c r="M787" s="45" t="s">
        <v>259</v>
      </c>
      <c r="N787" s="45" t="s">
        <v>167</v>
      </c>
      <c r="O787" s="47" t="n">
        <v>46188.9724537037</v>
      </c>
      <c r="P787" s="47" t="n">
        <v>46188.9865740741</v>
      </c>
    </row>
    <row r="788" customFormat="false" ht="15" hidden="false" customHeight="false" outlineLevel="0" collapsed="false">
      <c r="A788" s="45" t="n">
        <v>993</v>
      </c>
      <c r="B788" s="46" t="n">
        <v>46188</v>
      </c>
      <c r="C788" s="45" t="s">
        <v>143</v>
      </c>
      <c r="D788" s="45" t="s">
        <v>144</v>
      </c>
      <c r="E788" s="45" t="s">
        <v>223</v>
      </c>
      <c r="F788" s="45" t="s">
        <v>1764</v>
      </c>
      <c r="G788" s="46" t="n">
        <v>46185</v>
      </c>
      <c r="H788" s="45" t="s">
        <v>167</v>
      </c>
      <c r="I788" s="45" t="s">
        <v>175</v>
      </c>
      <c r="J788" s="45" t="s">
        <v>1765</v>
      </c>
      <c r="K788" s="45" t="n">
        <v>15.2</v>
      </c>
      <c r="L788" s="45" t="s">
        <v>263</v>
      </c>
      <c r="M788" s="45" t="s">
        <v>259</v>
      </c>
      <c r="N788" s="45" t="s">
        <v>167</v>
      </c>
      <c r="O788" s="47" t="n">
        <v>46188.9866435185</v>
      </c>
      <c r="P788" s="47" t="n">
        <v>46188.9972222222</v>
      </c>
    </row>
    <row r="789" customFormat="false" ht="15" hidden="false" customHeight="false" outlineLevel="0" collapsed="false">
      <c r="A789" s="45" t="n">
        <v>994</v>
      </c>
      <c r="B789" s="46" t="n">
        <v>46189</v>
      </c>
      <c r="C789" s="45" t="s">
        <v>133</v>
      </c>
      <c r="D789" s="45" t="s">
        <v>134</v>
      </c>
      <c r="E789" s="45" t="s">
        <v>234</v>
      </c>
      <c r="F789" s="45" t="s">
        <v>1766</v>
      </c>
      <c r="G789" s="46" t="n">
        <v>46188</v>
      </c>
      <c r="H789" s="45" t="s">
        <v>167</v>
      </c>
      <c r="I789" s="45" t="s">
        <v>175</v>
      </c>
      <c r="J789" s="45" t="s">
        <v>1767</v>
      </c>
      <c r="K789" s="45" t="n">
        <v>13.9</v>
      </c>
      <c r="L789" s="45" t="s">
        <v>263</v>
      </c>
      <c r="M789" s="45" t="s">
        <v>259</v>
      </c>
      <c r="N789" s="45" t="s">
        <v>167</v>
      </c>
      <c r="O789" s="47" t="n">
        <v>46189.0410648148</v>
      </c>
      <c r="P789" s="47" t="n">
        <v>46189.0507523148</v>
      </c>
    </row>
    <row r="790" customFormat="false" ht="15" hidden="false" customHeight="false" outlineLevel="0" collapsed="false">
      <c r="A790" s="45" t="n">
        <v>995</v>
      </c>
      <c r="B790" s="46" t="n">
        <v>46189</v>
      </c>
      <c r="C790" s="45" t="s">
        <v>133</v>
      </c>
      <c r="D790" s="45" t="s">
        <v>134</v>
      </c>
      <c r="E790" s="45" t="s">
        <v>234</v>
      </c>
      <c r="F790" s="45" t="s">
        <v>1768</v>
      </c>
      <c r="G790" s="46" t="n">
        <v>46188</v>
      </c>
      <c r="H790" s="45" t="s">
        <v>167</v>
      </c>
      <c r="I790" s="45" t="s">
        <v>175</v>
      </c>
      <c r="J790" s="45" t="s">
        <v>1769</v>
      </c>
      <c r="K790" s="45" t="n">
        <v>5</v>
      </c>
      <c r="L790" s="45" t="s">
        <v>263</v>
      </c>
      <c r="M790" s="45" t="s">
        <v>259</v>
      </c>
      <c r="N790" s="45" t="s">
        <v>167</v>
      </c>
      <c r="O790" s="47" t="n">
        <v>46189.0508564815</v>
      </c>
      <c r="P790" s="47" t="n">
        <v>46189.0543402778</v>
      </c>
    </row>
    <row r="791" customFormat="false" ht="15" hidden="false" customHeight="false" outlineLevel="0" collapsed="false">
      <c r="A791" s="45" t="n">
        <v>996</v>
      </c>
      <c r="B791" s="46" t="n">
        <v>46189</v>
      </c>
      <c r="C791" s="45" t="s">
        <v>133</v>
      </c>
      <c r="D791" s="45" t="s">
        <v>134</v>
      </c>
      <c r="E791" s="45" t="s">
        <v>1606</v>
      </c>
      <c r="F791" s="45" t="s">
        <v>1770</v>
      </c>
      <c r="G791" s="46" t="n">
        <v>46188</v>
      </c>
      <c r="H791" s="45" t="s">
        <v>168</v>
      </c>
      <c r="I791" s="45" t="s">
        <v>193</v>
      </c>
      <c r="J791" s="45" t="s">
        <v>1771</v>
      </c>
      <c r="K791" s="45" t="n">
        <v>5.8</v>
      </c>
      <c r="L791" s="45" t="s">
        <v>263</v>
      </c>
      <c r="M791" s="45" t="s">
        <v>259</v>
      </c>
      <c r="N791" s="45" t="s">
        <v>264</v>
      </c>
      <c r="O791" s="47" t="n">
        <v>46189.0543634259</v>
      </c>
      <c r="P791" s="47" t="n">
        <v>46189.0583564815</v>
      </c>
    </row>
    <row r="792" customFormat="false" ht="15" hidden="false" customHeight="false" outlineLevel="0" collapsed="false">
      <c r="A792" s="45" t="n">
        <v>999</v>
      </c>
      <c r="B792" s="46" t="n">
        <v>46189</v>
      </c>
      <c r="C792" s="45" t="s">
        <v>141</v>
      </c>
      <c r="D792" s="45" t="s">
        <v>142</v>
      </c>
      <c r="E792" s="45" t="s">
        <v>227</v>
      </c>
      <c r="F792" s="45" t="s">
        <v>1772</v>
      </c>
      <c r="G792" s="46" t="n">
        <v>46185</v>
      </c>
      <c r="H792" s="45" t="s">
        <v>170</v>
      </c>
      <c r="I792" s="45" t="s">
        <v>209</v>
      </c>
      <c r="J792" s="45" t="s">
        <v>1773</v>
      </c>
      <c r="K792" s="45" t="n">
        <v>138.4</v>
      </c>
      <c r="L792" s="45" t="s">
        <v>263</v>
      </c>
      <c r="M792" s="45" t="s">
        <v>259</v>
      </c>
      <c r="N792" s="45" t="s">
        <v>478</v>
      </c>
      <c r="O792" s="47" t="n">
        <v>46189.6549652778</v>
      </c>
      <c r="P792" s="47" t="n">
        <v>46189.751087963</v>
      </c>
    </row>
    <row r="793" customFormat="false" ht="15" hidden="false" customHeight="false" outlineLevel="0" collapsed="false">
      <c r="A793" s="45" t="n">
        <v>997</v>
      </c>
      <c r="B793" s="46" t="n">
        <v>46189</v>
      </c>
      <c r="C793" s="45" t="s">
        <v>131</v>
      </c>
      <c r="D793" s="45" t="s">
        <v>132</v>
      </c>
      <c r="E793" s="45" t="s">
        <v>326</v>
      </c>
      <c r="F793" s="45" t="s">
        <v>1774</v>
      </c>
      <c r="G793" s="46" t="n">
        <v>46188</v>
      </c>
      <c r="H793" s="45" t="s">
        <v>167</v>
      </c>
      <c r="I793" s="45" t="s">
        <v>175</v>
      </c>
      <c r="J793" s="45" t="s">
        <v>1775</v>
      </c>
      <c r="K793" s="45" t="n">
        <v>4.1</v>
      </c>
      <c r="L793" s="45" t="s">
        <v>263</v>
      </c>
      <c r="M793" s="45" t="s">
        <v>259</v>
      </c>
      <c r="N793" s="45" t="s">
        <v>167</v>
      </c>
      <c r="O793" s="47" t="n">
        <v>46189.6938888889</v>
      </c>
      <c r="P793" s="47" t="n">
        <v>46189.6967592593</v>
      </c>
    </row>
    <row r="794" customFormat="false" ht="15" hidden="false" customHeight="false" outlineLevel="0" collapsed="false">
      <c r="A794" s="45" t="n">
        <v>998</v>
      </c>
      <c r="B794" s="46" t="n">
        <v>46189</v>
      </c>
      <c r="C794" s="45" t="s">
        <v>131</v>
      </c>
      <c r="D794" s="45" t="s">
        <v>132</v>
      </c>
      <c r="E794" s="45" t="s">
        <v>222</v>
      </c>
      <c r="F794" s="45" t="s">
        <v>1776</v>
      </c>
      <c r="G794" s="46" t="n">
        <v>46188</v>
      </c>
      <c r="H794" s="45" t="s">
        <v>167</v>
      </c>
      <c r="I794" s="45" t="s">
        <v>175</v>
      </c>
      <c r="J794" s="45" t="s">
        <v>1777</v>
      </c>
      <c r="K794" s="45" t="n">
        <v>2.5</v>
      </c>
      <c r="L794" s="45" t="s">
        <v>263</v>
      </c>
      <c r="M794" s="45" t="s">
        <v>259</v>
      </c>
      <c r="N794" s="45" t="s">
        <v>167</v>
      </c>
      <c r="O794" s="47" t="n">
        <v>46189.7005787037</v>
      </c>
      <c r="P794" s="47" t="n">
        <v>46189.702349537</v>
      </c>
    </row>
    <row r="795" customFormat="false" ht="15" hidden="false" customHeight="false" outlineLevel="0" collapsed="false">
      <c r="A795" s="45" t="n">
        <v>1009</v>
      </c>
      <c r="B795" s="46" t="n">
        <v>46189</v>
      </c>
      <c r="C795" s="45" t="s">
        <v>131</v>
      </c>
      <c r="D795" s="45" t="s">
        <v>132</v>
      </c>
      <c r="E795" s="45" t="s">
        <v>222</v>
      </c>
      <c r="F795" s="45" t="s">
        <v>1778</v>
      </c>
      <c r="G795" s="46" t="n">
        <v>46188</v>
      </c>
      <c r="H795" s="45" t="s">
        <v>168</v>
      </c>
      <c r="I795" s="45" t="s">
        <v>192</v>
      </c>
      <c r="J795" s="45" t="s">
        <v>1779</v>
      </c>
      <c r="K795" s="45" t="n">
        <v>1383.2</v>
      </c>
      <c r="L795" s="45" t="s">
        <v>263</v>
      </c>
      <c r="M795" s="45" t="s">
        <v>259</v>
      </c>
      <c r="N795" s="45" t="s">
        <v>264</v>
      </c>
      <c r="O795" s="47" t="n">
        <v>46189.725</v>
      </c>
      <c r="P795" s="47" t="n">
        <v>46190.6855902778</v>
      </c>
    </row>
    <row r="796" customFormat="false" ht="15" hidden="false" customHeight="false" outlineLevel="0" collapsed="false">
      <c r="A796" s="45" t="n">
        <v>1000</v>
      </c>
      <c r="B796" s="46" t="n">
        <v>46189</v>
      </c>
      <c r="C796" s="45" t="s">
        <v>135</v>
      </c>
      <c r="D796" s="45" t="s">
        <v>136</v>
      </c>
      <c r="E796" s="45" t="s">
        <v>226</v>
      </c>
      <c r="F796" s="45" t="s">
        <v>1780</v>
      </c>
      <c r="G796" s="46" t="n">
        <v>46188</v>
      </c>
      <c r="H796" s="45" t="s">
        <v>167</v>
      </c>
      <c r="I796" s="45" t="s">
        <v>176</v>
      </c>
      <c r="J796" s="45" t="s">
        <v>1781</v>
      </c>
      <c r="K796" s="45" t="n">
        <v>7.6</v>
      </c>
      <c r="L796" s="45" t="s">
        <v>263</v>
      </c>
      <c r="M796" s="45" t="s">
        <v>259</v>
      </c>
      <c r="N796" s="45" t="s">
        <v>167</v>
      </c>
      <c r="O796" s="47" t="n">
        <v>46189.8330324074</v>
      </c>
      <c r="P796" s="47" t="n">
        <v>46189.8382986111</v>
      </c>
    </row>
    <row r="797" customFormat="false" ht="15" hidden="false" customHeight="false" outlineLevel="0" collapsed="false">
      <c r="A797" s="45" t="n">
        <v>1001</v>
      </c>
      <c r="B797" s="46" t="n">
        <v>46189</v>
      </c>
      <c r="C797" s="45" t="s">
        <v>135</v>
      </c>
      <c r="D797" s="45" t="s">
        <v>136</v>
      </c>
      <c r="E797" s="45" t="s">
        <v>408</v>
      </c>
      <c r="F797" s="45" t="s">
        <v>1782</v>
      </c>
      <c r="G797" s="46" t="n">
        <v>46188</v>
      </c>
      <c r="H797" s="45" t="s">
        <v>168</v>
      </c>
      <c r="I797" s="45" t="s">
        <v>194</v>
      </c>
      <c r="J797" s="45" t="s">
        <v>1783</v>
      </c>
      <c r="K797" s="45" t="n">
        <v>10.8</v>
      </c>
      <c r="L797" s="45" t="s">
        <v>263</v>
      </c>
      <c r="M797" s="45" t="s">
        <v>259</v>
      </c>
      <c r="N797" s="45" t="s">
        <v>264</v>
      </c>
      <c r="O797" s="47" t="n">
        <v>46189.8383564815</v>
      </c>
      <c r="P797" s="47" t="n">
        <v>46189.8458217593</v>
      </c>
    </row>
    <row r="798" customFormat="false" ht="15" hidden="false" customHeight="false" outlineLevel="0" collapsed="false">
      <c r="A798" s="45" t="n">
        <v>1002</v>
      </c>
      <c r="B798" s="46" t="n">
        <v>46189</v>
      </c>
      <c r="C798" s="45" t="s">
        <v>135</v>
      </c>
      <c r="D798" s="45" t="s">
        <v>136</v>
      </c>
      <c r="E798" s="45" t="s">
        <v>238</v>
      </c>
      <c r="F798" s="45" t="s">
        <v>1784</v>
      </c>
      <c r="G798" s="46" t="n">
        <v>46188</v>
      </c>
      <c r="H798" s="45" t="s">
        <v>168</v>
      </c>
      <c r="I798" s="45" t="s">
        <v>194</v>
      </c>
      <c r="J798" s="45" t="s">
        <v>1785</v>
      </c>
      <c r="K798" s="45" t="n">
        <v>1.4</v>
      </c>
      <c r="L798" s="45" t="s">
        <v>263</v>
      </c>
      <c r="M798" s="45" t="s">
        <v>259</v>
      </c>
      <c r="N798" s="45" t="s">
        <v>264</v>
      </c>
      <c r="O798" s="47" t="n">
        <v>46189.8459375</v>
      </c>
      <c r="P798" s="47" t="n">
        <v>46189.8468981482</v>
      </c>
    </row>
    <row r="799" customFormat="false" ht="15" hidden="false" customHeight="false" outlineLevel="0" collapsed="false">
      <c r="A799" s="45" t="n">
        <v>1003</v>
      </c>
      <c r="B799" s="46" t="n">
        <v>46189</v>
      </c>
      <c r="C799" s="45" t="s">
        <v>135</v>
      </c>
      <c r="D799" s="45" t="s">
        <v>136</v>
      </c>
      <c r="E799" s="45" t="s">
        <v>226</v>
      </c>
      <c r="F799" s="45" t="s">
        <v>1786</v>
      </c>
      <c r="G799" s="46" t="n">
        <v>46188</v>
      </c>
      <c r="H799" s="45" t="s">
        <v>167</v>
      </c>
      <c r="I799" s="45" t="s">
        <v>175</v>
      </c>
      <c r="J799" s="45" t="s">
        <v>1787</v>
      </c>
      <c r="K799" s="45" t="n">
        <v>6.5</v>
      </c>
      <c r="L799" s="45" t="s">
        <v>263</v>
      </c>
      <c r="M799" s="45" t="s">
        <v>259</v>
      </c>
      <c r="N799" s="45" t="s">
        <v>167</v>
      </c>
      <c r="O799" s="47" t="n">
        <v>46189.8469907407</v>
      </c>
      <c r="P799" s="47" t="n">
        <v>46189.8515277778</v>
      </c>
    </row>
    <row r="800" customFormat="false" ht="15" hidden="false" customHeight="false" outlineLevel="0" collapsed="false">
      <c r="A800" s="45" t="n">
        <v>1004</v>
      </c>
      <c r="B800" s="46" t="n">
        <v>46189</v>
      </c>
      <c r="C800" s="45" t="s">
        <v>143</v>
      </c>
      <c r="D800" s="45" t="s">
        <v>144</v>
      </c>
      <c r="E800" s="45" t="s">
        <v>224</v>
      </c>
      <c r="F800" s="45" t="s">
        <v>1788</v>
      </c>
      <c r="G800" s="46" t="n">
        <v>46188</v>
      </c>
      <c r="H800" s="45" t="s">
        <v>57</v>
      </c>
      <c r="I800" s="45" t="s">
        <v>201</v>
      </c>
      <c r="J800" s="45" t="s">
        <v>1789</v>
      </c>
      <c r="K800" s="45" t="n">
        <v>2.8</v>
      </c>
      <c r="L800" s="45" t="s">
        <v>263</v>
      </c>
      <c r="M800" s="45" t="s">
        <v>259</v>
      </c>
      <c r="N800" s="45" t="s">
        <v>57</v>
      </c>
      <c r="O800" s="47" t="n">
        <v>46189.9376041667</v>
      </c>
      <c r="P800" s="47" t="n">
        <v>46189.9395717593</v>
      </c>
    </row>
    <row r="801" customFormat="false" ht="15" hidden="false" customHeight="false" outlineLevel="0" collapsed="false">
      <c r="A801" s="45" t="n">
        <v>1005</v>
      </c>
      <c r="B801" s="46" t="n">
        <v>46189</v>
      </c>
      <c r="C801" s="45" t="s">
        <v>143</v>
      </c>
      <c r="D801" s="45" t="s">
        <v>144</v>
      </c>
      <c r="E801" s="45" t="s">
        <v>1613</v>
      </c>
      <c r="F801" s="45" t="s">
        <v>1790</v>
      </c>
      <c r="G801" s="46" t="n">
        <v>46188</v>
      </c>
      <c r="H801" s="45" t="s">
        <v>169</v>
      </c>
      <c r="I801" s="45"/>
      <c r="J801" s="45"/>
      <c r="K801" s="45" t="n">
        <v>8.4</v>
      </c>
      <c r="L801" s="45" t="s">
        <v>263</v>
      </c>
      <c r="M801" s="45" t="s">
        <v>259</v>
      </c>
      <c r="N801" s="45" t="s">
        <v>169</v>
      </c>
      <c r="O801" s="47" t="n">
        <v>46189.9396180556</v>
      </c>
      <c r="P801" s="47" t="n">
        <v>46189.9454398148</v>
      </c>
    </row>
    <row r="802" customFormat="false" ht="15" hidden="false" customHeight="false" outlineLevel="0" collapsed="false">
      <c r="A802" s="45" t="n">
        <v>1006</v>
      </c>
      <c r="B802" s="46" t="n">
        <v>46189</v>
      </c>
      <c r="C802" s="45" t="s">
        <v>143</v>
      </c>
      <c r="D802" s="45" t="s">
        <v>144</v>
      </c>
      <c r="E802" s="45" t="s">
        <v>1613</v>
      </c>
      <c r="F802" s="45" t="s">
        <v>1791</v>
      </c>
      <c r="G802" s="46" t="n">
        <v>46188</v>
      </c>
      <c r="H802" s="45" t="s">
        <v>167</v>
      </c>
      <c r="I802" s="45" t="s">
        <v>175</v>
      </c>
      <c r="J802" s="45" t="s">
        <v>1792</v>
      </c>
      <c r="K802" s="45" t="n">
        <v>40.7</v>
      </c>
      <c r="L802" s="45" t="s">
        <v>263</v>
      </c>
      <c r="M802" s="45" t="s">
        <v>259</v>
      </c>
      <c r="N802" s="45" t="s">
        <v>167</v>
      </c>
      <c r="O802" s="47" t="n">
        <v>46189.9454861111</v>
      </c>
      <c r="P802" s="47" t="n">
        <v>46189.9737615741</v>
      </c>
    </row>
    <row r="803" customFormat="false" ht="15" hidden="false" customHeight="false" outlineLevel="0" collapsed="false">
      <c r="A803" s="45" t="n">
        <v>1007</v>
      </c>
      <c r="B803" s="46" t="n">
        <v>46190</v>
      </c>
      <c r="C803" s="45" t="s">
        <v>133</v>
      </c>
      <c r="D803" s="45" t="s">
        <v>134</v>
      </c>
      <c r="E803" s="45" t="s">
        <v>917</v>
      </c>
      <c r="F803" s="45" t="s">
        <v>1793</v>
      </c>
      <c r="G803" s="46" t="n">
        <v>46189</v>
      </c>
      <c r="H803" s="45" t="s">
        <v>168</v>
      </c>
      <c r="I803" s="45" t="s">
        <v>193</v>
      </c>
      <c r="J803" s="45" t="s">
        <v>1794</v>
      </c>
      <c r="K803" s="45" t="n">
        <v>2</v>
      </c>
      <c r="L803" s="45" t="s">
        <v>263</v>
      </c>
      <c r="M803" s="45" t="s">
        <v>259</v>
      </c>
      <c r="N803" s="45" t="s">
        <v>264</v>
      </c>
      <c r="O803" s="47" t="n">
        <v>46190.0497916667</v>
      </c>
      <c r="P803" s="47" t="n">
        <v>46190.0511689815</v>
      </c>
    </row>
    <row r="804" customFormat="false" ht="15" hidden="false" customHeight="false" outlineLevel="0" collapsed="false">
      <c r="A804" s="45" t="n">
        <v>1008</v>
      </c>
      <c r="B804" s="46" t="n">
        <v>46190</v>
      </c>
      <c r="C804" s="45" t="s">
        <v>133</v>
      </c>
      <c r="D804" s="45" t="s">
        <v>134</v>
      </c>
      <c r="E804" s="45" t="s">
        <v>917</v>
      </c>
      <c r="F804" s="45" t="s">
        <v>1795</v>
      </c>
      <c r="G804" s="46" t="n">
        <v>46189</v>
      </c>
      <c r="H804" s="45" t="s">
        <v>169</v>
      </c>
      <c r="I804" s="45"/>
      <c r="J804" s="45"/>
      <c r="K804" s="45" t="n">
        <v>0.3</v>
      </c>
      <c r="L804" s="45" t="s">
        <v>263</v>
      </c>
      <c r="M804" s="45" t="s">
        <v>259</v>
      </c>
      <c r="N804" s="45" t="s">
        <v>169</v>
      </c>
      <c r="O804" s="47" t="n">
        <v>46190.0516782407</v>
      </c>
      <c r="P804" s="47" t="n">
        <v>46190.0518865741</v>
      </c>
    </row>
    <row r="805" customFormat="false" ht="15" hidden="false" customHeight="false" outlineLevel="0" collapsed="false">
      <c r="A805" s="45" t="n">
        <v>1010</v>
      </c>
      <c r="B805" s="46" t="n">
        <v>46190</v>
      </c>
      <c r="C805" s="45" t="s">
        <v>131</v>
      </c>
      <c r="D805" s="45" t="s">
        <v>132</v>
      </c>
      <c r="E805" s="45" t="s">
        <v>220</v>
      </c>
      <c r="F805" s="45" t="s">
        <v>1796</v>
      </c>
      <c r="G805" s="46" t="n">
        <v>46189</v>
      </c>
      <c r="H805" s="45" t="s">
        <v>167</v>
      </c>
      <c r="I805" s="45" t="s">
        <v>175</v>
      </c>
      <c r="J805" s="45" t="s">
        <v>1797</v>
      </c>
      <c r="K805" s="45" t="n">
        <v>2.4</v>
      </c>
      <c r="L805" s="45" t="s">
        <v>263</v>
      </c>
      <c r="M805" s="45" t="s">
        <v>259</v>
      </c>
      <c r="N805" s="45" t="s">
        <v>167</v>
      </c>
      <c r="O805" s="47" t="n">
        <v>46190.6856828704</v>
      </c>
      <c r="P805" s="47" t="n">
        <v>46190.6873726852</v>
      </c>
    </row>
    <row r="806" customFormat="false" ht="15" hidden="false" customHeight="false" outlineLevel="0" collapsed="false">
      <c r="A806" s="45" t="n">
        <v>1011</v>
      </c>
      <c r="B806" s="46" t="n">
        <v>46190</v>
      </c>
      <c r="C806" s="45" t="s">
        <v>131</v>
      </c>
      <c r="D806" s="45" t="s">
        <v>132</v>
      </c>
      <c r="E806" s="45" t="s">
        <v>1034</v>
      </c>
      <c r="F806" s="45" t="s">
        <v>1798</v>
      </c>
      <c r="G806" s="46" t="n">
        <v>46189</v>
      </c>
      <c r="H806" s="45" t="s">
        <v>167</v>
      </c>
      <c r="I806" s="45" t="s">
        <v>175</v>
      </c>
      <c r="J806" s="45" t="s">
        <v>1799</v>
      </c>
      <c r="K806" s="45" t="n">
        <v>2</v>
      </c>
      <c r="L806" s="45" t="s">
        <v>263</v>
      </c>
      <c r="M806" s="45" t="s">
        <v>259</v>
      </c>
      <c r="N806" s="45" t="s">
        <v>167</v>
      </c>
      <c r="O806" s="47" t="n">
        <v>46190.6877314815</v>
      </c>
      <c r="P806" s="47" t="n">
        <v>46190.6891319445</v>
      </c>
    </row>
    <row r="807" customFormat="false" ht="15" hidden="false" customHeight="false" outlineLevel="0" collapsed="false">
      <c r="A807" s="45" t="n">
        <v>1012</v>
      </c>
      <c r="B807" s="46" t="n">
        <v>46190</v>
      </c>
      <c r="C807" s="45" t="s">
        <v>143</v>
      </c>
      <c r="D807" s="45" t="s">
        <v>144</v>
      </c>
      <c r="E807" s="45" t="s">
        <v>224</v>
      </c>
      <c r="F807" s="45" t="s">
        <v>1800</v>
      </c>
      <c r="G807" s="46" t="n">
        <v>46189</v>
      </c>
      <c r="H807" s="45" t="s">
        <v>57</v>
      </c>
      <c r="I807" s="45" t="s">
        <v>201</v>
      </c>
      <c r="J807" s="45" t="s">
        <v>1801</v>
      </c>
      <c r="K807" s="45" t="n">
        <v>1.3</v>
      </c>
      <c r="L807" s="45" t="s">
        <v>263</v>
      </c>
      <c r="M807" s="45" t="s">
        <v>259</v>
      </c>
      <c r="N807" s="45" t="s">
        <v>57</v>
      </c>
      <c r="O807" s="47" t="n">
        <v>46190.752662037</v>
      </c>
      <c r="P807" s="47" t="n">
        <v>46190.7535416667</v>
      </c>
    </row>
    <row r="808" customFormat="false" ht="15" hidden="false" customHeight="false" outlineLevel="0" collapsed="false">
      <c r="A808" s="45" t="n">
        <v>1013</v>
      </c>
      <c r="B808" s="46" t="n">
        <v>46190</v>
      </c>
      <c r="C808" s="45" t="s">
        <v>141</v>
      </c>
      <c r="D808" s="45" t="s">
        <v>142</v>
      </c>
      <c r="E808" s="45" t="s">
        <v>683</v>
      </c>
      <c r="F808" s="45" t="s">
        <v>1802</v>
      </c>
      <c r="G808" s="46" t="n">
        <v>46188</v>
      </c>
      <c r="H808" s="45" t="s">
        <v>167</v>
      </c>
      <c r="I808" s="45" t="s">
        <v>175</v>
      </c>
      <c r="J808" s="45" t="s">
        <v>1803</v>
      </c>
      <c r="K808" s="45" t="n">
        <v>206.6</v>
      </c>
      <c r="L808" s="45" t="s">
        <v>263</v>
      </c>
      <c r="M808" s="45" t="s">
        <v>259</v>
      </c>
      <c r="N808" s="45" t="s">
        <v>167</v>
      </c>
      <c r="O808" s="47" t="n">
        <v>46190.7692939815</v>
      </c>
      <c r="P808" s="47" t="n">
        <v>46190.9127893519</v>
      </c>
    </row>
    <row r="809" customFormat="false" ht="15" hidden="false" customHeight="false" outlineLevel="0" collapsed="false">
      <c r="A809" s="45" t="n">
        <v>1014</v>
      </c>
      <c r="B809" s="46" t="n">
        <v>46190</v>
      </c>
      <c r="C809" s="45" t="s">
        <v>141</v>
      </c>
      <c r="D809" s="45" t="s">
        <v>142</v>
      </c>
      <c r="E809" s="45" t="s">
        <v>1697</v>
      </c>
      <c r="F809" s="45" t="s">
        <v>1804</v>
      </c>
      <c r="G809" s="46" t="n">
        <v>46188</v>
      </c>
      <c r="H809" s="45" t="s">
        <v>168</v>
      </c>
      <c r="I809" s="45" t="s">
        <v>192</v>
      </c>
      <c r="J809" s="45" t="s">
        <v>1805</v>
      </c>
      <c r="K809" s="45" t="n">
        <v>2.1</v>
      </c>
      <c r="L809" s="45" t="s">
        <v>263</v>
      </c>
      <c r="M809" s="45" t="s">
        <v>259</v>
      </c>
      <c r="N809" s="45" t="s">
        <v>264</v>
      </c>
      <c r="O809" s="47" t="n">
        <v>46190.9128703704</v>
      </c>
      <c r="P809" s="47" t="n">
        <v>46190.9143055556</v>
      </c>
    </row>
    <row r="810" customFormat="false" ht="15" hidden="false" customHeight="false" outlineLevel="0" collapsed="false">
      <c r="A810" s="45" t="n">
        <v>1015</v>
      </c>
      <c r="B810" s="46" t="n">
        <v>46190</v>
      </c>
      <c r="C810" s="45" t="s">
        <v>141</v>
      </c>
      <c r="D810" s="45" t="s">
        <v>142</v>
      </c>
      <c r="E810" s="45" t="s">
        <v>1623</v>
      </c>
      <c r="F810" s="45" t="s">
        <v>1806</v>
      </c>
      <c r="G810" s="46" t="n">
        <v>46189</v>
      </c>
      <c r="H810" s="45" t="s">
        <v>167</v>
      </c>
      <c r="I810" s="45" t="s">
        <v>175</v>
      </c>
      <c r="J810" s="45" t="s">
        <v>1807</v>
      </c>
      <c r="K810" s="45" t="n">
        <v>0.3</v>
      </c>
      <c r="L810" s="45" t="s">
        <v>263</v>
      </c>
      <c r="M810" s="45" t="s">
        <v>259</v>
      </c>
      <c r="N810" s="45" t="s">
        <v>167</v>
      </c>
      <c r="O810" s="47" t="n">
        <v>46190.9973611111</v>
      </c>
      <c r="P810" s="47" t="n">
        <v>46190.9975578704</v>
      </c>
    </row>
    <row r="811" customFormat="false" ht="15" hidden="false" customHeight="false" outlineLevel="0" collapsed="false">
      <c r="A811" s="45" t="n">
        <v>1016</v>
      </c>
      <c r="B811" s="46" t="n">
        <v>46191</v>
      </c>
      <c r="C811" s="45" t="s">
        <v>133</v>
      </c>
      <c r="D811" s="45" t="s">
        <v>134</v>
      </c>
      <c r="E811" s="45" t="s">
        <v>219</v>
      </c>
      <c r="F811" s="45" t="s">
        <v>1808</v>
      </c>
      <c r="G811" s="46" t="n">
        <v>46190</v>
      </c>
      <c r="H811" s="45" t="s">
        <v>167</v>
      </c>
      <c r="I811" s="45" t="s">
        <v>175</v>
      </c>
      <c r="J811" s="45" t="s">
        <v>1809</v>
      </c>
      <c r="K811" s="45" t="n">
        <v>26.1</v>
      </c>
      <c r="L811" s="45" t="s">
        <v>263</v>
      </c>
      <c r="M811" s="45" t="s">
        <v>259</v>
      </c>
      <c r="N811" s="45" t="s">
        <v>167</v>
      </c>
      <c r="O811" s="47" t="n">
        <v>46191.0396759259</v>
      </c>
      <c r="P811" s="47" t="n">
        <v>46191.0577777778</v>
      </c>
    </row>
    <row r="812" customFormat="false" ht="15" hidden="false" customHeight="false" outlineLevel="0" collapsed="false">
      <c r="A812" s="45" t="n">
        <v>1017</v>
      </c>
      <c r="B812" s="46" t="n">
        <v>46191</v>
      </c>
      <c r="C812" s="45" t="s">
        <v>131</v>
      </c>
      <c r="D812" s="45" t="s">
        <v>132</v>
      </c>
      <c r="E812" s="45" t="s">
        <v>487</v>
      </c>
      <c r="F812" s="45" t="s">
        <v>1810</v>
      </c>
      <c r="G812" s="46" t="n">
        <v>46191</v>
      </c>
      <c r="H812" s="45" t="s">
        <v>57</v>
      </c>
      <c r="I812" s="45" t="s">
        <v>200</v>
      </c>
      <c r="J812" s="45" t="s">
        <v>1811</v>
      </c>
      <c r="K812" s="45" t="n">
        <v>8.8</v>
      </c>
      <c r="L812" s="45" t="s">
        <v>263</v>
      </c>
      <c r="M812" s="45" t="s">
        <v>259</v>
      </c>
      <c r="N812" s="45" t="s">
        <v>57</v>
      </c>
      <c r="O812" s="47" t="n">
        <v>46191.6938541667</v>
      </c>
      <c r="P812" s="47" t="n">
        <v>46191.6999652778</v>
      </c>
    </row>
    <row r="813" customFormat="false" ht="15" hidden="false" customHeight="false" outlineLevel="0" collapsed="false">
      <c r="A813" s="45" t="n">
        <v>1018</v>
      </c>
      <c r="B813" s="46" t="n">
        <v>46191</v>
      </c>
      <c r="C813" s="45" t="s">
        <v>131</v>
      </c>
      <c r="D813" s="45" t="s">
        <v>132</v>
      </c>
      <c r="E813" s="45" t="s">
        <v>1034</v>
      </c>
      <c r="F813" s="45" t="s">
        <v>1812</v>
      </c>
      <c r="G813" s="46" t="n">
        <v>46191</v>
      </c>
      <c r="H813" s="45" t="s">
        <v>167</v>
      </c>
      <c r="I813" s="45" t="s">
        <v>175</v>
      </c>
      <c r="J813" s="45" t="s">
        <v>1813</v>
      </c>
      <c r="K813" s="45" t="n">
        <v>7.5</v>
      </c>
      <c r="L813" s="45" t="s">
        <v>263</v>
      </c>
      <c r="M813" s="45" t="s">
        <v>259</v>
      </c>
      <c r="N813" s="45" t="s">
        <v>167</v>
      </c>
      <c r="O813" s="47" t="n">
        <v>46191.7086226852</v>
      </c>
      <c r="P813" s="47" t="n">
        <v>46191.7138657407</v>
      </c>
    </row>
    <row r="814" customFormat="false" ht="15" hidden="false" customHeight="false" outlineLevel="0" collapsed="false">
      <c r="A814" s="45" t="n">
        <v>1019</v>
      </c>
      <c r="B814" s="46" t="n">
        <v>46191</v>
      </c>
      <c r="C814" s="45" t="s">
        <v>131</v>
      </c>
      <c r="D814" s="45" t="s">
        <v>132</v>
      </c>
      <c r="E814" s="45" t="s">
        <v>487</v>
      </c>
      <c r="F814" s="45" t="s">
        <v>1814</v>
      </c>
      <c r="G814" s="46" t="n">
        <v>46191</v>
      </c>
      <c r="H814" s="45" t="s">
        <v>167</v>
      </c>
      <c r="I814" s="45" t="s">
        <v>175</v>
      </c>
      <c r="J814" s="45" t="s">
        <v>1815</v>
      </c>
      <c r="K814" s="45" t="n">
        <v>3.1</v>
      </c>
      <c r="L814" s="45" t="s">
        <v>263</v>
      </c>
      <c r="M814" s="45" t="s">
        <v>259</v>
      </c>
      <c r="N814" s="45" t="s">
        <v>167</v>
      </c>
      <c r="O814" s="47" t="n">
        <v>46191.7175</v>
      </c>
      <c r="P814" s="47" t="n">
        <v>46191.7196527778</v>
      </c>
    </row>
    <row r="815" customFormat="false" ht="15" hidden="false" customHeight="false" outlineLevel="0" collapsed="false">
      <c r="A815" s="45" t="n">
        <v>1020</v>
      </c>
      <c r="B815" s="46" t="n">
        <v>46191</v>
      </c>
      <c r="C815" s="45" t="s">
        <v>131</v>
      </c>
      <c r="D815" s="45" t="s">
        <v>132</v>
      </c>
      <c r="E815" s="45" t="s">
        <v>487</v>
      </c>
      <c r="F815" s="45" t="s">
        <v>1816</v>
      </c>
      <c r="G815" s="46" t="n">
        <v>46191</v>
      </c>
      <c r="H815" s="45" t="s">
        <v>167</v>
      </c>
      <c r="I815" s="45" t="s">
        <v>175</v>
      </c>
      <c r="J815" s="45" t="s">
        <v>1817</v>
      </c>
      <c r="K815" s="45" t="n">
        <v>4</v>
      </c>
      <c r="L815" s="45" t="s">
        <v>263</v>
      </c>
      <c r="M815" s="45" t="s">
        <v>259</v>
      </c>
      <c r="N815" s="45" t="s">
        <v>167</v>
      </c>
      <c r="O815" s="47" t="n">
        <v>46191.7200347222</v>
      </c>
      <c r="P815" s="47" t="n">
        <v>46191.7228356482</v>
      </c>
    </row>
    <row r="816" customFormat="false" ht="15" hidden="false" customHeight="false" outlineLevel="0" collapsed="false">
      <c r="A816" s="45" t="n">
        <v>1022</v>
      </c>
      <c r="B816" s="46" t="n">
        <v>46191</v>
      </c>
      <c r="C816" s="45" t="s">
        <v>135</v>
      </c>
      <c r="D816" s="45" t="s">
        <v>136</v>
      </c>
      <c r="E816" s="45" t="s">
        <v>819</v>
      </c>
      <c r="F816" s="45" t="s">
        <v>1818</v>
      </c>
      <c r="G816" s="46" t="n">
        <v>46190</v>
      </c>
      <c r="H816" s="45" t="s">
        <v>168</v>
      </c>
      <c r="I816" s="45" t="s">
        <v>191</v>
      </c>
      <c r="J816" s="45" t="s">
        <v>1819</v>
      </c>
      <c r="K816" s="45" t="n">
        <v>5.2</v>
      </c>
      <c r="L816" s="45" t="s">
        <v>263</v>
      </c>
      <c r="M816" s="45" t="s">
        <v>259</v>
      </c>
      <c r="N816" s="45" t="s">
        <v>264</v>
      </c>
      <c r="O816" s="47" t="n">
        <v>46191.722025463</v>
      </c>
      <c r="P816" s="47" t="n">
        <v>46191.725625</v>
      </c>
    </row>
    <row r="817" customFormat="false" ht="15" hidden="false" customHeight="false" outlineLevel="0" collapsed="false">
      <c r="A817" s="45" t="n">
        <v>1021</v>
      </c>
      <c r="B817" s="46" t="n">
        <v>46191</v>
      </c>
      <c r="C817" s="45" t="s">
        <v>131</v>
      </c>
      <c r="D817" s="45" t="s">
        <v>132</v>
      </c>
      <c r="E817" s="45" t="s">
        <v>222</v>
      </c>
      <c r="F817" s="45" t="s">
        <v>1820</v>
      </c>
      <c r="G817" s="46" t="n">
        <v>46191</v>
      </c>
      <c r="H817" s="45" t="s">
        <v>57</v>
      </c>
      <c r="I817" s="45" t="s">
        <v>200</v>
      </c>
      <c r="J817" s="45" t="s">
        <v>1821</v>
      </c>
      <c r="K817" s="45" t="n">
        <v>2.2</v>
      </c>
      <c r="L817" s="45" t="s">
        <v>263</v>
      </c>
      <c r="M817" s="45" t="s">
        <v>259</v>
      </c>
      <c r="N817" s="45" t="s">
        <v>57</v>
      </c>
      <c r="O817" s="47" t="n">
        <v>46191.7233564815</v>
      </c>
      <c r="P817" s="47" t="n">
        <v>46191.7249189815</v>
      </c>
    </row>
    <row r="818" customFormat="false" ht="15" hidden="false" customHeight="false" outlineLevel="0" collapsed="false">
      <c r="A818" s="45" t="n">
        <v>1023</v>
      </c>
      <c r="B818" s="46" t="n">
        <v>46191</v>
      </c>
      <c r="C818" s="45" t="s">
        <v>141</v>
      </c>
      <c r="D818" s="45" t="s">
        <v>142</v>
      </c>
      <c r="E818" s="45" t="s">
        <v>421</v>
      </c>
      <c r="F818" s="45" t="s">
        <v>1822</v>
      </c>
      <c r="G818" s="46" t="n">
        <v>46189</v>
      </c>
      <c r="H818" s="45" t="s">
        <v>168</v>
      </c>
      <c r="I818" s="45" t="s">
        <v>192</v>
      </c>
      <c r="J818" s="45" t="s">
        <v>1823</v>
      </c>
      <c r="K818" s="45" t="n">
        <v>0.6</v>
      </c>
      <c r="L818" s="45" t="s">
        <v>263</v>
      </c>
      <c r="M818" s="45" t="s">
        <v>259</v>
      </c>
      <c r="N818" s="45" t="s">
        <v>264</v>
      </c>
      <c r="O818" s="47" t="n">
        <v>46191.7497685185</v>
      </c>
      <c r="P818" s="47" t="n">
        <v>46191.7501851852</v>
      </c>
    </row>
    <row r="819" customFormat="false" ht="15" hidden="false" customHeight="false" outlineLevel="0" collapsed="false">
      <c r="A819" s="45" t="n">
        <v>1024</v>
      </c>
      <c r="B819" s="46" t="n">
        <v>46191</v>
      </c>
      <c r="C819" s="45" t="s">
        <v>141</v>
      </c>
      <c r="D819" s="45" t="s">
        <v>142</v>
      </c>
      <c r="E819" s="45" t="s">
        <v>227</v>
      </c>
      <c r="F819" s="45" t="s">
        <v>1824</v>
      </c>
      <c r="G819" s="46" t="n">
        <v>46189</v>
      </c>
      <c r="H819" s="45" t="s">
        <v>167</v>
      </c>
      <c r="I819" s="45" t="s">
        <v>176</v>
      </c>
      <c r="J819" s="45" t="s">
        <v>1825</v>
      </c>
      <c r="K819" s="45" t="n">
        <v>13.4</v>
      </c>
      <c r="L819" s="45" t="s">
        <v>263</v>
      </c>
      <c r="M819" s="45" t="s">
        <v>259</v>
      </c>
      <c r="N819" s="45" t="s">
        <v>167</v>
      </c>
      <c r="O819" s="47" t="n">
        <v>46191.7505671296</v>
      </c>
      <c r="P819" s="47" t="n">
        <v>46191.759849537</v>
      </c>
    </row>
    <row r="820" customFormat="false" ht="15" hidden="false" customHeight="false" outlineLevel="0" collapsed="false">
      <c r="A820" s="45" t="n">
        <v>1025</v>
      </c>
      <c r="B820" s="46" t="n">
        <v>46191</v>
      </c>
      <c r="C820" s="45" t="s">
        <v>141</v>
      </c>
      <c r="D820" s="45" t="s">
        <v>142</v>
      </c>
      <c r="E820" s="45" t="s">
        <v>1697</v>
      </c>
      <c r="F820" s="45" t="s">
        <v>1826</v>
      </c>
      <c r="G820" s="46" t="n">
        <v>46189</v>
      </c>
      <c r="H820" s="45" t="s">
        <v>167</v>
      </c>
      <c r="I820" s="45" t="s">
        <v>176</v>
      </c>
      <c r="J820" s="45" t="s">
        <v>1827</v>
      </c>
      <c r="K820" s="45" t="n">
        <v>123.1</v>
      </c>
      <c r="L820" s="45" t="s">
        <v>263</v>
      </c>
      <c r="M820" s="45" t="s">
        <v>259</v>
      </c>
      <c r="N820" s="45" t="s">
        <v>167</v>
      </c>
      <c r="O820" s="47" t="n">
        <v>46191.7600231482</v>
      </c>
      <c r="P820" s="47" t="n">
        <v>46191.8454861111</v>
      </c>
    </row>
    <row r="821" customFormat="false" ht="15" hidden="false" customHeight="false" outlineLevel="0" collapsed="false">
      <c r="A821" s="45" t="n">
        <v>1026</v>
      </c>
      <c r="B821" s="46" t="n">
        <v>46191</v>
      </c>
      <c r="C821" s="45" t="s">
        <v>135</v>
      </c>
      <c r="D821" s="45" t="s">
        <v>136</v>
      </c>
      <c r="E821" s="45" t="s">
        <v>492</v>
      </c>
      <c r="F821" s="45" t="s">
        <v>1828</v>
      </c>
      <c r="G821" s="46" t="n">
        <v>46190</v>
      </c>
      <c r="H821" s="45" t="s">
        <v>168</v>
      </c>
      <c r="I821" s="45" t="s">
        <v>194</v>
      </c>
      <c r="J821" s="45" t="s">
        <v>1829</v>
      </c>
      <c r="K821" s="45" t="n">
        <v>59</v>
      </c>
      <c r="L821" s="45" t="s">
        <v>263</v>
      </c>
      <c r="M821" s="45" t="s">
        <v>259</v>
      </c>
      <c r="N821" s="45" t="s">
        <v>264</v>
      </c>
      <c r="O821" s="47" t="n">
        <v>46191.8120949074</v>
      </c>
      <c r="P821" s="47" t="n">
        <v>46191.8530555556</v>
      </c>
    </row>
    <row r="822" customFormat="false" ht="15" hidden="false" customHeight="false" outlineLevel="0" collapsed="false">
      <c r="A822" s="45" t="n">
        <v>1027</v>
      </c>
      <c r="B822" s="46" t="n">
        <v>46191</v>
      </c>
      <c r="C822" s="45" t="s">
        <v>135</v>
      </c>
      <c r="D822" s="45" t="s">
        <v>136</v>
      </c>
      <c r="E822" s="45" t="s">
        <v>492</v>
      </c>
      <c r="F822" s="45" t="s">
        <v>1830</v>
      </c>
      <c r="G822" s="46" t="n">
        <v>46190</v>
      </c>
      <c r="H822" s="45" t="s">
        <v>169</v>
      </c>
      <c r="I822" s="45"/>
      <c r="J822" s="45"/>
      <c r="K822" s="45" t="n">
        <v>11.6</v>
      </c>
      <c r="L822" s="45" t="s">
        <v>263</v>
      </c>
      <c r="M822" s="45" t="s">
        <v>259</v>
      </c>
      <c r="N822" s="45" t="s">
        <v>169</v>
      </c>
      <c r="O822" s="47" t="n">
        <v>46191.8533796296</v>
      </c>
      <c r="P822" s="47" t="n">
        <v>46191.8614236111</v>
      </c>
    </row>
    <row r="823" customFormat="false" ht="15" hidden="false" customHeight="false" outlineLevel="0" collapsed="false">
      <c r="A823" s="45" t="n">
        <v>1028</v>
      </c>
      <c r="B823" s="46" t="n">
        <v>46191</v>
      </c>
      <c r="C823" s="45" t="s">
        <v>135</v>
      </c>
      <c r="D823" s="45" t="s">
        <v>136</v>
      </c>
      <c r="E823" s="45" t="s">
        <v>226</v>
      </c>
      <c r="F823" s="45" t="s">
        <v>1831</v>
      </c>
      <c r="G823" s="46" t="n">
        <v>46190</v>
      </c>
      <c r="H823" s="45" t="s">
        <v>168</v>
      </c>
      <c r="I823" s="45" t="s">
        <v>192</v>
      </c>
      <c r="J823" s="45" t="s">
        <v>1832</v>
      </c>
      <c r="K823" s="45" t="n">
        <v>22.2</v>
      </c>
      <c r="L823" s="45" t="s">
        <v>263</v>
      </c>
      <c r="M823" s="45" t="s">
        <v>259</v>
      </c>
      <c r="N823" s="45" t="s">
        <v>264</v>
      </c>
      <c r="O823" s="47" t="n">
        <v>46191.8614930556</v>
      </c>
      <c r="P823" s="47" t="n">
        <v>46191.8769097222</v>
      </c>
    </row>
    <row r="824" customFormat="false" ht="15" hidden="false" customHeight="false" outlineLevel="0" collapsed="false">
      <c r="A824" s="45" t="n">
        <v>1029</v>
      </c>
      <c r="B824" s="46" t="n">
        <v>46191</v>
      </c>
      <c r="C824" s="45" t="s">
        <v>135</v>
      </c>
      <c r="D824" s="45" t="s">
        <v>136</v>
      </c>
      <c r="E824" s="45" t="s">
        <v>1833</v>
      </c>
      <c r="F824" s="45" t="s">
        <v>1834</v>
      </c>
      <c r="G824" s="46" t="n">
        <v>46190</v>
      </c>
      <c r="H824" s="45" t="s">
        <v>167</v>
      </c>
      <c r="I824" s="45" t="s">
        <v>175</v>
      </c>
      <c r="J824" s="45" t="s">
        <v>1835</v>
      </c>
      <c r="K824" s="45" t="n">
        <v>82.9</v>
      </c>
      <c r="L824" s="45" t="s">
        <v>263</v>
      </c>
      <c r="M824" s="45" t="s">
        <v>259</v>
      </c>
      <c r="N824" s="45" t="s">
        <v>167</v>
      </c>
      <c r="O824" s="47" t="n">
        <v>46191.8772685185</v>
      </c>
      <c r="P824" s="47" t="n">
        <v>46191.9348611111</v>
      </c>
    </row>
    <row r="825" customFormat="false" ht="15" hidden="false" customHeight="false" outlineLevel="0" collapsed="false">
      <c r="A825" s="45" t="n">
        <v>1030</v>
      </c>
      <c r="B825" s="46" t="n">
        <v>46191</v>
      </c>
      <c r="C825" s="45" t="s">
        <v>135</v>
      </c>
      <c r="D825" s="45" t="s">
        <v>136</v>
      </c>
      <c r="E825" s="45" t="s">
        <v>1833</v>
      </c>
      <c r="F825" s="45" t="s">
        <v>1836</v>
      </c>
      <c r="G825" s="46" t="n">
        <v>46190</v>
      </c>
      <c r="H825" s="45" t="s">
        <v>167</v>
      </c>
      <c r="I825" s="45" t="s">
        <v>175</v>
      </c>
      <c r="J825" s="45" t="s">
        <v>1837</v>
      </c>
      <c r="K825" s="45" t="n">
        <v>33</v>
      </c>
      <c r="L825" s="45" t="s">
        <v>263</v>
      </c>
      <c r="M825" s="45" t="s">
        <v>259</v>
      </c>
      <c r="N825" s="45" t="s">
        <v>167</v>
      </c>
      <c r="O825" s="47" t="n">
        <v>46191.9399652778</v>
      </c>
      <c r="P825" s="47" t="n">
        <v>46191.9628587963</v>
      </c>
    </row>
    <row r="826" customFormat="false" ht="15" hidden="false" customHeight="false" outlineLevel="0" collapsed="false">
      <c r="A826" s="45" t="n">
        <v>1031</v>
      </c>
      <c r="B826" s="46" t="n">
        <v>46191</v>
      </c>
      <c r="C826" s="45" t="s">
        <v>143</v>
      </c>
      <c r="D826" s="45" t="s">
        <v>144</v>
      </c>
      <c r="E826" s="45" t="s">
        <v>232</v>
      </c>
      <c r="F826" s="45" t="s">
        <v>1838</v>
      </c>
      <c r="G826" s="46" t="n">
        <v>46190</v>
      </c>
      <c r="H826" s="45" t="s">
        <v>167</v>
      </c>
      <c r="I826" s="45" t="s">
        <v>175</v>
      </c>
      <c r="J826" s="45" t="s">
        <v>1839</v>
      </c>
      <c r="K826" s="45" t="n">
        <v>13.5</v>
      </c>
      <c r="L826" s="45" t="s">
        <v>263</v>
      </c>
      <c r="M826" s="45" t="s">
        <v>259</v>
      </c>
      <c r="N826" s="45" t="s">
        <v>167</v>
      </c>
      <c r="O826" s="47" t="n">
        <v>46191.9661458333</v>
      </c>
      <c r="P826" s="47" t="n">
        <v>46191.9755092593</v>
      </c>
    </row>
    <row r="827" customFormat="false" ht="15" hidden="false" customHeight="false" outlineLevel="0" collapsed="false">
      <c r="A827" s="45" t="n">
        <v>1032</v>
      </c>
      <c r="B827" s="46" t="n">
        <v>46191</v>
      </c>
      <c r="C827" s="45" t="s">
        <v>143</v>
      </c>
      <c r="D827" s="45" t="s">
        <v>144</v>
      </c>
      <c r="E827" s="45" t="s">
        <v>224</v>
      </c>
      <c r="F827" s="45" t="s">
        <v>1840</v>
      </c>
      <c r="G827" s="46" t="n">
        <v>46190</v>
      </c>
      <c r="H827" s="45" t="s">
        <v>167</v>
      </c>
      <c r="I827" s="45" t="s">
        <v>175</v>
      </c>
      <c r="J827" s="45" t="s">
        <v>1841</v>
      </c>
      <c r="K827" s="45" t="n">
        <v>8</v>
      </c>
      <c r="L827" s="45" t="s">
        <v>263</v>
      </c>
      <c r="M827" s="45" t="s">
        <v>259</v>
      </c>
      <c r="N827" s="45" t="s">
        <v>167</v>
      </c>
      <c r="O827" s="47" t="n">
        <v>46191.9755439815</v>
      </c>
      <c r="P827" s="47" t="n">
        <v>46191.9811226852</v>
      </c>
    </row>
    <row r="828" customFormat="false" ht="15" hidden="false" customHeight="false" outlineLevel="0" collapsed="false">
      <c r="A828" s="45" t="n">
        <v>1034</v>
      </c>
      <c r="B828" s="46" t="n">
        <v>46191</v>
      </c>
      <c r="C828" s="45" t="s">
        <v>143</v>
      </c>
      <c r="D828" s="45" t="s">
        <v>144</v>
      </c>
      <c r="E828" s="45" t="s">
        <v>564</v>
      </c>
      <c r="F828" s="45" t="s">
        <v>1842</v>
      </c>
      <c r="G828" s="46" t="n">
        <v>46191</v>
      </c>
      <c r="H828" s="45" t="s">
        <v>169</v>
      </c>
      <c r="I828" s="45"/>
      <c r="J828" s="45"/>
      <c r="K828" s="45" t="n">
        <v>1466</v>
      </c>
      <c r="L828" s="45" t="s">
        <v>263</v>
      </c>
      <c r="M828" s="45" t="s">
        <v>259</v>
      </c>
      <c r="N828" s="45" t="s">
        <v>169</v>
      </c>
      <c r="O828" s="47" t="n">
        <v>46191.9813773148</v>
      </c>
      <c r="P828" s="47" t="n">
        <v>46192.9994097222</v>
      </c>
    </row>
    <row r="829" customFormat="false" ht="15" hidden="false" customHeight="false" outlineLevel="0" collapsed="false">
      <c r="A829" s="45" t="n">
        <v>1033</v>
      </c>
      <c r="B829" s="46" t="n">
        <v>46192</v>
      </c>
      <c r="C829" s="45" t="s">
        <v>133</v>
      </c>
      <c r="D829" s="45" t="s">
        <v>134</v>
      </c>
      <c r="E829" s="45" t="s">
        <v>219</v>
      </c>
      <c r="F829" s="45" t="s">
        <v>1843</v>
      </c>
      <c r="G829" s="46" t="n">
        <v>46191</v>
      </c>
      <c r="H829" s="45" t="s">
        <v>167</v>
      </c>
      <c r="I829" s="45" t="s">
        <v>175</v>
      </c>
      <c r="J829" s="45" t="s">
        <v>1844</v>
      </c>
      <c r="K829" s="45" t="n">
        <v>13.1</v>
      </c>
      <c r="L829" s="45" t="s">
        <v>263</v>
      </c>
      <c r="M829" s="45" t="s">
        <v>259</v>
      </c>
      <c r="N829" s="45" t="s">
        <v>167</v>
      </c>
      <c r="O829" s="47" t="n">
        <v>46192.7506944445</v>
      </c>
      <c r="P829" s="47" t="n">
        <v>46192.7597916667</v>
      </c>
    </row>
    <row r="830" customFormat="false" ht="15" hidden="false" customHeight="false" outlineLevel="0" collapsed="false">
      <c r="A830" s="45" t="n">
        <v>1035</v>
      </c>
      <c r="B830" s="46" t="n">
        <v>46195</v>
      </c>
      <c r="C830" s="45" t="s">
        <v>137</v>
      </c>
      <c r="D830" s="45" t="s">
        <v>138</v>
      </c>
      <c r="E830" s="45" t="s">
        <v>1727</v>
      </c>
      <c r="F830" s="45" t="s">
        <v>1845</v>
      </c>
      <c r="G830" s="46" t="n">
        <v>46191</v>
      </c>
      <c r="H830" s="45" t="s">
        <v>167</v>
      </c>
      <c r="I830" s="45" t="s">
        <v>177</v>
      </c>
      <c r="J830" s="45" t="s">
        <v>1846</v>
      </c>
      <c r="K830" s="45" t="n">
        <v>6.9</v>
      </c>
      <c r="L830" s="45" t="s">
        <v>263</v>
      </c>
      <c r="M830" s="45" t="s">
        <v>259</v>
      </c>
      <c r="N830" s="45" t="s">
        <v>167</v>
      </c>
      <c r="O830" s="47" t="n">
        <v>46195.6040972222</v>
      </c>
      <c r="P830" s="47" t="n">
        <v>46195.608900463</v>
      </c>
    </row>
    <row r="831" customFormat="false" ht="15" hidden="false" customHeight="false" outlineLevel="0" collapsed="false">
      <c r="A831" s="45" t="n">
        <v>1036</v>
      </c>
      <c r="B831" s="46" t="n">
        <v>46195</v>
      </c>
      <c r="C831" s="45" t="s">
        <v>137</v>
      </c>
      <c r="D831" s="45" t="s">
        <v>138</v>
      </c>
      <c r="E831" s="45" t="s">
        <v>1732</v>
      </c>
      <c r="F831" s="45" t="s">
        <v>1847</v>
      </c>
      <c r="G831" s="46" t="n">
        <v>46191</v>
      </c>
      <c r="H831" s="45" t="s">
        <v>167</v>
      </c>
      <c r="I831" s="45" t="s">
        <v>176</v>
      </c>
      <c r="J831" s="45" t="s">
        <v>1848</v>
      </c>
      <c r="K831" s="45" t="n">
        <v>0.9</v>
      </c>
      <c r="L831" s="45" t="s">
        <v>263</v>
      </c>
      <c r="M831" s="45" t="s">
        <v>259</v>
      </c>
      <c r="N831" s="45" t="s">
        <v>167</v>
      </c>
      <c r="O831" s="47" t="n">
        <v>46195.6090162037</v>
      </c>
      <c r="P831" s="47" t="n">
        <v>46195.6096759259</v>
      </c>
    </row>
    <row r="832" customFormat="false" ht="15" hidden="false" customHeight="false" outlineLevel="0" collapsed="false">
      <c r="A832" s="45" t="n">
        <v>1037</v>
      </c>
      <c r="B832" s="46" t="n">
        <v>46195</v>
      </c>
      <c r="C832" s="45" t="s">
        <v>137</v>
      </c>
      <c r="D832" s="45" t="s">
        <v>138</v>
      </c>
      <c r="E832" s="45" t="s">
        <v>1727</v>
      </c>
      <c r="F832" s="45" t="s">
        <v>1849</v>
      </c>
      <c r="G832" s="46" t="n">
        <v>46190</v>
      </c>
      <c r="H832" s="45" t="s">
        <v>167</v>
      </c>
      <c r="I832" s="45" t="s">
        <v>175</v>
      </c>
      <c r="J832" s="45" t="s">
        <v>1260</v>
      </c>
      <c r="K832" s="45" t="n">
        <v>0.7</v>
      </c>
      <c r="L832" s="45" t="s">
        <v>263</v>
      </c>
      <c r="M832" s="45" t="s">
        <v>259</v>
      </c>
      <c r="N832" s="45" t="s">
        <v>167</v>
      </c>
      <c r="O832" s="47" t="n">
        <v>46195.6098263889</v>
      </c>
      <c r="P832" s="47" t="n">
        <v>46195.6102893519</v>
      </c>
    </row>
    <row r="833" customFormat="false" ht="15" hidden="false" customHeight="false" outlineLevel="0" collapsed="false">
      <c r="A833" s="45" t="n">
        <v>1038</v>
      </c>
      <c r="B833" s="46" t="n">
        <v>46195</v>
      </c>
      <c r="C833" s="45" t="s">
        <v>137</v>
      </c>
      <c r="D833" s="45" t="s">
        <v>138</v>
      </c>
      <c r="E833" s="45" t="s">
        <v>1732</v>
      </c>
      <c r="F833" s="45" t="s">
        <v>1850</v>
      </c>
      <c r="G833" s="46" t="n">
        <v>46189</v>
      </c>
      <c r="H833" s="45" t="s">
        <v>167</v>
      </c>
      <c r="I833" s="45" t="s">
        <v>177</v>
      </c>
      <c r="J833" s="45" t="s">
        <v>1851</v>
      </c>
      <c r="K833" s="45" t="n">
        <v>4.6</v>
      </c>
      <c r="L833" s="45" t="s">
        <v>263</v>
      </c>
      <c r="M833" s="45" t="s">
        <v>259</v>
      </c>
      <c r="N833" s="45" t="s">
        <v>167</v>
      </c>
      <c r="O833" s="47" t="n">
        <v>46195.6105671296</v>
      </c>
      <c r="P833" s="47" t="n">
        <v>46195.61375</v>
      </c>
    </row>
    <row r="834" customFormat="false" ht="15" hidden="false" customHeight="false" outlineLevel="0" collapsed="false">
      <c r="A834" s="45" t="n">
        <v>1039</v>
      </c>
      <c r="B834" s="46" t="n">
        <v>46195</v>
      </c>
      <c r="C834" s="45" t="s">
        <v>137</v>
      </c>
      <c r="D834" s="45" t="s">
        <v>138</v>
      </c>
      <c r="E834" s="45" t="s">
        <v>453</v>
      </c>
      <c r="F834" s="45" t="s">
        <v>1852</v>
      </c>
      <c r="G834" s="46" t="n">
        <v>46189</v>
      </c>
      <c r="H834" s="45" t="s">
        <v>168</v>
      </c>
      <c r="I834" s="45" t="s">
        <v>195</v>
      </c>
      <c r="J834" s="45" t="s">
        <v>1853</v>
      </c>
      <c r="K834" s="45" t="n">
        <v>0.5</v>
      </c>
      <c r="L834" s="45" t="s">
        <v>263</v>
      </c>
      <c r="M834" s="45" t="s">
        <v>259</v>
      </c>
      <c r="N834" s="45" t="s">
        <v>264</v>
      </c>
      <c r="O834" s="47" t="n">
        <v>46195.6137731482</v>
      </c>
      <c r="P834" s="47" t="n">
        <v>46195.6141319444</v>
      </c>
    </row>
    <row r="835" customFormat="false" ht="15" hidden="false" customHeight="false" outlineLevel="0" collapsed="false">
      <c r="A835" s="45" t="n">
        <v>1040</v>
      </c>
      <c r="B835" s="46" t="n">
        <v>46195</v>
      </c>
      <c r="C835" s="45" t="s">
        <v>131</v>
      </c>
      <c r="D835" s="45" t="s">
        <v>132</v>
      </c>
      <c r="E835" s="45" t="s">
        <v>326</v>
      </c>
      <c r="F835" s="45" t="s">
        <v>1854</v>
      </c>
      <c r="G835" s="46" t="n">
        <v>46191</v>
      </c>
      <c r="H835" s="45" t="s">
        <v>167</v>
      </c>
      <c r="I835" s="45" t="s">
        <v>175</v>
      </c>
      <c r="J835" s="45" t="s">
        <v>1855</v>
      </c>
      <c r="K835" s="45" t="n">
        <v>55.7</v>
      </c>
      <c r="L835" s="45" t="s">
        <v>263</v>
      </c>
      <c r="M835" s="45" t="s">
        <v>259</v>
      </c>
      <c r="N835" s="45" t="s">
        <v>167</v>
      </c>
      <c r="O835" s="47" t="n">
        <v>46195.6837152778</v>
      </c>
      <c r="P835" s="47" t="n">
        <v>46195.7224074074</v>
      </c>
    </row>
    <row r="836" customFormat="false" ht="15" hidden="false" customHeight="false" outlineLevel="0" collapsed="false">
      <c r="A836" s="45" t="n">
        <v>1041</v>
      </c>
      <c r="B836" s="46" t="n">
        <v>46195</v>
      </c>
      <c r="C836" s="45" t="s">
        <v>131</v>
      </c>
      <c r="D836" s="45" t="s">
        <v>132</v>
      </c>
      <c r="E836" s="45" t="s">
        <v>222</v>
      </c>
      <c r="F836" s="45" t="s">
        <v>1856</v>
      </c>
      <c r="G836" s="46" t="n">
        <v>46191</v>
      </c>
      <c r="H836" s="45" t="s">
        <v>167</v>
      </c>
      <c r="I836" s="45" t="s">
        <v>175</v>
      </c>
      <c r="J836" s="45" t="s">
        <v>1857</v>
      </c>
      <c r="K836" s="45" t="n">
        <v>3.3</v>
      </c>
      <c r="L836" s="45" t="s">
        <v>263</v>
      </c>
      <c r="M836" s="45" t="s">
        <v>259</v>
      </c>
      <c r="N836" s="45" t="s">
        <v>167</v>
      </c>
      <c r="O836" s="47" t="n">
        <v>46195.7285532407</v>
      </c>
      <c r="P836" s="47" t="n">
        <v>46195.7308680556</v>
      </c>
    </row>
    <row r="837" customFormat="false" ht="15" hidden="false" customHeight="false" outlineLevel="0" collapsed="false">
      <c r="A837" s="45" t="n">
        <v>1042</v>
      </c>
      <c r="B837" s="46" t="n">
        <v>46195</v>
      </c>
      <c r="C837" s="45" t="s">
        <v>131</v>
      </c>
      <c r="D837" s="45" t="s">
        <v>132</v>
      </c>
      <c r="E837" s="45" t="s">
        <v>1688</v>
      </c>
      <c r="F837" s="45" t="s">
        <v>1858</v>
      </c>
      <c r="G837" s="46" t="n">
        <v>46191</v>
      </c>
      <c r="H837" s="45" t="s">
        <v>167</v>
      </c>
      <c r="I837" s="45" t="s">
        <v>175</v>
      </c>
      <c r="J837" s="45" t="s">
        <v>1859</v>
      </c>
      <c r="K837" s="45" t="n">
        <v>8.5</v>
      </c>
      <c r="L837" s="45" t="s">
        <v>263</v>
      </c>
      <c r="M837" s="45" t="s">
        <v>259</v>
      </c>
      <c r="N837" s="45" t="s">
        <v>167</v>
      </c>
      <c r="O837" s="47" t="n">
        <v>46195.7309027778</v>
      </c>
      <c r="P837" s="47" t="n">
        <v>46195.7367939815</v>
      </c>
    </row>
    <row r="838" customFormat="false" ht="15" hidden="false" customHeight="false" outlineLevel="0" collapsed="false">
      <c r="A838" s="45" t="n">
        <v>1043</v>
      </c>
      <c r="B838" s="46" t="n">
        <v>46195</v>
      </c>
      <c r="C838" s="45" t="s">
        <v>131</v>
      </c>
      <c r="D838" s="45" t="s">
        <v>132</v>
      </c>
      <c r="E838" s="45" t="s">
        <v>1581</v>
      </c>
      <c r="F838" s="45" t="s">
        <v>1860</v>
      </c>
      <c r="G838" s="46" t="n">
        <v>46195</v>
      </c>
      <c r="H838" s="45" t="s">
        <v>167</v>
      </c>
      <c r="I838" s="45" t="s">
        <v>175</v>
      </c>
      <c r="J838" s="45" t="s">
        <v>1861</v>
      </c>
      <c r="K838" s="45" t="n">
        <v>2.9</v>
      </c>
      <c r="L838" s="45" t="s">
        <v>263</v>
      </c>
      <c r="M838" s="45" t="s">
        <v>259</v>
      </c>
      <c r="N838" s="45" t="s">
        <v>167</v>
      </c>
      <c r="O838" s="47" t="n">
        <v>46195.7388310185</v>
      </c>
      <c r="P838" s="47" t="n">
        <v>46195.7408217593</v>
      </c>
    </row>
    <row r="839" customFormat="false" ht="15" hidden="false" customHeight="false" outlineLevel="0" collapsed="false">
      <c r="A839" s="45" t="n">
        <v>1044</v>
      </c>
      <c r="B839" s="46" t="n">
        <v>46196</v>
      </c>
      <c r="C839" s="45" t="s">
        <v>133</v>
      </c>
      <c r="D839" s="45" t="s">
        <v>134</v>
      </c>
      <c r="E839" s="45" t="s">
        <v>405</v>
      </c>
      <c r="F839" s="45" t="s">
        <v>1862</v>
      </c>
      <c r="G839" s="46" t="n">
        <v>46195</v>
      </c>
      <c r="H839" s="45" t="s">
        <v>167</v>
      </c>
      <c r="I839" s="45" t="s">
        <v>175</v>
      </c>
      <c r="J839" s="45" t="s">
        <v>1863</v>
      </c>
      <c r="K839" s="45" t="n">
        <v>27.9</v>
      </c>
      <c r="L839" s="45" t="s">
        <v>259</v>
      </c>
      <c r="M839" s="45" t="s">
        <v>259</v>
      </c>
      <c r="N839" s="45" t="s">
        <v>167</v>
      </c>
      <c r="O839" s="47" t="n">
        <v>46196.588275463</v>
      </c>
      <c r="P839" s="47" t="n">
        <v>46196.607650463</v>
      </c>
    </row>
    <row r="840" customFormat="false" ht="15" hidden="false" customHeight="false" outlineLevel="0" collapsed="false">
      <c r="A840" s="45" t="n">
        <v>1045</v>
      </c>
      <c r="B840" s="46" t="n">
        <v>46196</v>
      </c>
      <c r="C840" s="45" t="s">
        <v>133</v>
      </c>
      <c r="D840" s="45" t="s">
        <v>134</v>
      </c>
      <c r="E840" s="45" t="s">
        <v>353</v>
      </c>
      <c r="F840" s="45" t="s">
        <v>1862</v>
      </c>
      <c r="G840" s="46" t="n">
        <v>46195</v>
      </c>
      <c r="H840" s="45" t="s">
        <v>167</v>
      </c>
      <c r="I840" s="45" t="s">
        <v>175</v>
      </c>
      <c r="J840" s="45" t="s">
        <v>1864</v>
      </c>
      <c r="K840" s="45" t="n">
        <v>18.8</v>
      </c>
      <c r="L840" s="45" t="s">
        <v>259</v>
      </c>
      <c r="M840" s="45" t="s">
        <v>259</v>
      </c>
      <c r="N840" s="45" t="s">
        <v>167</v>
      </c>
      <c r="O840" s="47" t="n">
        <v>46196.6076851852</v>
      </c>
      <c r="P840" s="47" t="n">
        <v>46196.6207175926</v>
      </c>
    </row>
    <row r="841" customFormat="false" ht="15" hidden="false" customHeight="false" outlineLevel="0" collapsed="false">
      <c r="A841" s="45" t="n">
        <v>1046</v>
      </c>
      <c r="B841" s="46" t="n">
        <v>46196</v>
      </c>
      <c r="C841" s="45" t="s">
        <v>133</v>
      </c>
      <c r="D841" s="45" t="s">
        <v>134</v>
      </c>
      <c r="E841" s="45" t="s">
        <v>219</v>
      </c>
      <c r="F841" s="45" t="s">
        <v>1865</v>
      </c>
      <c r="G841" s="46" t="n">
        <v>46195</v>
      </c>
      <c r="H841" s="45" t="s">
        <v>167</v>
      </c>
      <c r="I841" s="45" t="s">
        <v>175</v>
      </c>
      <c r="J841" s="45" t="s">
        <v>1866</v>
      </c>
      <c r="K841" s="45" t="n">
        <v>12.1</v>
      </c>
      <c r="L841" s="45" t="s">
        <v>259</v>
      </c>
      <c r="M841" s="45" t="s">
        <v>259</v>
      </c>
      <c r="N841" s="45" t="s">
        <v>167</v>
      </c>
      <c r="O841" s="47" t="n">
        <v>46196.6207407407</v>
      </c>
      <c r="P841" s="47" t="n">
        <v>46196.6291319444</v>
      </c>
    </row>
    <row r="842" customFormat="false" ht="15" hidden="false" customHeight="false" outlineLevel="0" collapsed="false">
      <c r="A842" s="45" t="n">
        <v>1047</v>
      </c>
      <c r="B842" s="46" t="n">
        <v>46196</v>
      </c>
      <c r="C842" s="45" t="s">
        <v>133</v>
      </c>
      <c r="D842" s="45" t="s">
        <v>134</v>
      </c>
      <c r="E842" s="45" t="s">
        <v>219</v>
      </c>
      <c r="F842" s="45" t="s">
        <v>1867</v>
      </c>
      <c r="G842" s="46" t="n">
        <v>46195</v>
      </c>
      <c r="H842" s="45" t="s">
        <v>167</v>
      </c>
      <c r="I842" s="45" t="s">
        <v>175</v>
      </c>
      <c r="J842" s="45" t="s">
        <v>1868</v>
      </c>
      <c r="K842" s="45" t="n">
        <v>0.8</v>
      </c>
      <c r="L842" s="45" t="s">
        <v>263</v>
      </c>
      <c r="M842" s="45" t="s">
        <v>259</v>
      </c>
      <c r="N842" s="45" t="s">
        <v>167</v>
      </c>
      <c r="O842" s="47" t="n">
        <v>46196.6292708333</v>
      </c>
      <c r="P842" s="47" t="n">
        <v>46196.6298263889</v>
      </c>
    </row>
    <row r="843" customFormat="false" ht="15" hidden="false" customHeight="false" outlineLevel="0" collapsed="false">
      <c r="A843" s="45" t="n">
        <v>1048</v>
      </c>
      <c r="B843" s="46" t="n">
        <v>46196</v>
      </c>
      <c r="C843" s="45" t="s">
        <v>133</v>
      </c>
      <c r="D843" s="45" t="s">
        <v>134</v>
      </c>
      <c r="E843" s="45" t="s">
        <v>231</v>
      </c>
      <c r="F843" s="45" t="s">
        <v>1865</v>
      </c>
      <c r="G843" s="46" t="n">
        <v>46195</v>
      </c>
      <c r="H843" s="45" t="s">
        <v>167</v>
      </c>
      <c r="I843" s="45" t="s">
        <v>175</v>
      </c>
      <c r="J843" s="45" t="s">
        <v>1869</v>
      </c>
      <c r="K843" s="45" t="n">
        <v>20.2</v>
      </c>
      <c r="L843" s="45" t="s">
        <v>259</v>
      </c>
      <c r="M843" s="45" t="s">
        <v>259</v>
      </c>
      <c r="N843" s="45" t="s">
        <v>167</v>
      </c>
      <c r="O843" s="47" t="n">
        <v>46196.6298726852</v>
      </c>
      <c r="P843" s="47" t="n">
        <v>46196.643912037</v>
      </c>
    </row>
    <row r="844" customFormat="false" ht="15" hidden="false" customHeight="false" outlineLevel="0" collapsed="false">
      <c r="A844" s="45" t="n">
        <v>1049</v>
      </c>
      <c r="B844" s="46" t="n">
        <v>46196</v>
      </c>
      <c r="C844" s="45" t="s">
        <v>133</v>
      </c>
      <c r="D844" s="45" t="s">
        <v>134</v>
      </c>
      <c r="E844" s="45" t="s">
        <v>734</v>
      </c>
      <c r="F844" s="45" t="s">
        <v>1870</v>
      </c>
      <c r="G844" s="46" t="n">
        <v>46195</v>
      </c>
      <c r="H844" s="45" t="s">
        <v>167</v>
      </c>
      <c r="I844" s="45" t="s">
        <v>175</v>
      </c>
      <c r="J844" s="45" t="s">
        <v>1871</v>
      </c>
      <c r="K844" s="45" t="n">
        <v>25.1</v>
      </c>
      <c r="L844" s="45" t="s">
        <v>263</v>
      </c>
      <c r="M844" s="45" t="s">
        <v>259</v>
      </c>
      <c r="N844" s="45" t="s">
        <v>167</v>
      </c>
      <c r="O844" s="47" t="n">
        <v>46196.6439351852</v>
      </c>
      <c r="P844" s="47" t="n">
        <v>46196.6613657407</v>
      </c>
    </row>
    <row r="845" customFormat="false" ht="15" hidden="false" customHeight="false" outlineLevel="0" collapsed="false">
      <c r="A845" s="45" t="n">
        <v>1050</v>
      </c>
      <c r="B845" s="46" t="n">
        <v>46196</v>
      </c>
      <c r="C845" s="45" t="s">
        <v>133</v>
      </c>
      <c r="D845" s="45" t="s">
        <v>134</v>
      </c>
      <c r="E845" s="45" t="s">
        <v>917</v>
      </c>
      <c r="F845" s="45" t="s">
        <v>1872</v>
      </c>
      <c r="G845" s="46" t="n">
        <v>46195</v>
      </c>
      <c r="H845" s="45" t="s">
        <v>167</v>
      </c>
      <c r="I845" s="45" t="s">
        <v>175</v>
      </c>
      <c r="J845" s="45" t="s">
        <v>1873</v>
      </c>
      <c r="K845" s="45" t="n">
        <v>19.9</v>
      </c>
      <c r="L845" s="45" t="s">
        <v>263</v>
      </c>
      <c r="M845" s="45" t="s">
        <v>259</v>
      </c>
      <c r="N845" s="45" t="s">
        <v>167</v>
      </c>
      <c r="O845" s="47" t="n">
        <v>46196.6613888889</v>
      </c>
      <c r="P845" s="47" t="n">
        <v>46196.6751736111</v>
      </c>
    </row>
    <row r="846" customFormat="false" ht="15" hidden="false" customHeight="false" outlineLevel="0" collapsed="false">
      <c r="A846" s="45" t="n">
        <v>1051</v>
      </c>
      <c r="B846" s="46" t="n">
        <v>46196</v>
      </c>
      <c r="C846" s="45" t="s">
        <v>133</v>
      </c>
      <c r="D846" s="45" t="s">
        <v>134</v>
      </c>
      <c r="E846" s="45" t="s">
        <v>734</v>
      </c>
      <c r="F846" s="45" t="s">
        <v>1874</v>
      </c>
      <c r="G846" s="46" t="n">
        <v>46195</v>
      </c>
      <c r="H846" s="45" t="s">
        <v>167</v>
      </c>
      <c r="I846" s="45" t="s">
        <v>175</v>
      </c>
      <c r="J846" s="45" t="s">
        <v>1875</v>
      </c>
      <c r="K846" s="45" t="n">
        <v>0.6</v>
      </c>
      <c r="L846" s="45" t="s">
        <v>263</v>
      </c>
      <c r="M846" s="45" t="s">
        <v>259</v>
      </c>
      <c r="N846" s="45" t="s">
        <v>167</v>
      </c>
      <c r="O846" s="47" t="n">
        <v>46196.6788657407</v>
      </c>
      <c r="P846" s="47" t="n">
        <v>46196.6792708333</v>
      </c>
    </row>
    <row r="847" customFormat="false" ht="15" hidden="false" customHeight="false" outlineLevel="0" collapsed="false">
      <c r="A847" s="45" t="n">
        <v>1052</v>
      </c>
      <c r="B847" s="46" t="n">
        <v>46196</v>
      </c>
      <c r="C847" s="45" t="s">
        <v>135</v>
      </c>
      <c r="D847" s="45" t="s">
        <v>136</v>
      </c>
      <c r="E847" s="45" t="s">
        <v>226</v>
      </c>
      <c r="F847" s="45" t="s">
        <v>1876</v>
      </c>
      <c r="G847" s="46" t="n">
        <v>46195</v>
      </c>
      <c r="H847" s="45" t="s">
        <v>167</v>
      </c>
      <c r="I847" s="45" t="s">
        <v>175</v>
      </c>
      <c r="J847" s="45" t="s">
        <v>1877</v>
      </c>
      <c r="K847" s="45" t="n">
        <v>9.2</v>
      </c>
      <c r="L847" s="45" t="s">
        <v>263</v>
      </c>
      <c r="M847" s="45" t="s">
        <v>259</v>
      </c>
      <c r="N847" s="45" t="s">
        <v>167</v>
      </c>
      <c r="O847" s="47" t="n">
        <v>46196.7801736111</v>
      </c>
      <c r="P847" s="47" t="n">
        <v>46196.7865972222</v>
      </c>
    </row>
    <row r="848" customFormat="false" ht="15" hidden="false" customHeight="false" outlineLevel="0" collapsed="false">
      <c r="A848" s="45" t="n">
        <v>1053</v>
      </c>
      <c r="B848" s="46" t="n">
        <v>46196</v>
      </c>
      <c r="C848" s="45" t="s">
        <v>135</v>
      </c>
      <c r="D848" s="45" t="s">
        <v>136</v>
      </c>
      <c r="E848" s="45" t="s">
        <v>218</v>
      </c>
      <c r="F848" s="45" t="s">
        <v>1878</v>
      </c>
      <c r="G848" s="46" t="n">
        <v>46196</v>
      </c>
      <c r="H848" s="45" t="s">
        <v>167</v>
      </c>
      <c r="I848" s="45" t="s">
        <v>175</v>
      </c>
      <c r="J848" s="45" t="s">
        <v>1879</v>
      </c>
      <c r="K848" s="45" t="n">
        <v>45.8</v>
      </c>
      <c r="L848" s="45" t="s">
        <v>263</v>
      </c>
      <c r="M848" s="45" t="s">
        <v>259</v>
      </c>
      <c r="N848" s="45" t="s">
        <v>167</v>
      </c>
      <c r="O848" s="47" t="n">
        <v>46196.7866782407</v>
      </c>
      <c r="P848" s="47" t="n">
        <v>46196.8184490741</v>
      </c>
    </row>
    <row r="849" customFormat="false" ht="15" hidden="false" customHeight="false" outlineLevel="0" collapsed="false">
      <c r="A849" s="45" t="n">
        <v>1054</v>
      </c>
      <c r="B849" s="46" t="n">
        <v>46197</v>
      </c>
      <c r="C849" s="45" t="s">
        <v>143</v>
      </c>
      <c r="D849" s="45" t="s">
        <v>144</v>
      </c>
      <c r="E849" s="45" t="s">
        <v>223</v>
      </c>
      <c r="F849" s="45" t="s">
        <v>1880</v>
      </c>
      <c r="G849" s="46" t="n">
        <v>46195</v>
      </c>
      <c r="H849" s="45" t="s">
        <v>169</v>
      </c>
      <c r="I849" s="45"/>
      <c r="J849" s="45"/>
      <c r="K849" s="45" t="n">
        <v>9.2</v>
      </c>
      <c r="L849" s="45" t="s">
        <v>263</v>
      </c>
      <c r="M849" s="45" t="s">
        <v>259</v>
      </c>
      <c r="N849" s="45" t="s">
        <v>169</v>
      </c>
      <c r="O849" s="47" t="n">
        <v>46197.0246875</v>
      </c>
      <c r="P849" s="47" t="n">
        <v>46197.031099537</v>
      </c>
    </row>
    <row r="850" customFormat="false" ht="15" hidden="false" customHeight="false" outlineLevel="0" collapsed="false">
      <c r="A850" s="45" t="n">
        <v>1055</v>
      </c>
      <c r="B850" s="46" t="n">
        <v>46197</v>
      </c>
      <c r="C850" s="45" t="s">
        <v>143</v>
      </c>
      <c r="D850" s="45" t="s">
        <v>144</v>
      </c>
      <c r="E850" s="45" t="s">
        <v>564</v>
      </c>
      <c r="F850" s="45" t="s">
        <v>1881</v>
      </c>
      <c r="G850" s="46" t="n">
        <v>46195</v>
      </c>
      <c r="H850" s="45" t="s">
        <v>167</v>
      </c>
      <c r="I850" s="45" t="s">
        <v>175</v>
      </c>
      <c r="J850" s="45" t="s">
        <v>1882</v>
      </c>
      <c r="K850" s="45" t="n">
        <v>6.2</v>
      </c>
      <c r="L850" s="45" t="s">
        <v>263</v>
      </c>
      <c r="M850" s="45" t="s">
        <v>259</v>
      </c>
      <c r="N850" s="45" t="s">
        <v>167</v>
      </c>
      <c r="O850" s="47" t="n">
        <v>46197.0311342593</v>
      </c>
      <c r="P850" s="47" t="n">
        <v>46197.0354166667</v>
      </c>
    </row>
    <row r="851" customFormat="false" ht="15" hidden="false" customHeight="false" outlineLevel="0" collapsed="false">
      <c r="A851" s="45" t="n">
        <v>1056</v>
      </c>
      <c r="B851" s="46" t="n">
        <v>46197</v>
      </c>
      <c r="C851" s="45" t="s">
        <v>143</v>
      </c>
      <c r="D851" s="45" t="s">
        <v>144</v>
      </c>
      <c r="E851" s="45" t="s">
        <v>228</v>
      </c>
      <c r="F851" s="45" t="s">
        <v>1883</v>
      </c>
      <c r="G851" s="46" t="n">
        <v>46195</v>
      </c>
      <c r="H851" s="45" t="s">
        <v>167</v>
      </c>
      <c r="I851" s="45" t="s">
        <v>175</v>
      </c>
      <c r="J851" s="45" t="s">
        <v>1884</v>
      </c>
      <c r="K851" s="45" t="n">
        <v>9.4</v>
      </c>
      <c r="L851" s="45" t="s">
        <v>263</v>
      </c>
      <c r="M851" s="45" t="s">
        <v>259</v>
      </c>
      <c r="N851" s="45" t="s">
        <v>167</v>
      </c>
      <c r="O851" s="47" t="n">
        <v>46197.0354398148</v>
      </c>
      <c r="P851" s="47" t="n">
        <v>46197.0419791667</v>
      </c>
    </row>
    <row r="852" customFormat="false" ht="15" hidden="false" customHeight="false" outlineLevel="0" collapsed="false">
      <c r="A852" s="45" t="n">
        <v>1057</v>
      </c>
      <c r="B852" s="46" t="n">
        <v>46198</v>
      </c>
      <c r="C852" s="45" t="s">
        <v>143</v>
      </c>
      <c r="D852" s="45" t="s">
        <v>144</v>
      </c>
      <c r="E852" s="45" t="s">
        <v>224</v>
      </c>
      <c r="F852" s="45" t="s">
        <v>1885</v>
      </c>
      <c r="G852" s="46" t="n">
        <v>46196</v>
      </c>
      <c r="H852" s="45" t="s">
        <v>167</v>
      </c>
      <c r="I852" s="45" t="s">
        <v>175</v>
      </c>
      <c r="J852" s="45" t="s">
        <v>1886</v>
      </c>
      <c r="K852" s="45" t="n">
        <v>5.7</v>
      </c>
      <c r="L852" s="45" t="s">
        <v>263</v>
      </c>
      <c r="M852" s="45" t="s">
        <v>259</v>
      </c>
      <c r="N852" s="45" t="s">
        <v>167</v>
      </c>
      <c r="O852" s="47" t="n">
        <v>46198.0157175926</v>
      </c>
      <c r="P852" s="47" t="n">
        <v>46198.0196759259</v>
      </c>
    </row>
    <row r="853" customFormat="false" ht="15" hidden="false" customHeight="false" outlineLevel="0" collapsed="false">
      <c r="A853" s="45" t="n">
        <v>1064</v>
      </c>
      <c r="B853" s="46" t="n">
        <v>46198</v>
      </c>
      <c r="C853" s="45" t="s">
        <v>143</v>
      </c>
      <c r="D853" s="45" t="s">
        <v>144</v>
      </c>
      <c r="E853" s="45" t="s">
        <v>1613</v>
      </c>
      <c r="F853" s="45" t="s">
        <v>1887</v>
      </c>
      <c r="G853" s="46" t="n">
        <v>46197</v>
      </c>
      <c r="H853" s="45" t="s">
        <v>167</v>
      </c>
      <c r="I853" s="45" t="s">
        <v>175</v>
      </c>
      <c r="J853" s="45" t="s">
        <v>1888</v>
      </c>
      <c r="K853" s="45" t="n">
        <v>1470.4</v>
      </c>
      <c r="L853" s="45" t="s">
        <v>263</v>
      </c>
      <c r="M853" s="45" t="s">
        <v>259</v>
      </c>
      <c r="N853" s="45" t="s">
        <v>167</v>
      </c>
      <c r="O853" s="47" t="n">
        <v>46198.0202083333</v>
      </c>
      <c r="P853" s="47" t="n">
        <v>46199.0413310185</v>
      </c>
    </row>
    <row r="854" customFormat="false" ht="15" hidden="false" customHeight="false" outlineLevel="0" collapsed="false">
      <c r="A854" s="45" t="n">
        <v>1058</v>
      </c>
      <c r="B854" s="46" t="n">
        <v>46198</v>
      </c>
      <c r="C854" s="45" t="s">
        <v>135</v>
      </c>
      <c r="D854" s="45" t="s">
        <v>136</v>
      </c>
      <c r="E854" s="45" t="s">
        <v>238</v>
      </c>
      <c r="F854" s="45" t="s">
        <v>1889</v>
      </c>
      <c r="G854" s="46" t="n">
        <v>46196</v>
      </c>
      <c r="H854" s="45" t="s">
        <v>167</v>
      </c>
      <c r="I854" s="45" t="s">
        <v>175</v>
      </c>
      <c r="J854" s="45" t="s">
        <v>1890</v>
      </c>
      <c r="K854" s="45" t="n">
        <v>2.2</v>
      </c>
      <c r="L854" s="45" t="s">
        <v>263</v>
      </c>
      <c r="M854" s="45" t="s">
        <v>259</v>
      </c>
      <c r="N854" s="45" t="s">
        <v>167</v>
      </c>
      <c r="O854" s="47" t="n">
        <v>46198.0748842593</v>
      </c>
      <c r="P854" s="47" t="n">
        <v>46198.0763888889</v>
      </c>
    </row>
    <row r="855" customFormat="false" ht="15" hidden="false" customHeight="false" outlineLevel="0" collapsed="false">
      <c r="A855" s="45" t="n">
        <v>1059</v>
      </c>
      <c r="B855" s="46" t="n">
        <v>46198</v>
      </c>
      <c r="C855" s="45" t="s">
        <v>135</v>
      </c>
      <c r="D855" s="45" t="s">
        <v>136</v>
      </c>
      <c r="E855" s="45" t="s">
        <v>1833</v>
      </c>
      <c r="F855" s="45" t="s">
        <v>1891</v>
      </c>
      <c r="G855" s="46" t="n">
        <v>46196</v>
      </c>
      <c r="H855" s="45" t="s">
        <v>167</v>
      </c>
      <c r="I855" s="45" t="s">
        <v>175</v>
      </c>
      <c r="J855" s="45" t="s">
        <v>1892</v>
      </c>
      <c r="K855" s="45" t="n">
        <v>0</v>
      </c>
      <c r="L855" s="45" t="s">
        <v>263</v>
      </c>
      <c r="M855" s="45" t="s">
        <v>259</v>
      </c>
      <c r="N855" s="45" t="s">
        <v>167</v>
      </c>
      <c r="O855" s="47" t="n">
        <v>46198.0844097222</v>
      </c>
      <c r="P855" s="47" t="n">
        <v>46198.0844328704</v>
      </c>
    </row>
    <row r="856" customFormat="false" ht="15" hidden="false" customHeight="false" outlineLevel="0" collapsed="false">
      <c r="A856" s="45" t="n">
        <v>1060</v>
      </c>
      <c r="B856" s="46" t="n">
        <v>46198</v>
      </c>
      <c r="C856" s="45" t="s">
        <v>135</v>
      </c>
      <c r="D856" s="45" t="s">
        <v>136</v>
      </c>
      <c r="E856" s="45" t="s">
        <v>1893</v>
      </c>
      <c r="F856" s="45" t="s">
        <v>226</v>
      </c>
      <c r="G856" s="46" t="n">
        <v>46196</v>
      </c>
      <c r="H856" s="45" t="s">
        <v>170</v>
      </c>
      <c r="I856" s="45" t="s">
        <v>206</v>
      </c>
      <c r="J856" s="45" t="s">
        <v>1894</v>
      </c>
      <c r="K856" s="45" t="n">
        <v>2.3</v>
      </c>
      <c r="L856" s="45" t="s">
        <v>263</v>
      </c>
      <c r="M856" s="45" t="s">
        <v>263</v>
      </c>
      <c r="N856" s="45" t="s">
        <v>478</v>
      </c>
      <c r="O856" s="47" t="n">
        <v>46198.0864930556</v>
      </c>
      <c r="P856" s="47" t="n">
        <v>46198.0881018519</v>
      </c>
    </row>
    <row r="857" customFormat="false" ht="15" hidden="false" customHeight="false" outlineLevel="0" collapsed="false">
      <c r="A857" s="45" t="n">
        <v>1061</v>
      </c>
      <c r="B857" s="46" t="n">
        <v>46198</v>
      </c>
      <c r="C857" s="45" t="s">
        <v>135</v>
      </c>
      <c r="D857" s="45" t="s">
        <v>136</v>
      </c>
      <c r="E857" s="45" t="s">
        <v>218</v>
      </c>
      <c r="F857" s="45" t="s">
        <v>1895</v>
      </c>
      <c r="G857" s="46" t="n">
        <v>46196</v>
      </c>
      <c r="H857" s="45" t="s">
        <v>169</v>
      </c>
      <c r="I857" s="45"/>
      <c r="J857" s="45"/>
      <c r="K857" s="45" t="n">
        <v>1.4</v>
      </c>
      <c r="L857" s="45" t="s">
        <v>263</v>
      </c>
      <c r="M857" s="45" t="s">
        <v>259</v>
      </c>
      <c r="N857" s="45" t="s">
        <v>169</v>
      </c>
      <c r="O857" s="47" t="n">
        <v>46198.0881828704</v>
      </c>
      <c r="P857" s="47" t="n">
        <v>46198.0891782407</v>
      </c>
    </row>
    <row r="858" customFormat="false" ht="15" hidden="false" customHeight="false" outlineLevel="0" collapsed="false">
      <c r="A858" s="45" t="n">
        <v>1081</v>
      </c>
      <c r="B858" s="46" t="n">
        <v>46198</v>
      </c>
      <c r="C858" s="45" t="s">
        <v>135</v>
      </c>
      <c r="D858" s="45" t="s">
        <v>136</v>
      </c>
      <c r="E858" s="45" t="s">
        <v>819</v>
      </c>
      <c r="F858" s="45" t="s">
        <v>1896</v>
      </c>
      <c r="G858" s="46" t="n">
        <v>46199</v>
      </c>
      <c r="H858" s="45" t="s">
        <v>170</v>
      </c>
      <c r="I858" s="45" t="s">
        <v>206</v>
      </c>
      <c r="J858" s="45" t="s">
        <v>1897</v>
      </c>
      <c r="K858" s="45" t="n">
        <v>7445</v>
      </c>
      <c r="L858" s="45" t="s">
        <v>263</v>
      </c>
      <c r="M858" s="45" t="s">
        <v>259</v>
      </c>
      <c r="N858" s="45" t="s">
        <v>478</v>
      </c>
      <c r="O858" s="47" t="n">
        <v>46198.6781828704</v>
      </c>
      <c r="P858" s="47" t="n">
        <v>46203.8483449074</v>
      </c>
    </row>
    <row r="859" customFormat="false" ht="15" hidden="false" customHeight="false" outlineLevel="0" collapsed="false">
      <c r="A859" s="45" t="n">
        <v>1062</v>
      </c>
      <c r="B859" s="46" t="n">
        <v>46198</v>
      </c>
      <c r="C859" s="45" t="s">
        <v>141</v>
      </c>
      <c r="D859" s="45" t="s">
        <v>142</v>
      </c>
      <c r="E859" s="45" t="s">
        <v>1623</v>
      </c>
      <c r="F859" s="45" t="s">
        <v>1898</v>
      </c>
      <c r="G859" s="46" t="n">
        <v>46185</v>
      </c>
      <c r="H859" s="45" t="s">
        <v>167</v>
      </c>
      <c r="I859" s="45" t="s">
        <v>175</v>
      </c>
      <c r="J859" s="45" t="s">
        <v>1899</v>
      </c>
      <c r="K859" s="45" t="n">
        <v>0.7</v>
      </c>
      <c r="L859" s="45" t="s">
        <v>263</v>
      </c>
      <c r="M859" s="45" t="s">
        <v>259</v>
      </c>
      <c r="N859" s="45" t="s">
        <v>167</v>
      </c>
      <c r="O859" s="47" t="n">
        <v>46198.8140277778</v>
      </c>
      <c r="P859" s="47" t="n">
        <v>46198.8144907407</v>
      </c>
    </row>
    <row r="860" customFormat="false" ht="15" hidden="false" customHeight="false" outlineLevel="0" collapsed="false">
      <c r="A860" s="45" t="n">
        <v>1063</v>
      </c>
      <c r="B860" s="46" t="n">
        <v>46198</v>
      </c>
      <c r="C860" s="45" t="s">
        <v>141</v>
      </c>
      <c r="D860" s="45" t="s">
        <v>142</v>
      </c>
      <c r="E860" s="45" t="s">
        <v>256</v>
      </c>
      <c r="F860" s="45" t="s">
        <v>1900</v>
      </c>
      <c r="G860" s="46" t="n">
        <v>46195</v>
      </c>
      <c r="H860" s="45" t="s">
        <v>57</v>
      </c>
      <c r="I860" s="45" t="s">
        <v>203</v>
      </c>
      <c r="J860" s="45" t="s">
        <v>1901</v>
      </c>
      <c r="K860" s="45" t="n">
        <v>0.7</v>
      </c>
      <c r="L860" s="45" t="s">
        <v>263</v>
      </c>
      <c r="M860" s="45" t="s">
        <v>259</v>
      </c>
      <c r="N860" s="45" t="s">
        <v>57</v>
      </c>
      <c r="O860" s="47" t="n">
        <v>46198.9068981482</v>
      </c>
      <c r="P860" s="47" t="n">
        <v>46198.9073611111</v>
      </c>
    </row>
    <row r="861" customFormat="false" ht="15" hidden="false" customHeight="false" outlineLevel="0" collapsed="false">
      <c r="A861" s="45" t="n">
        <v>1065</v>
      </c>
      <c r="B861" s="46" t="n">
        <v>46199</v>
      </c>
      <c r="C861" s="45" t="s">
        <v>143</v>
      </c>
      <c r="D861" s="45" t="s">
        <v>144</v>
      </c>
      <c r="E861" s="45" t="s">
        <v>669</v>
      </c>
      <c r="F861" s="45" t="s">
        <v>1902</v>
      </c>
      <c r="G861" s="46" t="n">
        <v>46197</v>
      </c>
      <c r="H861" s="45" t="s">
        <v>167</v>
      </c>
      <c r="I861" s="45" t="s">
        <v>175</v>
      </c>
      <c r="J861" s="45" t="s">
        <v>1903</v>
      </c>
      <c r="K861" s="45" t="n">
        <v>42.2</v>
      </c>
      <c r="L861" s="45" t="s">
        <v>263</v>
      </c>
      <c r="M861" s="45" t="s">
        <v>259</v>
      </c>
      <c r="N861" s="45" t="s">
        <v>167</v>
      </c>
      <c r="O861" s="47" t="n">
        <v>46199.0413657407</v>
      </c>
      <c r="P861" s="47" t="n">
        <v>46199.0706597222</v>
      </c>
    </row>
    <row r="862" customFormat="false" ht="15" hidden="false" customHeight="false" outlineLevel="0" collapsed="false">
      <c r="A862" s="45" t="n">
        <v>1066</v>
      </c>
      <c r="B862" s="46" t="n">
        <v>46199</v>
      </c>
      <c r="C862" s="45" t="s">
        <v>143</v>
      </c>
      <c r="D862" s="45" t="s">
        <v>144</v>
      </c>
      <c r="E862" s="45" t="s">
        <v>1613</v>
      </c>
      <c r="F862" s="45" t="s">
        <v>1904</v>
      </c>
      <c r="G862" s="46" t="n">
        <v>46198</v>
      </c>
      <c r="H862" s="45" t="s">
        <v>167</v>
      </c>
      <c r="I862" s="45" t="s">
        <v>175</v>
      </c>
      <c r="J862" s="45" t="s">
        <v>1905</v>
      </c>
      <c r="K862" s="45" t="n">
        <v>1374.4</v>
      </c>
      <c r="L862" s="45" t="s">
        <v>263</v>
      </c>
      <c r="M862" s="45" t="s">
        <v>259</v>
      </c>
      <c r="N862" s="45" t="s">
        <v>167</v>
      </c>
      <c r="O862" s="47" t="n">
        <v>46199.0706828704</v>
      </c>
      <c r="P862" s="47" t="n">
        <v>46200.0251388889</v>
      </c>
    </row>
    <row r="863" customFormat="false" ht="15" hidden="false" customHeight="false" outlineLevel="0" collapsed="false">
      <c r="A863" s="45" t="n">
        <v>1067</v>
      </c>
      <c r="B863" s="46" t="n">
        <v>46200</v>
      </c>
      <c r="C863" s="45" t="s">
        <v>143</v>
      </c>
      <c r="D863" s="45" t="s">
        <v>144</v>
      </c>
      <c r="E863" s="45" t="s">
        <v>228</v>
      </c>
      <c r="F863" s="45" t="s">
        <v>1906</v>
      </c>
      <c r="G863" s="46" t="n">
        <v>46198</v>
      </c>
      <c r="H863" s="45" t="s">
        <v>167</v>
      </c>
      <c r="I863" s="45" t="s">
        <v>175</v>
      </c>
      <c r="J863" s="45" t="s">
        <v>1907</v>
      </c>
      <c r="K863" s="45" t="n">
        <v>3</v>
      </c>
      <c r="L863" s="45" t="s">
        <v>263</v>
      </c>
      <c r="M863" s="45" t="s">
        <v>259</v>
      </c>
      <c r="N863" s="45" t="s">
        <v>167</v>
      </c>
      <c r="O863" s="47" t="n">
        <v>46200.0251736111</v>
      </c>
      <c r="P863" s="47" t="n">
        <v>46200.0272453704</v>
      </c>
    </row>
    <row r="864" customFormat="false" ht="15" hidden="false" customHeight="false" outlineLevel="0" collapsed="false">
      <c r="A864" s="45" t="n">
        <v>1068</v>
      </c>
      <c r="B864" s="46" t="n">
        <v>46200</v>
      </c>
      <c r="C864" s="45" t="s">
        <v>143</v>
      </c>
      <c r="D864" s="45" t="s">
        <v>144</v>
      </c>
      <c r="E864" s="45" t="s">
        <v>228</v>
      </c>
      <c r="F864" s="45" t="s">
        <v>1908</v>
      </c>
      <c r="G864" s="46" t="n">
        <v>46198</v>
      </c>
      <c r="H864" s="45" t="s">
        <v>167</v>
      </c>
      <c r="I864" s="45" t="s">
        <v>175</v>
      </c>
      <c r="J864" s="45" t="s">
        <v>1909</v>
      </c>
      <c r="K864" s="45" t="n">
        <v>19.3</v>
      </c>
      <c r="L864" s="45" t="s">
        <v>263</v>
      </c>
      <c r="M864" s="45" t="s">
        <v>259</v>
      </c>
      <c r="N864" s="45" t="s">
        <v>167</v>
      </c>
      <c r="O864" s="47" t="n">
        <v>46200.0272685185</v>
      </c>
      <c r="P864" s="47" t="n">
        <v>46200.0406597222</v>
      </c>
    </row>
    <row r="865" customFormat="false" ht="15" hidden="false" customHeight="false" outlineLevel="0" collapsed="false">
      <c r="A865" s="45" t="n">
        <v>1069</v>
      </c>
      <c r="B865" s="46" t="n">
        <v>46200</v>
      </c>
      <c r="C865" s="45" t="s">
        <v>143</v>
      </c>
      <c r="D865" s="45" t="s">
        <v>144</v>
      </c>
      <c r="E865" s="45" t="s">
        <v>232</v>
      </c>
      <c r="F865" s="45" t="s">
        <v>1910</v>
      </c>
      <c r="G865" s="46" t="n">
        <v>46198</v>
      </c>
      <c r="H865" s="45" t="s">
        <v>167</v>
      </c>
      <c r="I865" s="45" t="s">
        <v>175</v>
      </c>
      <c r="J865" s="45" t="s">
        <v>1911</v>
      </c>
      <c r="K865" s="45" t="n">
        <v>14.1</v>
      </c>
      <c r="L865" s="45" t="s">
        <v>263</v>
      </c>
      <c r="M865" s="45" t="s">
        <v>259</v>
      </c>
      <c r="N865" s="45" t="s">
        <v>167</v>
      </c>
      <c r="O865" s="47" t="n">
        <v>46200.0406828704</v>
      </c>
      <c r="P865" s="47" t="n">
        <v>46200.0504513889</v>
      </c>
    </row>
    <row r="866" customFormat="false" ht="15" hidden="false" customHeight="false" outlineLevel="0" collapsed="false">
      <c r="A866" s="45" t="n">
        <v>1070</v>
      </c>
      <c r="B866" s="46" t="n">
        <v>46200</v>
      </c>
      <c r="C866" s="45" t="s">
        <v>143</v>
      </c>
      <c r="D866" s="45" t="s">
        <v>144</v>
      </c>
      <c r="E866" s="45" t="s">
        <v>223</v>
      </c>
      <c r="F866" s="45" t="s">
        <v>1912</v>
      </c>
      <c r="G866" s="46" t="n">
        <v>46198</v>
      </c>
      <c r="H866" s="45" t="s">
        <v>167</v>
      </c>
      <c r="I866" s="45" t="s">
        <v>175</v>
      </c>
      <c r="J866" s="45" t="s">
        <v>1913</v>
      </c>
      <c r="K866" s="45" t="n">
        <v>2.4</v>
      </c>
      <c r="L866" s="45" t="s">
        <v>263</v>
      </c>
      <c r="M866" s="45" t="s">
        <v>259</v>
      </c>
      <c r="N866" s="45" t="s">
        <v>167</v>
      </c>
      <c r="O866" s="47" t="n">
        <v>46200.0539699074</v>
      </c>
      <c r="P866" s="47" t="n">
        <v>46200.0556481482</v>
      </c>
    </row>
    <row r="867" customFormat="false" ht="15" hidden="false" customHeight="false" outlineLevel="0" collapsed="false">
      <c r="A867" s="45" t="n">
        <v>1071</v>
      </c>
      <c r="B867" s="46" t="n">
        <v>46202</v>
      </c>
      <c r="C867" s="45" t="s">
        <v>141</v>
      </c>
      <c r="D867" s="45" t="s">
        <v>142</v>
      </c>
      <c r="E867" s="45" t="s">
        <v>1697</v>
      </c>
      <c r="F867" s="45" t="s">
        <v>1914</v>
      </c>
      <c r="G867" s="46" t="n">
        <v>46195</v>
      </c>
      <c r="H867" s="45" t="s">
        <v>167</v>
      </c>
      <c r="I867" s="45" t="s">
        <v>176</v>
      </c>
      <c r="J867" s="45" t="s">
        <v>1915</v>
      </c>
      <c r="K867" s="45" t="n">
        <v>2.9</v>
      </c>
      <c r="L867" s="45" t="s">
        <v>263</v>
      </c>
      <c r="M867" s="45" t="s">
        <v>259</v>
      </c>
      <c r="N867" s="45" t="s">
        <v>167</v>
      </c>
      <c r="O867" s="47" t="n">
        <v>46202.691875</v>
      </c>
      <c r="P867" s="47" t="n">
        <v>46202.6938773148</v>
      </c>
    </row>
    <row r="868" customFormat="false" ht="15" hidden="false" customHeight="false" outlineLevel="0" collapsed="false">
      <c r="A868" s="45" t="n">
        <v>1072</v>
      </c>
      <c r="B868" s="46" t="n">
        <v>46202</v>
      </c>
      <c r="C868" s="45" t="s">
        <v>141</v>
      </c>
      <c r="D868" s="45" t="s">
        <v>142</v>
      </c>
      <c r="E868" s="45" t="s">
        <v>1027</v>
      </c>
      <c r="F868" s="45" t="s">
        <v>1916</v>
      </c>
      <c r="G868" s="46" t="n">
        <v>46196</v>
      </c>
      <c r="H868" s="45" t="s">
        <v>169</v>
      </c>
      <c r="I868" s="45"/>
      <c r="J868" s="45"/>
      <c r="K868" s="45" t="n">
        <v>0.9</v>
      </c>
      <c r="L868" s="45" t="s">
        <v>263</v>
      </c>
      <c r="M868" s="45" t="s">
        <v>259</v>
      </c>
      <c r="N868" s="45" t="s">
        <v>169</v>
      </c>
      <c r="O868" s="47" t="n">
        <v>46202.6939467593</v>
      </c>
      <c r="P868" s="47" t="n">
        <v>46202.6946064815</v>
      </c>
    </row>
    <row r="869" customFormat="false" ht="15" hidden="false" customHeight="false" outlineLevel="0" collapsed="false">
      <c r="A869" s="45" t="n">
        <v>1073</v>
      </c>
      <c r="B869" s="46" t="n">
        <v>46202</v>
      </c>
      <c r="C869" s="45" t="s">
        <v>141</v>
      </c>
      <c r="D869" s="45" t="s">
        <v>142</v>
      </c>
      <c r="E869" s="45" t="s">
        <v>683</v>
      </c>
      <c r="F869" s="45" t="s">
        <v>1917</v>
      </c>
      <c r="G869" s="46" t="n">
        <v>46196</v>
      </c>
      <c r="H869" s="45" t="s">
        <v>167</v>
      </c>
      <c r="I869" s="45" t="s">
        <v>175</v>
      </c>
      <c r="J869" s="45" t="s">
        <v>1918</v>
      </c>
      <c r="K869" s="45" t="n">
        <v>21.9</v>
      </c>
      <c r="L869" s="45" t="s">
        <v>263</v>
      </c>
      <c r="M869" s="45" t="s">
        <v>259</v>
      </c>
      <c r="N869" s="45" t="s">
        <v>167</v>
      </c>
      <c r="O869" s="47" t="n">
        <v>46202.6946412037</v>
      </c>
      <c r="P869" s="47" t="n">
        <v>46202.7098842593</v>
      </c>
    </row>
    <row r="870" customFormat="false" ht="15" hidden="false" customHeight="false" outlineLevel="0" collapsed="false">
      <c r="A870" s="45" t="n">
        <v>1074</v>
      </c>
      <c r="B870" s="46" t="n">
        <v>46202</v>
      </c>
      <c r="C870" s="45" t="s">
        <v>143</v>
      </c>
      <c r="D870" s="45" t="s">
        <v>144</v>
      </c>
      <c r="E870" s="45" t="s">
        <v>224</v>
      </c>
      <c r="F870" s="45" t="s">
        <v>1919</v>
      </c>
      <c r="G870" s="46" t="n">
        <v>46199</v>
      </c>
      <c r="H870" s="45" t="s">
        <v>167</v>
      </c>
      <c r="I870" s="45" t="s">
        <v>175</v>
      </c>
      <c r="J870" s="45" t="s">
        <v>1920</v>
      </c>
      <c r="K870" s="45" t="n">
        <v>373.4</v>
      </c>
      <c r="L870" s="45" t="s">
        <v>263</v>
      </c>
      <c r="M870" s="45" t="s">
        <v>259</v>
      </c>
      <c r="N870" s="45" t="s">
        <v>167</v>
      </c>
      <c r="O870" s="47" t="n">
        <v>46202.7526967593</v>
      </c>
      <c r="P870" s="47" t="n">
        <v>46203.0119907407</v>
      </c>
    </row>
    <row r="871" customFormat="false" ht="15" hidden="false" customHeight="false" outlineLevel="0" collapsed="false">
      <c r="A871" s="45" t="n">
        <v>1080</v>
      </c>
      <c r="B871" s="46" t="n">
        <v>46202</v>
      </c>
      <c r="C871" s="45" t="s">
        <v>141</v>
      </c>
      <c r="D871" s="45" t="s">
        <v>142</v>
      </c>
      <c r="E871" s="45" t="s">
        <v>1623</v>
      </c>
      <c r="F871" s="45" t="s">
        <v>1921</v>
      </c>
      <c r="G871" s="46" t="n">
        <v>46198</v>
      </c>
      <c r="H871" s="45" t="s">
        <v>168</v>
      </c>
      <c r="I871" s="45" t="s">
        <v>192</v>
      </c>
      <c r="J871" s="45" t="s">
        <v>1922</v>
      </c>
      <c r="K871" s="45" t="n">
        <v>1387.6</v>
      </c>
      <c r="L871" s="45" t="s">
        <v>263</v>
      </c>
      <c r="M871" s="45" t="s">
        <v>259</v>
      </c>
      <c r="N871" s="45" t="s">
        <v>264</v>
      </c>
      <c r="O871" s="47" t="n">
        <v>46202.8406944444</v>
      </c>
      <c r="P871" s="47" t="n">
        <v>46203.8042939815</v>
      </c>
    </row>
    <row r="872" customFormat="false" ht="15" hidden="false" customHeight="false" outlineLevel="0" collapsed="false">
      <c r="A872" s="45" t="n">
        <v>1075</v>
      </c>
      <c r="B872" s="46" t="n">
        <v>46203</v>
      </c>
      <c r="C872" s="45" t="s">
        <v>143</v>
      </c>
      <c r="D872" s="45" t="s">
        <v>144</v>
      </c>
      <c r="E872" s="45" t="s">
        <v>220</v>
      </c>
      <c r="F872" s="45" t="s">
        <v>1923</v>
      </c>
      <c r="G872" s="46" t="n">
        <v>46199</v>
      </c>
      <c r="H872" s="45" t="s">
        <v>167</v>
      </c>
      <c r="I872" s="45" t="s">
        <v>175</v>
      </c>
      <c r="J872" s="45" t="s">
        <v>1924</v>
      </c>
      <c r="K872" s="45" t="n">
        <v>23.2</v>
      </c>
      <c r="L872" s="45" t="s">
        <v>263</v>
      </c>
      <c r="M872" s="45" t="s">
        <v>259</v>
      </c>
      <c r="N872" s="45" t="s">
        <v>167</v>
      </c>
      <c r="O872" s="47" t="n">
        <v>46203.012025463</v>
      </c>
      <c r="P872" s="47" t="n">
        <v>46203.0281712963</v>
      </c>
    </row>
    <row r="873" customFormat="false" ht="15" hidden="false" customHeight="false" outlineLevel="0" collapsed="false">
      <c r="A873" s="45" t="n">
        <v>1076</v>
      </c>
      <c r="B873" s="46" t="n">
        <v>46203</v>
      </c>
      <c r="C873" s="45" t="s">
        <v>143</v>
      </c>
      <c r="D873" s="45" t="s">
        <v>144</v>
      </c>
      <c r="E873" s="45" t="s">
        <v>223</v>
      </c>
      <c r="F873" s="45" t="s">
        <v>1925</v>
      </c>
      <c r="G873" s="46" t="n">
        <v>46199</v>
      </c>
      <c r="H873" s="45" t="s">
        <v>167</v>
      </c>
      <c r="I873" s="45" t="s">
        <v>175</v>
      </c>
      <c r="J873" s="45" t="s">
        <v>1926</v>
      </c>
      <c r="K873" s="45" t="n">
        <v>4.3</v>
      </c>
      <c r="L873" s="45" t="s">
        <v>263</v>
      </c>
      <c r="M873" s="45" t="s">
        <v>259</v>
      </c>
      <c r="N873" s="45" t="s">
        <v>167</v>
      </c>
      <c r="O873" s="47" t="n">
        <v>46203.0281944444</v>
      </c>
      <c r="P873" s="47" t="n">
        <v>46203.0311689815</v>
      </c>
    </row>
    <row r="874" customFormat="false" ht="15" hidden="false" customHeight="false" outlineLevel="0" collapsed="false">
      <c r="A874" s="45" t="n">
        <v>1077</v>
      </c>
      <c r="B874" s="46" t="n">
        <v>46203</v>
      </c>
      <c r="C874" s="45" t="s">
        <v>133</v>
      </c>
      <c r="D874" s="45" t="s">
        <v>134</v>
      </c>
      <c r="E874" s="45" t="s">
        <v>1927</v>
      </c>
      <c r="F874" s="45" t="s">
        <v>1928</v>
      </c>
      <c r="G874" s="46" t="n">
        <v>46202</v>
      </c>
      <c r="H874" s="45" t="s">
        <v>167</v>
      </c>
      <c r="I874" s="45" t="s">
        <v>175</v>
      </c>
      <c r="J874" s="45" t="s">
        <v>1929</v>
      </c>
      <c r="K874" s="45" t="n">
        <v>30.5</v>
      </c>
      <c r="L874" s="45" t="s">
        <v>263</v>
      </c>
      <c r="M874" s="45" t="s">
        <v>259</v>
      </c>
      <c r="N874" s="45" t="s">
        <v>167</v>
      </c>
      <c r="O874" s="47" t="n">
        <v>46203.0287962963</v>
      </c>
      <c r="P874" s="47" t="n">
        <v>46203.0499768519</v>
      </c>
    </row>
    <row r="875" customFormat="false" ht="15" hidden="false" customHeight="false" outlineLevel="0" collapsed="false">
      <c r="A875" s="45" t="n">
        <v>1078</v>
      </c>
      <c r="B875" s="46" t="n">
        <v>46203</v>
      </c>
      <c r="C875" s="45" t="s">
        <v>133</v>
      </c>
      <c r="D875" s="45" t="s">
        <v>134</v>
      </c>
      <c r="E875" s="45" t="s">
        <v>1930</v>
      </c>
      <c r="F875" s="45" t="s">
        <v>1931</v>
      </c>
      <c r="G875" s="46" t="n">
        <v>46202</v>
      </c>
      <c r="H875" s="45" t="s">
        <v>167</v>
      </c>
      <c r="I875" s="45" t="s">
        <v>175</v>
      </c>
      <c r="J875" s="45" t="s">
        <v>1932</v>
      </c>
      <c r="K875" s="45" t="n">
        <v>957.1</v>
      </c>
      <c r="L875" s="45" t="s">
        <v>263</v>
      </c>
      <c r="M875" s="45" t="s">
        <v>259</v>
      </c>
      <c r="N875" s="45" t="s">
        <v>167</v>
      </c>
      <c r="O875" s="47" t="n">
        <v>46203.0499768519</v>
      </c>
      <c r="P875" s="47" t="n">
        <v>46203.7146064815</v>
      </c>
    </row>
    <row r="876" customFormat="false" ht="15" hidden="false" customHeight="false" outlineLevel="0" collapsed="false">
      <c r="A876" s="45" t="n">
        <v>1079</v>
      </c>
      <c r="B876" s="46" t="n">
        <v>46203</v>
      </c>
      <c r="C876" s="45" t="s">
        <v>133</v>
      </c>
      <c r="D876" s="45" t="s">
        <v>134</v>
      </c>
      <c r="E876" s="45" t="s">
        <v>1933</v>
      </c>
      <c r="F876" s="45" t="s">
        <v>1934</v>
      </c>
      <c r="G876" s="46" t="n">
        <v>46202</v>
      </c>
      <c r="H876" s="45" t="s">
        <v>167</v>
      </c>
      <c r="I876" s="45" t="s">
        <v>175</v>
      </c>
      <c r="J876" s="45" t="s">
        <v>1935</v>
      </c>
      <c r="K876" s="45" t="n">
        <v>7.8</v>
      </c>
      <c r="L876" s="45" t="s">
        <v>263</v>
      </c>
      <c r="M876" s="45" t="s">
        <v>259</v>
      </c>
      <c r="N876" s="45" t="s">
        <v>167</v>
      </c>
      <c r="O876" s="47" t="n">
        <v>46203.7146296296</v>
      </c>
      <c r="P876" s="47" t="n">
        <v>46203.7200115741</v>
      </c>
    </row>
    <row r="877" customFormat="false" ht="15" hidden="false" customHeight="false" outlineLevel="0" collapsed="false">
      <c r="A877" s="45" t="n">
        <v>1082</v>
      </c>
      <c r="B877" s="46" t="n">
        <v>46203</v>
      </c>
      <c r="C877" s="45" t="s">
        <v>141</v>
      </c>
      <c r="D877" s="45" t="s">
        <v>142</v>
      </c>
      <c r="E877" s="45" t="s">
        <v>543</v>
      </c>
      <c r="F877" s="45" t="s">
        <v>1936</v>
      </c>
      <c r="G877" s="46" t="n">
        <v>46198</v>
      </c>
      <c r="H877" s="45" t="s">
        <v>167</v>
      </c>
      <c r="I877" s="45" t="s">
        <v>175</v>
      </c>
      <c r="J877" s="45" t="s">
        <v>1937</v>
      </c>
      <c r="K877" s="45" t="n">
        <v>3.8</v>
      </c>
      <c r="L877" s="45" t="s">
        <v>263</v>
      </c>
      <c r="M877" s="45" t="s">
        <v>259</v>
      </c>
      <c r="N877" s="45" t="s">
        <v>167</v>
      </c>
      <c r="O877" s="47" t="n">
        <v>46203.8461458333</v>
      </c>
      <c r="P877" s="47" t="n">
        <v>46203.8487962963</v>
      </c>
    </row>
    <row r="878" customFormat="false" ht="15" hidden="false" customHeight="false" outlineLevel="0" collapsed="false">
      <c r="A878" s="45" t="n">
        <v>1083</v>
      </c>
      <c r="B878" s="46" t="n">
        <v>46203</v>
      </c>
      <c r="C878" s="45" t="s">
        <v>135</v>
      </c>
      <c r="D878" s="45" t="s">
        <v>136</v>
      </c>
      <c r="E878" s="45" t="s">
        <v>1833</v>
      </c>
      <c r="F878" s="45" t="s">
        <v>1938</v>
      </c>
      <c r="G878" s="46" t="n">
        <v>46199</v>
      </c>
      <c r="H878" s="45" t="s">
        <v>170</v>
      </c>
      <c r="I878" s="45" t="s">
        <v>206</v>
      </c>
      <c r="J878" s="45" t="s">
        <v>1939</v>
      </c>
      <c r="K878" s="45" t="n">
        <v>1.5</v>
      </c>
      <c r="L878" s="45" t="s">
        <v>263</v>
      </c>
      <c r="M878" s="45" t="s">
        <v>259</v>
      </c>
      <c r="N878" s="45" t="s">
        <v>478</v>
      </c>
      <c r="O878" s="47" t="n">
        <v>46203.8484837963</v>
      </c>
      <c r="P878" s="47" t="n">
        <v>46203.8495023148</v>
      </c>
    </row>
    <row r="879" customFormat="false" ht="15" hidden="false" customHeight="false" outlineLevel="0" collapsed="false">
      <c r="A879" s="45" t="n">
        <v>1084</v>
      </c>
      <c r="B879" s="46" t="n">
        <v>46203</v>
      </c>
      <c r="C879" s="45" t="s">
        <v>135</v>
      </c>
      <c r="D879" s="45" t="s">
        <v>136</v>
      </c>
      <c r="E879" s="45" t="s">
        <v>408</v>
      </c>
      <c r="F879" s="45" t="s">
        <v>1940</v>
      </c>
      <c r="G879" s="46" t="n">
        <v>46199</v>
      </c>
      <c r="H879" s="45" t="s">
        <v>168</v>
      </c>
      <c r="I879" s="45" t="s">
        <v>192</v>
      </c>
      <c r="J879" s="45" t="s">
        <v>1941</v>
      </c>
      <c r="K879" s="45" t="n">
        <v>1.2</v>
      </c>
      <c r="L879" s="45" t="s">
        <v>263</v>
      </c>
      <c r="M879" s="45" t="s">
        <v>259</v>
      </c>
      <c r="N879" s="45" t="s">
        <v>264</v>
      </c>
      <c r="O879" s="47" t="n">
        <v>46203.8496759259</v>
      </c>
      <c r="P879" s="47" t="n">
        <v>46203.8505439815</v>
      </c>
    </row>
    <row r="880" customFormat="false" ht="15" hidden="false" customHeight="false" outlineLevel="0" collapsed="false">
      <c r="A880" s="45" t="n">
        <v>1085</v>
      </c>
      <c r="B880" s="46" t="n">
        <v>46204</v>
      </c>
      <c r="C880" s="45" t="s">
        <v>143</v>
      </c>
      <c r="D880" s="45" t="s">
        <v>144</v>
      </c>
      <c r="E880" s="45" t="s">
        <v>353</v>
      </c>
      <c r="F880" s="45" t="s">
        <v>1942</v>
      </c>
      <c r="G880" s="46" t="n">
        <v>46202</v>
      </c>
      <c r="H880" s="45" t="s">
        <v>169</v>
      </c>
      <c r="I880" s="45"/>
      <c r="J880" s="45"/>
      <c r="K880" s="45" t="n">
        <v>11.7</v>
      </c>
      <c r="L880" s="45" t="s">
        <v>263</v>
      </c>
      <c r="M880" s="45" t="s">
        <v>259</v>
      </c>
      <c r="N880" s="45" t="s">
        <v>169</v>
      </c>
      <c r="O880" s="47" t="n">
        <v>46204.8743055556</v>
      </c>
      <c r="P880" s="47" t="n">
        <v>46204.8823958333</v>
      </c>
    </row>
    <row r="881" customFormat="false" ht="15" hidden="false" customHeight="false" outlineLevel="0" collapsed="false">
      <c r="A881" s="45" t="n">
        <v>1086</v>
      </c>
      <c r="B881" s="46" t="n">
        <v>46204</v>
      </c>
      <c r="C881" s="45" t="s">
        <v>143</v>
      </c>
      <c r="D881" s="45" t="s">
        <v>144</v>
      </c>
      <c r="E881" s="45" t="s">
        <v>232</v>
      </c>
      <c r="F881" s="45" t="s">
        <v>1943</v>
      </c>
      <c r="G881" s="46" t="n">
        <v>46202</v>
      </c>
      <c r="H881" s="45" t="s">
        <v>167</v>
      </c>
      <c r="I881" s="45" t="s">
        <v>175</v>
      </c>
      <c r="J881" s="45" t="s">
        <v>1944</v>
      </c>
      <c r="K881" s="45" t="n">
        <v>108.3</v>
      </c>
      <c r="L881" s="45" t="s">
        <v>263</v>
      </c>
      <c r="M881" s="45" t="s">
        <v>259</v>
      </c>
      <c r="N881" s="45" t="s">
        <v>167</v>
      </c>
      <c r="O881" s="47" t="n">
        <v>46204.8824537037</v>
      </c>
      <c r="P881" s="47" t="n">
        <v>46204.9576967593</v>
      </c>
    </row>
    <row r="882" customFormat="false" ht="15" hidden="false" customHeight="false" outlineLevel="0" collapsed="false">
      <c r="A882" s="45" t="n">
        <v>1087</v>
      </c>
      <c r="B882" s="46" t="n">
        <v>46204</v>
      </c>
      <c r="C882" s="45" t="s">
        <v>143</v>
      </c>
      <c r="D882" s="45" t="s">
        <v>144</v>
      </c>
      <c r="E882" s="45" t="s">
        <v>224</v>
      </c>
      <c r="F882" s="45" t="s">
        <v>1945</v>
      </c>
      <c r="G882" s="46" t="n">
        <v>46202</v>
      </c>
      <c r="H882" s="45" t="s">
        <v>167</v>
      </c>
      <c r="I882" s="45" t="s">
        <v>175</v>
      </c>
      <c r="J882" s="45" t="s">
        <v>1946</v>
      </c>
      <c r="K882" s="45" t="n">
        <v>41.9</v>
      </c>
      <c r="L882" s="45" t="s">
        <v>263</v>
      </c>
      <c r="M882" s="45" t="s">
        <v>259</v>
      </c>
      <c r="N882" s="45" t="s">
        <v>167</v>
      </c>
      <c r="O882" s="47" t="n">
        <v>46204.9593402778</v>
      </c>
      <c r="P882" s="47" t="n">
        <v>46204.9884259259</v>
      </c>
    </row>
    <row r="883" customFormat="false" ht="15" hidden="false" customHeight="false" outlineLevel="0" collapsed="false">
      <c r="A883" s="45" t="n">
        <v>1088</v>
      </c>
      <c r="B883" s="46" t="n">
        <v>46204</v>
      </c>
      <c r="C883" s="45" t="s">
        <v>143</v>
      </c>
      <c r="D883" s="45" t="s">
        <v>144</v>
      </c>
      <c r="E883" s="45" t="s">
        <v>224</v>
      </c>
      <c r="F883" s="45" t="s">
        <v>1947</v>
      </c>
      <c r="G883" s="46" t="n">
        <v>46202</v>
      </c>
      <c r="H883" s="45" t="s">
        <v>167</v>
      </c>
      <c r="I883" s="45" t="s">
        <v>175</v>
      </c>
      <c r="J883" s="45" t="s">
        <v>1948</v>
      </c>
      <c r="K883" s="45" t="n">
        <v>28.7</v>
      </c>
      <c r="L883" s="45" t="s">
        <v>263</v>
      </c>
      <c r="M883" s="45" t="s">
        <v>259</v>
      </c>
      <c r="N883" s="45" t="s">
        <v>167</v>
      </c>
      <c r="O883" s="47" t="n">
        <v>46204.9896064815</v>
      </c>
      <c r="P883" s="47" t="n">
        <v>46205.009537037</v>
      </c>
    </row>
    <row r="884" customFormat="false" ht="15" hidden="false" customHeight="false" outlineLevel="0" collapsed="false">
      <c r="A884" s="45" t="n">
        <v>1089</v>
      </c>
      <c r="B884" s="46" t="n">
        <v>46205</v>
      </c>
      <c r="C884" s="45" t="s">
        <v>143</v>
      </c>
      <c r="D884" s="45" t="s">
        <v>144</v>
      </c>
      <c r="E884" s="45" t="s">
        <v>220</v>
      </c>
      <c r="F884" s="45" t="s">
        <v>1949</v>
      </c>
      <c r="G884" s="46" t="n">
        <v>46202</v>
      </c>
      <c r="H884" s="45" t="s">
        <v>167</v>
      </c>
      <c r="I884" s="45" t="s">
        <v>175</v>
      </c>
      <c r="J884" s="45" t="s">
        <v>1950</v>
      </c>
      <c r="K884" s="45" t="n">
        <v>11.3</v>
      </c>
      <c r="L884" s="45" t="s">
        <v>263</v>
      </c>
      <c r="M884" s="45" t="s">
        <v>259</v>
      </c>
      <c r="N884" s="45" t="s">
        <v>167</v>
      </c>
      <c r="O884" s="47" t="n">
        <v>46205.0116666667</v>
      </c>
      <c r="P884" s="47" t="n">
        <v>46205.0195486111</v>
      </c>
    </row>
    <row r="885" customFormat="false" ht="15" hidden="false" customHeight="false" outlineLevel="0" collapsed="false">
      <c r="A885" s="45" t="n">
        <v>1090</v>
      </c>
      <c r="B885" s="46" t="n">
        <v>46205</v>
      </c>
      <c r="C885" s="45" t="s">
        <v>143</v>
      </c>
      <c r="D885" s="45" t="s">
        <v>144</v>
      </c>
      <c r="E885" s="45" t="s">
        <v>228</v>
      </c>
      <c r="F885" s="45" t="s">
        <v>1951</v>
      </c>
      <c r="G885" s="46" t="n">
        <v>46202</v>
      </c>
      <c r="H885" s="45" t="s">
        <v>167</v>
      </c>
      <c r="I885" s="45" t="s">
        <v>175</v>
      </c>
      <c r="J885" s="45" t="s">
        <v>1952</v>
      </c>
      <c r="K885" s="45" t="n">
        <v>39.3</v>
      </c>
      <c r="L885" s="45" t="s">
        <v>263</v>
      </c>
      <c r="M885" s="45" t="s">
        <v>259</v>
      </c>
      <c r="N885" s="45" t="s">
        <v>167</v>
      </c>
      <c r="O885" s="47" t="n">
        <v>46205.0273611111</v>
      </c>
      <c r="P885" s="47" t="n">
        <v>46205.0546296296</v>
      </c>
    </row>
    <row r="886" customFormat="false" ht="15" hidden="false" customHeight="false" outlineLevel="0" collapsed="false">
      <c r="A886" s="45" t="n">
        <v>1091</v>
      </c>
      <c r="B886" s="46" t="n">
        <v>46205</v>
      </c>
      <c r="C886" s="45" t="s">
        <v>143</v>
      </c>
      <c r="D886" s="45" t="s">
        <v>144</v>
      </c>
      <c r="E886" s="45" t="s">
        <v>223</v>
      </c>
      <c r="F886" s="45" t="s">
        <v>1953</v>
      </c>
      <c r="G886" s="46" t="n">
        <v>46203</v>
      </c>
      <c r="H886" s="45" t="s">
        <v>167</v>
      </c>
      <c r="I886" s="45" t="s">
        <v>175</v>
      </c>
      <c r="J886" s="45" t="s">
        <v>1954</v>
      </c>
      <c r="K886" s="45" t="n">
        <v>18.3</v>
      </c>
      <c r="L886" s="45" t="s">
        <v>263</v>
      </c>
      <c r="M886" s="45" t="s">
        <v>259</v>
      </c>
      <c r="N886" s="45" t="s">
        <v>167</v>
      </c>
      <c r="O886" s="47" t="n">
        <v>46205.0546759259</v>
      </c>
      <c r="P886" s="47" t="n">
        <v>46205.0673958333</v>
      </c>
    </row>
    <row r="887" customFormat="false" ht="15" hidden="false" customHeight="false" outlineLevel="0" collapsed="false">
      <c r="A887" s="45" t="n">
        <v>1092</v>
      </c>
      <c r="B887" s="46" t="n">
        <v>46205</v>
      </c>
      <c r="C887" s="45" t="s">
        <v>133</v>
      </c>
      <c r="D887" s="45" t="s">
        <v>134</v>
      </c>
      <c r="E887" s="45" t="s">
        <v>1955</v>
      </c>
      <c r="F887" s="45" t="s">
        <v>1956</v>
      </c>
      <c r="G887" s="46" t="n">
        <v>46203</v>
      </c>
      <c r="H887" s="45" t="s">
        <v>167</v>
      </c>
      <c r="I887" s="45" t="s">
        <v>175</v>
      </c>
      <c r="J887" s="45" t="s">
        <v>1957</v>
      </c>
      <c r="K887" s="45" t="n">
        <v>6.2</v>
      </c>
      <c r="L887" s="45" t="s">
        <v>263</v>
      </c>
      <c r="M887" s="45" t="s">
        <v>259</v>
      </c>
      <c r="N887" s="45" t="s">
        <v>167</v>
      </c>
      <c r="O887" s="47" t="n">
        <v>46205.9527546296</v>
      </c>
      <c r="P887" s="47" t="n">
        <v>46205.957025463</v>
      </c>
    </row>
    <row r="888" customFormat="false" ht="15" hidden="false" customHeight="false" outlineLevel="0" collapsed="false">
      <c r="A888" s="45" t="n">
        <v>1093</v>
      </c>
      <c r="B888" s="46" t="n">
        <v>46205</v>
      </c>
      <c r="C888" s="45" t="s">
        <v>133</v>
      </c>
      <c r="D888" s="45" t="s">
        <v>134</v>
      </c>
      <c r="E888" s="45" t="s">
        <v>1927</v>
      </c>
      <c r="F888" s="45" t="s">
        <v>1958</v>
      </c>
      <c r="G888" s="46" t="n">
        <v>46203</v>
      </c>
      <c r="H888" s="45" t="s">
        <v>167</v>
      </c>
      <c r="I888" s="45" t="s">
        <v>175</v>
      </c>
      <c r="J888" s="45" t="s">
        <v>1959</v>
      </c>
      <c r="K888" s="45" t="n">
        <v>15.1</v>
      </c>
      <c r="L888" s="45" t="s">
        <v>263</v>
      </c>
      <c r="M888" s="45" t="s">
        <v>259</v>
      </c>
      <c r="N888" s="45" t="s">
        <v>167</v>
      </c>
      <c r="O888" s="47" t="n">
        <v>46205.9572222222</v>
      </c>
      <c r="P888" s="47" t="n">
        <v>46205.9676967593</v>
      </c>
    </row>
    <row r="889" customFormat="false" ht="15" hidden="false" customHeight="false" outlineLevel="0" collapsed="false">
      <c r="A889" s="45" t="n">
        <v>1094</v>
      </c>
      <c r="B889" s="46" t="n">
        <v>46205</v>
      </c>
      <c r="C889" s="45" t="s">
        <v>133</v>
      </c>
      <c r="D889" s="45" t="s">
        <v>134</v>
      </c>
      <c r="E889" s="45" t="s">
        <v>1927</v>
      </c>
      <c r="F889" s="45" t="s">
        <v>1960</v>
      </c>
      <c r="G889" s="46" t="n">
        <v>46204</v>
      </c>
      <c r="H889" s="45" t="s">
        <v>168</v>
      </c>
      <c r="I889" s="45" t="s">
        <v>192</v>
      </c>
      <c r="J889" s="45" t="s">
        <v>1961</v>
      </c>
      <c r="K889" s="45" t="n">
        <v>5.1</v>
      </c>
      <c r="L889" s="45" t="s">
        <v>263</v>
      </c>
      <c r="M889" s="45" t="s">
        <v>259</v>
      </c>
      <c r="N889" s="45" t="s">
        <v>264</v>
      </c>
      <c r="O889" s="47" t="n">
        <v>46205.9679513889</v>
      </c>
      <c r="P889" s="47" t="n">
        <v>46205.9714699074</v>
      </c>
    </row>
    <row r="890" customFormat="false" ht="15" hidden="false" customHeight="false" outlineLevel="0" collapsed="false">
      <c r="A890" s="45" t="n">
        <v>1096</v>
      </c>
      <c r="B890" s="46" t="n">
        <v>46205</v>
      </c>
      <c r="C890" s="45" t="s">
        <v>133</v>
      </c>
      <c r="D890" s="45" t="s">
        <v>134</v>
      </c>
      <c r="E890" s="45" t="s">
        <v>1930</v>
      </c>
      <c r="F890" s="45" t="s">
        <v>1962</v>
      </c>
      <c r="G890" s="46" t="n">
        <v>46205</v>
      </c>
      <c r="H890" s="45" t="s">
        <v>167</v>
      </c>
      <c r="I890" s="45" t="s">
        <v>175</v>
      </c>
      <c r="J890" s="45" t="s">
        <v>1963</v>
      </c>
      <c r="K890" s="45" t="n">
        <v>34.7</v>
      </c>
      <c r="L890" s="45" t="s">
        <v>263</v>
      </c>
      <c r="M890" s="45" t="s">
        <v>259</v>
      </c>
      <c r="N890" s="45" t="s">
        <v>167</v>
      </c>
      <c r="O890" s="47" t="n">
        <v>46205.9715277778</v>
      </c>
      <c r="P890" s="47" t="n">
        <v>46205.9956018519</v>
      </c>
    </row>
    <row r="891" customFormat="false" ht="15" hidden="false" customHeight="false" outlineLevel="0" collapsed="false">
      <c r="A891" s="45" t="n">
        <v>1095</v>
      </c>
      <c r="B891" s="46" t="n">
        <v>46205</v>
      </c>
      <c r="C891" s="45" t="s">
        <v>143</v>
      </c>
      <c r="D891" s="45" t="s">
        <v>144</v>
      </c>
      <c r="E891" s="45" t="s">
        <v>232</v>
      </c>
      <c r="F891" s="45" t="s">
        <v>1964</v>
      </c>
      <c r="G891" s="46" t="n">
        <v>46204</v>
      </c>
      <c r="H891" s="45" t="s">
        <v>57</v>
      </c>
      <c r="I891" s="45" t="s">
        <v>201</v>
      </c>
      <c r="J891" s="45" t="s">
        <v>1965</v>
      </c>
      <c r="K891" s="45" t="n">
        <v>0.1</v>
      </c>
      <c r="L891" s="45" t="s">
        <v>263</v>
      </c>
      <c r="M891" s="45" t="s">
        <v>259</v>
      </c>
      <c r="N891" s="45" t="s">
        <v>57</v>
      </c>
      <c r="O891" s="47" t="n">
        <v>46205.9943287037</v>
      </c>
      <c r="P891" s="47" t="n">
        <v>46205.9943634259</v>
      </c>
    </row>
    <row r="892" customFormat="false" ht="15" hidden="false" customHeight="false" outlineLevel="0" collapsed="false">
      <c r="A892" s="45" t="n">
        <v>1097</v>
      </c>
      <c r="B892" s="46" t="n">
        <v>46205</v>
      </c>
      <c r="C892" s="45" t="s">
        <v>143</v>
      </c>
      <c r="D892" s="45" t="s">
        <v>144</v>
      </c>
      <c r="E892" s="45" t="s">
        <v>353</v>
      </c>
      <c r="F892" s="45" t="s">
        <v>1966</v>
      </c>
      <c r="G892" s="46" t="n">
        <v>46204</v>
      </c>
      <c r="H892" s="45" t="s">
        <v>167</v>
      </c>
      <c r="I892" s="45" t="s">
        <v>175</v>
      </c>
      <c r="J892" s="45" t="s">
        <v>1967</v>
      </c>
      <c r="K892" s="45" t="n">
        <v>34</v>
      </c>
      <c r="L892" s="45" t="s">
        <v>263</v>
      </c>
      <c r="M892" s="45" t="s">
        <v>259</v>
      </c>
      <c r="N892" s="45" t="s">
        <v>167</v>
      </c>
      <c r="O892" s="47" t="n">
        <v>46205.9943865741</v>
      </c>
      <c r="P892" s="47" t="n">
        <v>46206.0180092593</v>
      </c>
    </row>
    <row r="893" customFormat="false" ht="15" hidden="false" customHeight="false" outlineLevel="0" collapsed="false">
      <c r="A893" s="45" t="n">
        <v>1098</v>
      </c>
      <c r="B893" s="46" t="n">
        <v>46206</v>
      </c>
      <c r="C893" s="45" t="s">
        <v>143</v>
      </c>
      <c r="D893" s="45" t="s">
        <v>144</v>
      </c>
      <c r="E893" s="45" t="s">
        <v>225</v>
      </c>
      <c r="F893" s="45" t="s">
        <v>1968</v>
      </c>
      <c r="G893" s="46" t="n">
        <v>46204</v>
      </c>
      <c r="H893" s="45" t="s">
        <v>167</v>
      </c>
      <c r="I893" s="45" t="s">
        <v>175</v>
      </c>
      <c r="J893" s="45" t="s">
        <v>1969</v>
      </c>
      <c r="K893" s="45" t="n">
        <v>15.5</v>
      </c>
      <c r="L893" s="45" t="s">
        <v>263</v>
      </c>
      <c r="M893" s="45" t="s">
        <v>259</v>
      </c>
      <c r="N893" s="45" t="s">
        <v>167</v>
      </c>
      <c r="O893" s="47" t="n">
        <v>46206.0180439815</v>
      </c>
      <c r="P893" s="47" t="n">
        <v>46206.0288078704</v>
      </c>
    </row>
    <row r="894" customFormat="false" ht="15" hidden="false" customHeight="false" outlineLevel="0" collapsed="false">
      <c r="A894" s="45" t="n">
        <v>1099</v>
      </c>
      <c r="B894" s="46" t="n">
        <v>46206</v>
      </c>
      <c r="C894" s="45" t="s">
        <v>143</v>
      </c>
      <c r="D894" s="45" t="s">
        <v>144</v>
      </c>
      <c r="E894" s="45" t="s">
        <v>1613</v>
      </c>
      <c r="F894" s="45" t="s">
        <v>1970</v>
      </c>
      <c r="G894" s="46" t="n">
        <v>46204</v>
      </c>
      <c r="H894" s="45" t="s">
        <v>167</v>
      </c>
      <c r="I894" s="45" t="s">
        <v>175</v>
      </c>
      <c r="J894" s="45" t="s">
        <v>1971</v>
      </c>
      <c r="K894" s="45" t="n">
        <v>19.2</v>
      </c>
      <c r="L894" s="45" t="s">
        <v>263</v>
      </c>
      <c r="M894" s="45" t="s">
        <v>259</v>
      </c>
      <c r="N894" s="45" t="s">
        <v>167</v>
      </c>
      <c r="O894" s="47" t="n">
        <v>46206.0288657407</v>
      </c>
      <c r="P894" s="47" t="n">
        <v>46206.0421875</v>
      </c>
    </row>
    <row r="895" customFormat="false" ht="15" hidden="false" customHeight="false" outlineLevel="0" collapsed="false">
      <c r="A895" s="45" t="n">
        <v>1100</v>
      </c>
      <c r="B895" s="46" t="n">
        <v>46206</v>
      </c>
      <c r="C895" s="45" t="s">
        <v>143</v>
      </c>
      <c r="D895" s="45" t="s">
        <v>144</v>
      </c>
      <c r="E895" s="45" t="s">
        <v>232</v>
      </c>
      <c r="F895" s="45" t="s">
        <v>1972</v>
      </c>
      <c r="G895" s="46" t="n">
        <v>46204</v>
      </c>
      <c r="H895" s="45" t="s">
        <v>167</v>
      </c>
      <c r="I895" s="45" t="s">
        <v>175</v>
      </c>
      <c r="J895" s="45" t="s">
        <v>1973</v>
      </c>
      <c r="K895" s="45" t="n">
        <v>10</v>
      </c>
      <c r="L895" s="45" t="s">
        <v>263</v>
      </c>
      <c r="M895" s="45" t="s">
        <v>259</v>
      </c>
      <c r="N895" s="45" t="s">
        <v>167</v>
      </c>
      <c r="O895" s="47" t="n">
        <v>46206.0422337963</v>
      </c>
      <c r="P895" s="47" t="n">
        <v>46206.0491550926</v>
      </c>
    </row>
    <row r="896" customFormat="false" ht="15" hidden="false" customHeight="false" outlineLevel="0" collapsed="false">
      <c r="A896" s="45" t="n">
        <v>1101</v>
      </c>
      <c r="B896" s="46" t="n">
        <v>46206</v>
      </c>
      <c r="C896" s="45" t="s">
        <v>143</v>
      </c>
      <c r="D896" s="45" t="s">
        <v>144</v>
      </c>
      <c r="E896" s="45" t="s">
        <v>1974</v>
      </c>
      <c r="F896" s="45" t="s">
        <v>1975</v>
      </c>
      <c r="G896" s="46" t="n">
        <v>46204</v>
      </c>
      <c r="H896" s="45" t="s">
        <v>167</v>
      </c>
      <c r="I896" s="45" t="s">
        <v>175</v>
      </c>
      <c r="J896" s="45" t="s">
        <v>1976</v>
      </c>
      <c r="K896" s="45" t="n">
        <v>71</v>
      </c>
      <c r="L896" s="45" t="s">
        <v>263</v>
      </c>
      <c r="M896" s="45" t="s">
        <v>259</v>
      </c>
      <c r="N896" s="45" t="s">
        <v>167</v>
      </c>
      <c r="O896" s="47" t="n">
        <v>46206.0492824074</v>
      </c>
      <c r="P896" s="47" t="n">
        <v>46206.0985532407</v>
      </c>
    </row>
    <row r="897" customFormat="false" ht="15" hidden="false" customHeight="false" outlineLevel="0" collapsed="false">
      <c r="A897" s="45" t="n">
        <v>1103</v>
      </c>
      <c r="B897" s="46" t="n">
        <v>46206</v>
      </c>
      <c r="C897" s="45" t="s">
        <v>143</v>
      </c>
      <c r="D897" s="45" t="s">
        <v>144</v>
      </c>
      <c r="E897" s="45" t="s">
        <v>225</v>
      </c>
      <c r="F897" s="45" t="s">
        <v>1977</v>
      </c>
      <c r="G897" s="46" t="n">
        <v>46204</v>
      </c>
      <c r="H897" s="45" t="s">
        <v>167</v>
      </c>
      <c r="I897" s="45" t="s">
        <v>175</v>
      </c>
      <c r="J897" s="45" t="s">
        <v>1978</v>
      </c>
      <c r="K897" s="45" t="n">
        <v>27.7</v>
      </c>
      <c r="L897" s="45" t="s">
        <v>263</v>
      </c>
      <c r="M897" s="45" t="s">
        <v>259</v>
      </c>
      <c r="N897" s="45" t="s">
        <v>167</v>
      </c>
      <c r="O897" s="47" t="n">
        <v>46206.0986111111</v>
      </c>
      <c r="P897" s="47" t="n">
        <v>46206.1178356482</v>
      </c>
    </row>
    <row r="898" customFormat="false" ht="15" hidden="false" customHeight="false" outlineLevel="0" collapsed="false">
      <c r="A898" s="45" t="n">
        <v>1102</v>
      </c>
      <c r="B898" s="46" t="n">
        <v>46206</v>
      </c>
      <c r="C898" s="45" t="s">
        <v>135</v>
      </c>
      <c r="D898" s="45" t="s">
        <v>136</v>
      </c>
      <c r="E898" s="45" t="s">
        <v>1833</v>
      </c>
      <c r="F898" s="45" t="s">
        <v>1979</v>
      </c>
      <c r="G898" s="46" t="n">
        <v>46203</v>
      </c>
      <c r="H898" s="45" t="s">
        <v>167</v>
      </c>
      <c r="I898" s="45" t="s">
        <v>175</v>
      </c>
      <c r="J898" s="45" t="s">
        <v>1980</v>
      </c>
      <c r="K898" s="45" t="n">
        <v>2</v>
      </c>
      <c r="L898" s="45" t="s">
        <v>263</v>
      </c>
      <c r="M898" s="45" t="s">
        <v>259</v>
      </c>
      <c r="N898" s="45" t="s">
        <v>167</v>
      </c>
      <c r="O898" s="47" t="n">
        <v>46206.1103009259</v>
      </c>
      <c r="P898" s="47" t="n">
        <v>46206.1116898148</v>
      </c>
    </row>
    <row r="899" customFormat="false" ht="15" hidden="false" customHeight="false" outlineLevel="0" collapsed="false">
      <c r="A899" s="45" t="n">
        <v>1104</v>
      </c>
      <c r="B899" s="46" t="n">
        <v>46206</v>
      </c>
      <c r="C899" s="45" t="s">
        <v>135</v>
      </c>
      <c r="D899" s="45" t="s">
        <v>136</v>
      </c>
      <c r="E899" s="45" t="s">
        <v>1833</v>
      </c>
      <c r="F899" s="45" t="s">
        <v>1981</v>
      </c>
      <c r="G899" s="46" t="n">
        <v>46202</v>
      </c>
      <c r="H899" s="45" t="s">
        <v>167</v>
      </c>
      <c r="I899" s="45" t="s">
        <v>176</v>
      </c>
      <c r="J899" s="45" t="s">
        <v>1982</v>
      </c>
      <c r="K899" s="45" t="n">
        <v>8.8</v>
      </c>
      <c r="L899" s="45" t="s">
        <v>263</v>
      </c>
      <c r="M899" s="45" t="s">
        <v>259</v>
      </c>
      <c r="N899" s="45" t="s">
        <v>167</v>
      </c>
      <c r="O899" s="47" t="n">
        <v>46206.1151736111</v>
      </c>
      <c r="P899" s="47" t="n">
        <v>46206.1212731482</v>
      </c>
    </row>
    <row r="900" customFormat="false" ht="15" hidden="false" customHeight="false" outlineLevel="0" collapsed="false">
      <c r="A900" s="45" t="n">
        <v>1105</v>
      </c>
      <c r="B900" s="46" t="n">
        <v>46206</v>
      </c>
      <c r="C900" s="45" t="s">
        <v>143</v>
      </c>
      <c r="D900" s="45" t="s">
        <v>144</v>
      </c>
      <c r="E900" s="45" t="s">
        <v>1606</v>
      </c>
      <c r="F900" s="45" t="s">
        <v>1983</v>
      </c>
      <c r="G900" s="46" t="n">
        <v>46204</v>
      </c>
      <c r="H900" s="45" t="s">
        <v>167</v>
      </c>
      <c r="I900" s="45" t="s">
        <v>175</v>
      </c>
      <c r="J900" s="45" t="s">
        <v>1984</v>
      </c>
      <c r="K900" s="45" t="n">
        <v>8.8</v>
      </c>
      <c r="L900" s="45" t="s">
        <v>263</v>
      </c>
      <c r="M900" s="45" t="s">
        <v>259</v>
      </c>
      <c r="N900" s="45" t="s">
        <v>167</v>
      </c>
      <c r="O900" s="47" t="n">
        <v>46206.1178703704</v>
      </c>
      <c r="P900" s="47" t="n">
        <v>46206.1239699074</v>
      </c>
    </row>
    <row r="901" customFormat="false" ht="15" hidden="false" customHeight="false" outlineLevel="0" collapsed="false">
      <c r="A901" s="45" t="n">
        <v>1106</v>
      </c>
      <c r="B901" s="46" t="n">
        <v>46206</v>
      </c>
      <c r="C901" s="45" t="s">
        <v>135</v>
      </c>
      <c r="D901" s="45" t="s">
        <v>136</v>
      </c>
      <c r="E901" s="45" t="s">
        <v>1833</v>
      </c>
      <c r="F901" s="45" t="s">
        <v>1985</v>
      </c>
      <c r="G901" s="46" t="n">
        <v>46202</v>
      </c>
      <c r="H901" s="45" t="s">
        <v>57</v>
      </c>
      <c r="I901" s="45" t="s">
        <v>200</v>
      </c>
      <c r="J901" s="45" t="s">
        <v>1986</v>
      </c>
      <c r="K901" s="45" t="n">
        <v>9.3</v>
      </c>
      <c r="L901" s="45" t="s">
        <v>263</v>
      </c>
      <c r="M901" s="45" t="s">
        <v>259</v>
      </c>
      <c r="N901" s="45" t="s">
        <v>57</v>
      </c>
      <c r="O901" s="47" t="n">
        <v>46206.1218518519</v>
      </c>
      <c r="P901" s="47" t="n">
        <v>46206.1283333333</v>
      </c>
    </row>
    <row r="902" customFormat="false" ht="15" hidden="false" customHeight="false" outlineLevel="0" collapsed="false">
      <c r="A902" s="45" t="n">
        <v>1116</v>
      </c>
      <c r="B902" s="46" t="n">
        <v>46206</v>
      </c>
      <c r="C902" s="45" t="s">
        <v>143</v>
      </c>
      <c r="D902" s="45" t="s">
        <v>144</v>
      </c>
      <c r="E902" s="45" t="s">
        <v>225</v>
      </c>
      <c r="F902" s="45" t="s">
        <v>1987</v>
      </c>
      <c r="G902" s="46" t="n">
        <v>46205</v>
      </c>
      <c r="H902" s="45" t="s">
        <v>167</v>
      </c>
      <c r="I902" s="45" t="s">
        <v>175</v>
      </c>
      <c r="J902" s="45" t="s">
        <v>1988</v>
      </c>
      <c r="K902" s="45" t="n">
        <v>1207.3</v>
      </c>
      <c r="L902" s="45" t="s">
        <v>263</v>
      </c>
      <c r="M902" s="45" t="s">
        <v>259</v>
      </c>
      <c r="N902" s="45" t="s">
        <v>167</v>
      </c>
      <c r="O902" s="47" t="n">
        <v>46206.1240509259</v>
      </c>
      <c r="P902" s="47" t="n">
        <v>46206.9624884259</v>
      </c>
    </row>
    <row r="903" customFormat="false" ht="15" hidden="false" customHeight="false" outlineLevel="0" collapsed="false">
      <c r="A903" s="45" t="n">
        <v>1107</v>
      </c>
      <c r="B903" s="46" t="n">
        <v>46206</v>
      </c>
      <c r="C903" s="45" t="s">
        <v>135</v>
      </c>
      <c r="D903" s="45" t="s">
        <v>136</v>
      </c>
      <c r="E903" s="45" t="s">
        <v>1833</v>
      </c>
      <c r="F903" s="45" t="s">
        <v>1989</v>
      </c>
      <c r="G903" s="46" t="n">
        <v>46204</v>
      </c>
      <c r="H903" s="45" t="s">
        <v>167</v>
      </c>
      <c r="I903" s="45" t="s">
        <v>176</v>
      </c>
      <c r="J903" s="45" t="s">
        <v>1990</v>
      </c>
      <c r="K903" s="45" t="n">
        <v>1.4</v>
      </c>
      <c r="L903" s="45" t="s">
        <v>263</v>
      </c>
      <c r="M903" s="45" t="s">
        <v>259</v>
      </c>
      <c r="N903" s="45" t="s">
        <v>167</v>
      </c>
      <c r="O903" s="47" t="n">
        <v>46206.1334722222</v>
      </c>
      <c r="P903" s="47" t="n">
        <v>46206.1344675926</v>
      </c>
    </row>
    <row r="904" customFormat="false" ht="15" hidden="false" customHeight="false" outlineLevel="0" collapsed="false">
      <c r="A904" s="45" t="n">
        <v>1108</v>
      </c>
      <c r="B904" s="46" t="n">
        <v>46206</v>
      </c>
      <c r="C904" s="45" t="s">
        <v>135</v>
      </c>
      <c r="D904" s="45" t="s">
        <v>136</v>
      </c>
      <c r="E904" s="45" t="s">
        <v>1833</v>
      </c>
      <c r="F904" s="45" t="s">
        <v>1991</v>
      </c>
      <c r="G904" s="46" t="n">
        <v>46202</v>
      </c>
      <c r="H904" s="45" t="s">
        <v>167</v>
      </c>
      <c r="I904" s="45" t="s">
        <v>175</v>
      </c>
      <c r="J904" s="45" t="s">
        <v>1992</v>
      </c>
      <c r="K904" s="45" t="n">
        <v>0.9</v>
      </c>
      <c r="L904" s="45" t="s">
        <v>263</v>
      </c>
      <c r="M904" s="45" t="s">
        <v>259</v>
      </c>
      <c r="N904" s="45" t="s">
        <v>167</v>
      </c>
      <c r="O904" s="47" t="n">
        <v>46206.1392708333</v>
      </c>
      <c r="P904" s="47" t="n">
        <v>46206.1399074074</v>
      </c>
    </row>
    <row r="905" customFormat="false" ht="15" hidden="false" customHeight="false" outlineLevel="0" collapsed="false">
      <c r="A905" s="45" t="n">
        <v>1111</v>
      </c>
      <c r="B905" s="46" t="n">
        <v>46206</v>
      </c>
      <c r="C905" s="45" t="s">
        <v>141</v>
      </c>
      <c r="D905" s="45" t="s">
        <v>142</v>
      </c>
      <c r="E905" s="45" t="s">
        <v>543</v>
      </c>
      <c r="F905" s="45" t="s">
        <v>1993</v>
      </c>
      <c r="G905" s="46" t="n">
        <v>46198</v>
      </c>
      <c r="H905" s="45" t="s">
        <v>168</v>
      </c>
      <c r="I905" s="45" t="s">
        <v>191</v>
      </c>
      <c r="J905" s="45" t="s">
        <v>1994</v>
      </c>
      <c r="K905" s="45" t="n">
        <v>89</v>
      </c>
      <c r="L905" s="45" t="s">
        <v>263</v>
      </c>
      <c r="M905" s="45" t="s">
        <v>259</v>
      </c>
      <c r="N905" s="45" t="s">
        <v>264</v>
      </c>
      <c r="O905" s="47" t="n">
        <v>46206.6690393519</v>
      </c>
      <c r="P905" s="47" t="n">
        <v>46206.7308796296</v>
      </c>
    </row>
    <row r="906" customFormat="false" ht="15" hidden="false" customHeight="false" outlineLevel="0" collapsed="false">
      <c r="A906" s="45" t="n">
        <v>1109</v>
      </c>
      <c r="B906" s="46" t="n">
        <v>46206</v>
      </c>
      <c r="C906" s="45" t="s">
        <v>135</v>
      </c>
      <c r="D906" s="45" t="s">
        <v>136</v>
      </c>
      <c r="E906" s="45" t="s">
        <v>218</v>
      </c>
      <c r="F906" s="45" t="s">
        <v>1995</v>
      </c>
      <c r="G906" s="46" t="n">
        <v>46205</v>
      </c>
      <c r="H906" s="45" t="s">
        <v>167</v>
      </c>
      <c r="I906" s="45" t="s">
        <v>175</v>
      </c>
      <c r="J906" s="45" t="s">
        <v>1996</v>
      </c>
      <c r="K906" s="45" t="n">
        <v>23.6</v>
      </c>
      <c r="L906" s="45" t="s">
        <v>263</v>
      </c>
      <c r="M906" s="45" t="s">
        <v>259</v>
      </c>
      <c r="N906" s="45" t="s">
        <v>167</v>
      </c>
      <c r="O906" s="47" t="n">
        <v>46206.6712615741</v>
      </c>
      <c r="P906" s="47" t="n">
        <v>46206.6876736111</v>
      </c>
    </row>
    <row r="907" customFormat="false" ht="15" hidden="false" customHeight="false" outlineLevel="0" collapsed="false">
      <c r="A907" s="45" t="n">
        <v>1110</v>
      </c>
      <c r="B907" s="46" t="n">
        <v>46206</v>
      </c>
      <c r="C907" s="45" t="s">
        <v>135</v>
      </c>
      <c r="D907" s="45" t="s">
        <v>136</v>
      </c>
      <c r="E907" s="45" t="s">
        <v>218</v>
      </c>
      <c r="F907" s="45" t="s">
        <v>1997</v>
      </c>
      <c r="G907" s="46" t="n">
        <v>46205</v>
      </c>
      <c r="H907" s="45" t="s">
        <v>167</v>
      </c>
      <c r="I907" s="45" t="s">
        <v>175</v>
      </c>
      <c r="J907" s="45" t="s">
        <v>1998</v>
      </c>
      <c r="K907" s="45" t="n">
        <v>31.6</v>
      </c>
      <c r="L907" s="45" t="s">
        <v>263</v>
      </c>
      <c r="M907" s="45" t="s">
        <v>259</v>
      </c>
      <c r="N907" s="45" t="s">
        <v>167</v>
      </c>
      <c r="O907" s="47" t="n">
        <v>46206.6876967593</v>
      </c>
      <c r="P907" s="47" t="n">
        <v>46206.7096643519</v>
      </c>
    </row>
    <row r="908" customFormat="false" ht="15" hidden="false" customHeight="false" outlineLevel="0" collapsed="false">
      <c r="A908" s="45" t="n">
        <v>1112</v>
      </c>
      <c r="B908" s="46" t="n">
        <v>46206</v>
      </c>
      <c r="C908" s="45" t="s">
        <v>141</v>
      </c>
      <c r="D908" s="45" t="s">
        <v>142</v>
      </c>
      <c r="E908" s="45" t="s">
        <v>1027</v>
      </c>
      <c r="F908" s="45" t="s">
        <v>1999</v>
      </c>
      <c r="G908" s="46" t="n">
        <v>46204</v>
      </c>
      <c r="H908" s="45" t="s">
        <v>57</v>
      </c>
      <c r="I908" s="45" t="s">
        <v>200</v>
      </c>
      <c r="J908" s="45" t="s">
        <v>2000</v>
      </c>
      <c r="K908" s="45" t="n">
        <v>5.8</v>
      </c>
      <c r="L908" s="45" t="s">
        <v>263</v>
      </c>
      <c r="M908" s="45" t="s">
        <v>259</v>
      </c>
      <c r="N908" s="45" t="s">
        <v>57</v>
      </c>
      <c r="O908" s="47" t="n">
        <v>46206.7309027778</v>
      </c>
      <c r="P908" s="47" t="n">
        <v>46206.7349537037</v>
      </c>
    </row>
    <row r="909" customFormat="false" ht="15" hidden="false" customHeight="false" outlineLevel="0" collapsed="false">
      <c r="A909" s="45" t="n">
        <v>1113</v>
      </c>
      <c r="B909" s="46" t="n">
        <v>46206</v>
      </c>
      <c r="C909" s="45" t="s">
        <v>141</v>
      </c>
      <c r="D909" s="45" t="s">
        <v>142</v>
      </c>
      <c r="E909" s="45" t="s">
        <v>1704</v>
      </c>
      <c r="F909" s="45" t="s">
        <v>2001</v>
      </c>
      <c r="G909" s="46" t="n">
        <v>46204</v>
      </c>
      <c r="H909" s="45" t="s">
        <v>169</v>
      </c>
      <c r="I909" s="45"/>
      <c r="J909" s="45"/>
      <c r="K909" s="45" t="n">
        <v>1.1</v>
      </c>
      <c r="L909" s="45" t="s">
        <v>263</v>
      </c>
      <c r="M909" s="45" t="s">
        <v>259</v>
      </c>
      <c r="N909" s="45" t="s">
        <v>169</v>
      </c>
      <c r="O909" s="47" t="n">
        <v>46206.7351851852</v>
      </c>
      <c r="P909" s="47" t="n">
        <v>46206.7359606482</v>
      </c>
    </row>
    <row r="910" customFormat="false" ht="15" hidden="false" customHeight="false" outlineLevel="0" collapsed="false">
      <c r="A910" s="45" t="n">
        <v>1114</v>
      </c>
      <c r="B910" s="46" t="n">
        <v>46206</v>
      </c>
      <c r="C910" s="45" t="s">
        <v>135</v>
      </c>
      <c r="D910" s="45" t="s">
        <v>136</v>
      </c>
      <c r="E910" s="45" t="s">
        <v>218</v>
      </c>
      <c r="F910" s="45" t="s">
        <v>2002</v>
      </c>
      <c r="G910" s="46" t="n">
        <v>46204</v>
      </c>
      <c r="H910" s="45" t="s">
        <v>167</v>
      </c>
      <c r="I910" s="45" t="s">
        <v>175</v>
      </c>
      <c r="J910" s="45" t="s">
        <v>2003</v>
      </c>
      <c r="K910" s="45" t="n">
        <v>3.1</v>
      </c>
      <c r="L910" s="45" t="s">
        <v>263</v>
      </c>
      <c r="M910" s="45" t="s">
        <v>259</v>
      </c>
      <c r="N910" s="45" t="s">
        <v>167</v>
      </c>
      <c r="O910" s="47" t="n">
        <v>46206.7518171296</v>
      </c>
      <c r="P910" s="47" t="n">
        <v>46206.7539930556</v>
      </c>
    </row>
    <row r="911" customFormat="false" ht="15" hidden="false" customHeight="false" outlineLevel="0" collapsed="false">
      <c r="A911" s="45" t="n">
        <v>1115</v>
      </c>
      <c r="B911" s="46" t="n">
        <v>46206</v>
      </c>
      <c r="C911" s="45" t="s">
        <v>141</v>
      </c>
      <c r="D911" s="45" t="s">
        <v>142</v>
      </c>
      <c r="E911" s="45" t="s">
        <v>683</v>
      </c>
      <c r="F911" s="45" t="s">
        <v>2004</v>
      </c>
      <c r="G911" s="46" t="n">
        <v>46199</v>
      </c>
      <c r="H911" s="45" t="s">
        <v>167</v>
      </c>
      <c r="I911" s="45" t="s">
        <v>175</v>
      </c>
      <c r="J911" s="45" t="s">
        <v>2005</v>
      </c>
      <c r="K911" s="45" t="n">
        <v>238.3</v>
      </c>
      <c r="L911" s="45" t="s">
        <v>263</v>
      </c>
      <c r="M911" s="45" t="s">
        <v>259</v>
      </c>
      <c r="N911" s="45" t="s">
        <v>167</v>
      </c>
      <c r="O911" s="47" t="n">
        <v>46206.7671412037</v>
      </c>
      <c r="P911" s="47" t="n">
        <v>46206.9326388889</v>
      </c>
    </row>
    <row r="912" customFormat="false" ht="15" hidden="false" customHeight="false" outlineLevel="0" collapsed="false">
      <c r="A912" s="45" t="n">
        <v>1117</v>
      </c>
      <c r="B912" s="46" t="n">
        <v>46206</v>
      </c>
      <c r="C912" s="45" t="s">
        <v>143</v>
      </c>
      <c r="D912" s="45" t="s">
        <v>144</v>
      </c>
      <c r="E912" s="45" t="s">
        <v>1697</v>
      </c>
      <c r="F912" s="45" t="s">
        <v>2006</v>
      </c>
      <c r="G912" s="46" t="n">
        <v>46204</v>
      </c>
      <c r="H912" s="45" t="s">
        <v>167</v>
      </c>
      <c r="I912" s="45" t="s">
        <v>175</v>
      </c>
      <c r="J912" s="45" t="s">
        <v>2007</v>
      </c>
      <c r="K912" s="45" t="n">
        <v>58</v>
      </c>
      <c r="L912" s="45" t="s">
        <v>263</v>
      </c>
      <c r="M912" s="45" t="s">
        <v>259</v>
      </c>
      <c r="N912" s="45" t="s">
        <v>167</v>
      </c>
      <c r="O912" s="47" t="n">
        <v>46206.9625231482</v>
      </c>
      <c r="P912" s="47" t="n">
        <v>46207.0028240741</v>
      </c>
    </row>
    <row r="913" customFormat="false" ht="15" hidden="false" customHeight="false" outlineLevel="0" collapsed="false">
      <c r="A913" s="45" t="n">
        <v>1118</v>
      </c>
      <c r="B913" s="46" t="n">
        <v>46207</v>
      </c>
      <c r="C913" s="45" t="s">
        <v>143</v>
      </c>
      <c r="D913" s="45" t="s">
        <v>144</v>
      </c>
      <c r="E913" s="45" t="s">
        <v>1974</v>
      </c>
      <c r="F913" s="45" t="s">
        <v>2008</v>
      </c>
      <c r="G913" s="46" t="n">
        <v>46205</v>
      </c>
      <c r="H913" s="45" t="s">
        <v>167</v>
      </c>
      <c r="I913" s="45" t="s">
        <v>175</v>
      </c>
      <c r="J913" s="45" t="s">
        <v>2009</v>
      </c>
      <c r="K913" s="45" t="n">
        <v>99</v>
      </c>
      <c r="L913" s="45" t="s">
        <v>263</v>
      </c>
      <c r="M913" s="45" t="s">
        <v>259</v>
      </c>
      <c r="N913" s="45" t="s">
        <v>167</v>
      </c>
      <c r="O913" s="47" t="n">
        <v>46207.0028819444</v>
      </c>
      <c r="P913" s="47" t="n">
        <v>46207.0716087963</v>
      </c>
    </row>
    <row r="914" customFormat="false" ht="15" hidden="false" customHeight="false" outlineLevel="0" collapsed="false">
      <c r="A914" s="45" t="n">
        <v>1119</v>
      </c>
      <c r="B914" s="46" t="n">
        <v>46207</v>
      </c>
      <c r="C914" s="45" t="s">
        <v>143</v>
      </c>
      <c r="D914" s="45" t="s">
        <v>144</v>
      </c>
      <c r="E914" s="45" t="s">
        <v>223</v>
      </c>
      <c r="F914" s="45" t="s">
        <v>2010</v>
      </c>
      <c r="G914" s="46" t="n">
        <v>46205</v>
      </c>
      <c r="H914" s="45" t="s">
        <v>167</v>
      </c>
      <c r="I914" s="45" t="s">
        <v>175</v>
      </c>
      <c r="J914" s="45" t="s">
        <v>2011</v>
      </c>
      <c r="K914" s="45" t="n">
        <v>21.9</v>
      </c>
      <c r="L914" s="45" t="s">
        <v>263</v>
      </c>
      <c r="M914" s="45" t="s">
        <v>259</v>
      </c>
      <c r="N914" s="45" t="s">
        <v>167</v>
      </c>
      <c r="O914" s="47" t="n">
        <v>46207.071712963</v>
      </c>
      <c r="P914" s="47" t="n">
        <v>46207.0869212963</v>
      </c>
    </row>
    <row r="915" customFormat="false" ht="15" hidden="false" customHeight="false" outlineLevel="0" collapsed="false">
      <c r="A915" s="45" t="n">
        <v>1120</v>
      </c>
      <c r="B915" s="46" t="n">
        <v>46207</v>
      </c>
      <c r="C915" s="45" t="s">
        <v>143</v>
      </c>
      <c r="D915" s="45" t="s">
        <v>144</v>
      </c>
      <c r="E915" s="45" t="s">
        <v>353</v>
      </c>
      <c r="F915" s="45" t="s">
        <v>2012</v>
      </c>
      <c r="G915" s="46" t="n">
        <v>46205</v>
      </c>
      <c r="H915" s="45" t="s">
        <v>167</v>
      </c>
      <c r="I915" s="45" t="s">
        <v>175</v>
      </c>
      <c r="J915" s="45" t="s">
        <v>2013</v>
      </c>
      <c r="K915" s="45" t="n">
        <v>1.3</v>
      </c>
      <c r="L915" s="45" t="s">
        <v>263</v>
      </c>
      <c r="M915" s="45" t="s">
        <v>259</v>
      </c>
      <c r="N915" s="45" t="s">
        <v>167</v>
      </c>
      <c r="O915" s="47" t="n">
        <v>46207.0869444445</v>
      </c>
      <c r="P915" s="47" t="n">
        <v>46207.0878356482</v>
      </c>
    </row>
    <row r="916" customFormat="false" ht="15" hidden="false" customHeight="false" outlineLevel="0" collapsed="false">
      <c r="A916" s="45" t="n">
        <v>1121</v>
      </c>
      <c r="B916" s="46" t="n">
        <v>46207</v>
      </c>
      <c r="C916" s="45" t="s">
        <v>143</v>
      </c>
      <c r="D916" s="45" t="s">
        <v>144</v>
      </c>
      <c r="E916" s="45" t="s">
        <v>228</v>
      </c>
      <c r="F916" s="45" t="s">
        <v>2014</v>
      </c>
      <c r="G916" s="46" t="n">
        <v>46205</v>
      </c>
      <c r="H916" s="45" t="s">
        <v>167</v>
      </c>
      <c r="I916" s="45" t="s">
        <v>175</v>
      </c>
      <c r="J916" s="45" t="s">
        <v>2015</v>
      </c>
      <c r="K916" s="45" t="n">
        <v>4.5</v>
      </c>
      <c r="L916" s="45" t="s">
        <v>263</v>
      </c>
      <c r="M916" s="45" t="s">
        <v>259</v>
      </c>
      <c r="N916" s="45" t="s">
        <v>167</v>
      </c>
      <c r="O916" s="47" t="n">
        <v>46207.0878819445</v>
      </c>
      <c r="P916" s="47" t="n">
        <v>46207.0910416667</v>
      </c>
    </row>
    <row r="917" customFormat="false" ht="15" hidden="false" customHeight="false" outlineLevel="0" collapsed="false">
      <c r="A917" s="45" t="n">
        <v>1122</v>
      </c>
      <c r="B917" s="46" t="n">
        <v>46207</v>
      </c>
      <c r="C917" s="45" t="s">
        <v>143</v>
      </c>
      <c r="D917" s="45" t="s">
        <v>144</v>
      </c>
      <c r="E917" s="45" t="s">
        <v>223</v>
      </c>
      <c r="F917" s="45" t="s">
        <v>2016</v>
      </c>
      <c r="G917" s="46" t="n">
        <v>46205</v>
      </c>
      <c r="H917" s="45" t="s">
        <v>167</v>
      </c>
      <c r="I917" s="45" t="s">
        <v>175</v>
      </c>
      <c r="J917" s="45" t="s">
        <v>2017</v>
      </c>
      <c r="K917" s="45" t="n">
        <v>14.5</v>
      </c>
      <c r="L917" s="45" t="s">
        <v>263</v>
      </c>
      <c r="M917" s="45" t="s">
        <v>259</v>
      </c>
      <c r="N917" s="45" t="s">
        <v>167</v>
      </c>
      <c r="O917" s="47" t="n">
        <v>46207.0911226852</v>
      </c>
      <c r="P917" s="47" t="n">
        <v>46207.1011921296</v>
      </c>
    </row>
    <row r="918" customFormat="false" ht="15" hidden="false" customHeight="false" outlineLevel="0" collapsed="false">
      <c r="A918" s="45" t="n">
        <v>1123</v>
      </c>
      <c r="B918" s="46" t="n">
        <v>46207</v>
      </c>
      <c r="C918" s="45" t="s">
        <v>143</v>
      </c>
      <c r="D918" s="45" t="s">
        <v>144</v>
      </c>
      <c r="E918" s="45" t="s">
        <v>353</v>
      </c>
      <c r="F918" s="45" t="s">
        <v>2018</v>
      </c>
      <c r="G918" s="46" t="n">
        <v>46205</v>
      </c>
      <c r="H918" s="45" t="s">
        <v>167</v>
      </c>
      <c r="I918" s="45" t="s">
        <v>175</v>
      </c>
      <c r="J918" s="45" t="s">
        <v>2019</v>
      </c>
      <c r="K918" s="45" t="n">
        <v>49.7</v>
      </c>
      <c r="L918" s="45" t="s">
        <v>263</v>
      </c>
      <c r="M918" s="45" t="s">
        <v>259</v>
      </c>
      <c r="N918" s="45" t="s">
        <v>167</v>
      </c>
      <c r="O918" s="47" t="n">
        <v>46207.1019097222</v>
      </c>
      <c r="P918" s="47" t="n">
        <v>46207.136400463</v>
      </c>
    </row>
    <row r="919" customFormat="false" ht="15" hidden="false" customHeight="false" outlineLevel="0" collapsed="false">
      <c r="A919" s="45" t="n">
        <v>1169</v>
      </c>
      <c r="B919" s="46" t="n">
        <v>46207</v>
      </c>
      <c r="C919" s="45" t="s">
        <v>143</v>
      </c>
      <c r="D919" s="45" t="s">
        <v>144</v>
      </c>
      <c r="E919" s="45" t="s">
        <v>1613</v>
      </c>
      <c r="F919" s="45" t="s">
        <v>2020</v>
      </c>
      <c r="G919" s="46" t="n">
        <v>46206</v>
      </c>
      <c r="H919" s="45" t="s">
        <v>167</v>
      </c>
      <c r="I919" s="45" t="s">
        <v>175</v>
      </c>
      <c r="J919" s="45" t="s">
        <v>2021</v>
      </c>
      <c r="K919" s="45" t="n">
        <v>4205.5</v>
      </c>
      <c r="L919" s="45" t="s">
        <v>263</v>
      </c>
      <c r="M919" s="45" t="s">
        <v>259</v>
      </c>
      <c r="N919" s="45" t="s">
        <v>167</v>
      </c>
      <c r="O919" s="47" t="n">
        <v>46207.1364930556</v>
      </c>
      <c r="P919" s="47" t="n">
        <v>46210.0569560185</v>
      </c>
    </row>
    <row r="920" customFormat="false" ht="15" hidden="false" customHeight="false" outlineLevel="0" collapsed="false">
      <c r="A920" s="45" t="n">
        <v>1124</v>
      </c>
      <c r="B920" s="46" t="n">
        <v>46207</v>
      </c>
      <c r="C920" s="45" t="s">
        <v>135</v>
      </c>
      <c r="D920" s="45" t="s">
        <v>136</v>
      </c>
      <c r="E920" s="45" t="s">
        <v>218</v>
      </c>
      <c r="F920" s="45" t="s">
        <v>2022</v>
      </c>
      <c r="G920" s="46" t="n">
        <v>46203</v>
      </c>
      <c r="H920" s="45" t="s">
        <v>57</v>
      </c>
      <c r="I920" s="45" t="s">
        <v>200</v>
      </c>
      <c r="J920" s="45" t="s">
        <v>2023</v>
      </c>
      <c r="K920" s="45" t="n">
        <v>0.3</v>
      </c>
      <c r="L920" s="45" t="s">
        <v>259</v>
      </c>
      <c r="M920" s="45" t="s">
        <v>259</v>
      </c>
      <c r="N920" s="45" t="s">
        <v>57</v>
      </c>
      <c r="O920" s="47" t="n">
        <v>46207.1366782407</v>
      </c>
      <c r="P920" s="47" t="n">
        <v>46207.1368865741</v>
      </c>
    </row>
    <row r="921" customFormat="false" ht="15" hidden="false" customHeight="false" outlineLevel="0" collapsed="false">
      <c r="A921" s="45" t="n">
        <v>1125</v>
      </c>
      <c r="B921" s="46" t="n">
        <v>46207</v>
      </c>
      <c r="C921" s="45" t="s">
        <v>135</v>
      </c>
      <c r="D921" s="45" t="s">
        <v>136</v>
      </c>
      <c r="E921" s="45" t="s">
        <v>238</v>
      </c>
      <c r="F921" s="45" t="s">
        <v>2024</v>
      </c>
      <c r="G921" s="46" t="n">
        <v>46204</v>
      </c>
      <c r="H921" s="45" t="s">
        <v>167</v>
      </c>
      <c r="I921" s="45" t="s">
        <v>176</v>
      </c>
      <c r="J921" s="45" t="s">
        <v>2025</v>
      </c>
      <c r="K921" s="45" t="n">
        <v>14.2</v>
      </c>
      <c r="L921" s="45" t="s">
        <v>263</v>
      </c>
      <c r="M921" s="45" t="s">
        <v>259</v>
      </c>
      <c r="N921" s="45" t="s">
        <v>167</v>
      </c>
      <c r="O921" s="47" t="n">
        <v>46207.1370949074</v>
      </c>
      <c r="P921" s="47" t="n">
        <v>46207.1469328704</v>
      </c>
    </row>
    <row r="922" customFormat="false" ht="15" hidden="false" customHeight="false" outlineLevel="0" collapsed="false">
      <c r="A922" s="45" t="n">
        <v>1126</v>
      </c>
      <c r="B922" s="46" t="n">
        <v>46207</v>
      </c>
      <c r="C922" s="45" t="s">
        <v>135</v>
      </c>
      <c r="D922" s="45" t="s">
        <v>136</v>
      </c>
      <c r="E922" s="45" t="s">
        <v>236</v>
      </c>
      <c r="F922" s="45" t="s">
        <v>2026</v>
      </c>
      <c r="G922" s="46" t="n">
        <v>46204</v>
      </c>
      <c r="H922" s="45" t="s">
        <v>57</v>
      </c>
      <c r="I922" s="45" t="s">
        <v>201</v>
      </c>
      <c r="J922" s="45" t="s">
        <v>2027</v>
      </c>
      <c r="K922" s="45" t="n">
        <v>5.3</v>
      </c>
      <c r="L922" s="45" t="s">
        <v>263</v>
      </c>
      <c r="M922" s="45" t="s">
        <v>259</v>
      </c>
      <c r="N922" s="45" t="s">
        <v>57</v>
      </c>
      <c r="O922" s="47" t="n">
        <v>46207.1475</v>
      </c>
      <c r="P922" s="47" t="n">
        <v>46207.1511689815</v>
      </c>
    </row>
    <row r="923" customFormat="false" ht="15" hidden="false" customHeight="false" outlineLevel="0" collapsed="false">
      <c r="A923" s="45" t="n">
        <v>1127</v>
      </c>
      <c r="B923" s="46" t="n">
        <v>46207</v>
      </c>
      <c r="C923" s="45" t="s">
        <v>135</v>
      </c>
      <c r="D923" s="45" t="s">
        <v>136</v>
      </c>
      <c r="E923" s="45" t="s">
        <v>226</v>
      </c>
      <c r="F923" s="45" t="s">
        <v>2028</v>
      </c>
      <c r="G923" s="46" t="n">
        <v>46204</v>
      </c>
      <c r="H923" s="45" t="s">
        <v>167</v>
      </c>
      <c r="I923" s="45" t="s">
        <v>175</v>
      </c>
      <c r="J923" s="45" t="s">
        <v>2029</v>
      </c>
      <c r="K923" s="45" t="n">
        <v>9.1</v>
      </c>
      <c r="L923" s="45" t="s">
        <v>263</v>
      </c>
      <c r="M923" s="45" t="s">
        <v>259</v>
      </c>
      <c r="N923" s="45" t="s">
        <v>167</v>
      </c>
      <c r="O923" s="47" t="n">
        <v>46207.1518518519</v>
      </c>
      <c r="P923" s="47" t="n">
        <v>46207.1581944445</v>
      </c>
    </row>
    <row r="924" customFormat="false" ht="15" hidden="false" customHeight="false" outlineLevel="0" collapsed="false">
      <c r="A924" s="45" t="n">
        <v>1128</v>
      </c>
      <c r="B924" s="46" t="n">
        <v>46207</v>
      </c>
      <c r="C924" s="45" t="s">
        <v>135</v>
      </c>
      <c r="D924" s="45" t="s">
        <v>136</v>
      </c>
      <c r="E924" s="45" t="s">
        <v>492</v>
      </c>
      <c r="F924" s="45" t="s">
        <v>2030</v>
      </c>
      <c r="G924" s="46" t="n">
        <v>46204</v>
      </c>
      <c r="H924" s="45" t="s">
        <v>167</v>
      </c>
      <c r="I924" s="45" t="s">
        <v>175</v>
      </c>
      <c r="J924" s="45" t="s">
        <v>2031</v>
      </c>
      <c r="K924" s="45" t="n">
        <v>7.6</v>
      </c>
      <c r="L924" s="45" t="s">
        <v>263</v>
      </c>
      <c r="M924" s="45" t="s">
        <v>259</v>
      </c>
      <c r="N924" s="45" t="s">
        <v>167</v>
      </c>
      <c r="O924" s="47" t="n">
        <v>46207.158287037</v>
      </c>
      <c r="P924" s="47" t="n">
        <v>46207.163587963</v>
      </c>
    </row>
    <row r="925" customFormat="false" ht="15" hidden="false" customHeight="false" outlineLevel="0" collapsed="false">
      <c r="A925" s="45" t="n">
        <v>1129</v>
      </c>
      <c r="B925" s="46" t="n">
        <v>46207</v>
      </c>
      <c r="C925" s="45" t="s">
        <v>135</v>
      </c>
      <c r="D925" s="45" t="s">
        <v>136</v>
      </c>
      <c r="E925" s="45" t="s">
        <v>236</v>
      </c>
      <c r="F925" s="45" t="s">
        <v>2032</v>
      </c>
      <c r="G925" s="46" t="n">
        <v>46198</v>
      </c>
      <c r="H925" s="45" t="s">
        <v>167</v>
      </c>
      <c r="I925" s="45" t="s">
        <v>175</v>
      </c>
      <c r="J925" s="45" t="s">
        <v>2033</v>
      </c>
      <c r="K925" s="45" t="n">
        <v>8.8</v>
      </c>
      <c r="L925" s="45" t="s">
        <v>263</v>
      </c>
      <c r="M925" s="45" t="s">
        <v>259</v>
      </c>
      <c r="N925" s="45" t="s">
        <v>167</v>
      </c>
      <c r="O925" s="47" t="n">
        <v>46207.1640393519</v>
      </c>
      <c r="P925" s="47" t="n">
        <v>46207.1701157407</v>
      </c>
    </row>
    <row r="926" customFormat="false" ht="15" hidden="false" customHeight="false" outlineLevel="0" collapsed="false">
      <c r="A926" s="45" t="n">
        <v>1130</v>
      </c>
      <c r="B926" s="46" t="n">
        <v>46207</v>
      </c>
      <c r="C926" s="45" t="s">
        <v>135</v>
      </c>
      <c r="D926" s="45" t="s">
        <v>136</v>
      </c>
      <c r="E926" s="45" t="s">
        <v>238</v>
      </c>
      <c r="F926" s="45" t="s">
        <v>2034</v>
      </c>
      <c r="G926" s="46" t="n">
        <v>46199</v>
      </c>
      <c r="H926" s="45" t="s">
        <v>167</v>
      </c>
      <c r="I926" s="45" t="s">
        <v>177</v>
      </c>
      <c r="J926" s="45" t="s">
        <v>2035</v>
      </c>
      <c r="K926" s="45" t="n">
        <v>8.5</v>
      </c>
      <c r="L926" s="45" t="s">
        <v>263</v>
      </c>
      <c r="M926" s="45" t="s">
        <v>259</v>
      </c>
      <c r="N926" s="45" t="s">
        <v>167</v>
      </c>
      <c r="O926" s="47" t="n">
        <v>46207.1704050926</v>
      </c>
      <c r="P926" s="47" t="n">
        <v>46207.1763078704</v>
      </c>
    </row>
    <row r="927" customFormat="false" ht="15" hidden="false" customHeight="false" outlineLevel="0" collapsed="false">
      <c r="A927" s="45" t="n">
        <v>1131</v>
      </c>
      <c r="B927" s="46" t="n">
        <v>46207</v>
      </c>
      <c r="C927" s="45" t="s">
        <v>135</v>
      </c>
      <c r="D927" s="45" t="s">
        <v>136</v>
      </c>
      <c r="E927" s="45" t="s">
        <v>236</v>
      </c>
      <c r="F927" s="45" t="s">
        <v>2036</v>
      </c>
      <c r="G927" s="46" t="n">
        <v>46197</v>
      </c>
      <c r="H927" s="45" t="s">
        <v>167</v>
      </c>
      <c r="I927" s="45" t="s">
        <v>175</v>
      </c>
      <c r="J927" s="45" t="s">
        <v>2037</v>
      </c>
      <c r="K927" s="45" t="n">
        <v>9.3</v>
      </c>
      <c r="L927" s="45" t="s">
        <v>263</v>
      </c>
      <c r="M927" s="45" t="s">
        <v>259</v>
      </c>
      <c r="N927" s="45" t="s">
        <v>167</v>
      </c>
      <c r="O927" s="47" t="n">
        <v>46207.1764699074</v>
      </c>
      <c r="P927" s="47" t="n">
        <v>46207.1829398148</v>
      </c>
    </row>
    <row r="928" customFormat="false" ht="15" hidden="false" customHeight="false" outlineLevel="0" collapsed="false">
      <c r="A928" s="45" t="n">
        <v>1132</v>
      </c>
      <c r="B928" s="46" t="n">
        <v>46207</v>
      </c>
      <c r="C928" s="45" t="s">
        <v>135</v>
      </c>
      <c r="D928" s="45" t="s">
        <v>136</v>
      </c>
      <c r="E928" s="45" t="s">
        <v>819</v>
      </c>
      <c r="F928" s="45" t="s">
        <v>2038</v>
      </c>
      <c r="G928" s="46" t="n">
        <v>46199</v>
      </c>
      <c r="H928" s="45" t="s">
        <v>167</v>
      </c>
      <c r="I928" s="45" t="s">
        <v>175</v>
      </c>
      <c r="J928" s="45" t="s">
        <v>2039</v>
      </c>
      <c r="K928" s="45" t="n">
        <v>22.6</v>
      </c>
      <c r="L928" s="45" t="s">
        <v>263</v>
      </c>
      <c r="M928" s="45" t="s">
        <v>259</v>
      </c>
      <c r="N928" s="45" t="s">
        <v>167</v>
      </c>
      <c r="O928" s="47" t="n">
        <v>46207.1858796296</v>
      </c>
      <c r="P928" s="47" t="n">
        <v>46207.2015740741</v>
      </c>
    </row>
    <row r="929" customFormat="false" ht="15" hidden="false" customHeight="false" outlineLevel="0" collapsed="false">
      <c r="A929" s="45" t="n">
        <v>1133</v>
      </c>
      <c r="B929" s="46" t="n">
        <v>46208</v>
      </c>
      <c r="C929" s="45" t="s">
        <v>137</v>
      </c>
      <c r="D929" s="45" t="s">
        <v>138</v>
      </c>
      <c r="E929" s="45" t="s">
        <v>496</v>
      </c>
      <c r="F929" s="45" t="s">
        <v>2040</v>
      </c>
      <c r="G929" s="46" t="n">
        <v>46198</v>
      </c>
      <c r="H929" s="45" t="s">
        <v>57</v>
      </c>
      <c r="I929" s="45" t="s">
        <v>200</v>
      </c>
      <c r="J929" s="45" t="s">
        <v>2041</v>
      </c>
      <c r="K929" s="45" t="n">
        <v>0.8</v>
      </c>
      <c r="L929" s="45" t="s">
        <v>263</v>
      </c>
      <c r="M929" s="45" t="s">
        <v>259</v>
      </c>
      <c r="N929" s="45" t="s">
        <v>57</v>
      </c>
      <c r="O929" s="47" t="n">
        <v>46208.886412037</v>
      </c>
      <c r="P929" s="47" t="n">
        <v>46208.8869328704</v>
      </c>
    </row>
    <row r="930" customFormat="false" ht="15" hidden="false" customHeight="false" outlineLevel="0" collapsed="false">
      <c r="A930" s="45" t="n">
        <v>1134</v>
      </c>
      <c r="B930" s="46" t="n">
        <v>46208</v>
      </c>
      <c r="C930" s="45" t="s">
        <v>137</v>
      </c>
      <c r="D930" s="45" t="s">
        <v>138</v>
      </c>
      <c r="E930" s="45" t="s">
        <v>496</v>
      </c>
      <c r="F930" s="45" t="s">
        <v>2042</v>
      </c>
      <c r="G930" s="46" t="n">
        <v>46196</v>
      </c>
      <c r="H930" s="45" t="s">
        <v>167</v>
      </c>
      <c r="I930" s="45" t="s">
        <v>177</v>
      </c>
      <c r="J930" s="45" t="s">
        <v>2043</v>
      </c>
      <c r="K930" s="45" t="n">
        <v>0.6</v>
      </c>
      <c r="L930" s="45" t="s">
        <v>263</v>
      </c>
      <c r="M930" s="45" t="s">
        <v>259</v>
      </c>
      <c r="N930" s="45" t="s">
        <v>167</v>
      </c>
      <c r="O930" s="47" t="n">
        <v>46208.887025463</v>
      </c>
      <c r="P930" s="47" t="n">
        <v>46208.8874189815</v>
      </c>
    </row>
    <row r="931" customFormat="false" ht="15" hidden="false" customHeight="false" outlineLevel="0" collapsed="false">
      <c r="A931" s="45" t="n">
        <v>1135</v>
      </c>
      <c r="B931" s="46" t="n">
        <v>46208</v>
      </c>
      <c r="C931" s="45" t="s">
        <v>137</v>
      </c>
      <c r="D931" s="45" t="s">
        <v>138</v>
      </c>
      <c r="E931" s="45" t="s">
        <v>1673</v>
      </c>
      <c r="F931" s="45" t="s">
        <v>2044</v>
      </c>
      <c r="G931" s="46" t="n">
        <v>46199</v>
      </c>
      <c r="H931" s="45" t="s">
        <v>167</v>
      </c>
      <c r="I931" s="45" t="s">
        <v>176</v>
      </c>
      <c r="J931" s="45" t="s">
        <v>2045</v>
      </c>
      <c r="K931" s="45" t="n">
        <v>0.8</v>
      </c>
      <c r="L931" s="45" t="s">
        <v>263</v>
      </c>
      <c r="M931" s="45" t="s">
        <v>259</v>
      </c>
      <c r="N931" s="45" t="s">
        <v>167</v>
      </c>
      <c r="O931" s="47" t="n">
        <v>46208.8874421296</v>
      </c>
      <c r="P931" s="47" t="n">
        <v>46208.887962963</v>
      </c>
    </row>
    <row r="932" customFormat="false" ht="15" hidden="false" customHeight="false" outlineLevel="0" collapsed="false">
      <c r="A932" s="45" t="n">
        <v>1136</v>
      </c>
      <c r="B932" s="46" t="n">
        <v>46208</v>
      </c>
      <c r="C932" s="45" t="s">
        <v>137</v>
      </c>
      <c r="D932" s="45" t="s">
        <v>138</v>
      </c>
      <c r="E932" s="45" t="s">
        <v>1673</v>
      </c>
      <c r="F932" s="45" t="s">
        <v>2046</v>
      </c>
      <c r="G932" s="46" t="n">
        <v>46195</v>
      </c>
      <c r="H932" s="45" t="s">
        <v>167</v>
      </c>
      <c r="I932" s="45" t="s">
        <v>182</v>
      </c>
      <c r="J932" s="45" t="s">
        <v>2047</v>
      </c>
      <c r="K932" s="45" t="n">
        <v>0.6</v>
      </c>
      <c r="L932" s="45" t="s">
        <v>263</v>
      </c>
      <c r="M932" s="45" t="s">
        <v>259</v>
      </c>
      <c r="N932" s="45" t="s">
        <v>167</v>
      </c>
      <c r="O932" s="47" t="n">
        <v>46208.8880092593</v>
      </c>
      <c r="P932" s="47" t="n">
        <v>46208.8884143519</v>
      </c>
    </row>
    <row r="933" customFormat="false" ht="15" hidden="false" customHeight="false" outlineLevel="0" collapsed="false">
      <c r="A933" s="45" t="n">
        <v>1137</v>
      </c>
      <c r="B933" s="46" t="n">
        <v>46208</v>
      </c>
      <c r="C933" s="45" t="s">
        <v>137</v>
      </c>
      <c r="D933" s="45" t="s">
        <v>138</v>
      </c>
      <c r="E933" s="45" t="s">
        <v>219</v>
      </c>
      <c r="F933" s="45" t="s">
        <v>2048</v>
      </c>
      <c r="G933" s="46" t="n">
        <v>46204</v>
      </c>
      <c r="H933" s="45" t="s">
        <v>167</v>
      </c>
      <c r="I933" s="45" t="s">
        <v>175</v>
      </c>
      <c r="J933" s="45" t="s">
        <v>2049</v>
      </c>
      <c r="K933" s="45" t="n">
        <v>0.6</v>
      </c>
      <c r="L933" s="45" t="s">
        <v>263</v>
      </c>
      <c r="M933" s="45" t="s">
        <v>259</v>
      </c>
      <c r="N933" s="45" t="s">
        <v>167</v>
      </c>
      <c r="O933" s="47" t="n">
        <v>46208.8884375</v>
      </c>
      <c r="P933" s="47" t="n">
        <v>46208.8888194444</v>
      </c>
    </row>
    <row r="934" customFormat="false" ht="15" hidden="false" customHeight="false" outlineLevel="0" collapsed="false">
      <c r="A934" s="45" t="n">
        <v>1138</v>
      </c>
      <c r="B934" s="46" t="n">
        <v>46208</v>
      </c>
      <c r="C934" s="45" t="s">
        <v>137</v>
      </c>
      <c r="D934" s="45" t="s">
        <v>138</v>
      </c>
      <c r="E934" s="45" t="s">
        <v>219</v>
      </c>
      <c r="F934" s="45" t="s">
        <v>2050</v>
      </c>
      <c r="G934" s="46" t="n">
        <v>46204</v>
      </c>
      <c r="H934" s="45" t="s">
        <v>167</v>
      </c>
      <c r="I934" s="45" t="s">
        <v>176</v>
      </c>
      <c r="J934" s="45" t="s">
        <v>2051</v>
      </c>
      <c r="K934" s="45" t="n">
        <v>0.8</v>
      </c>
      <c r="L934" s="45" t="s">
        <v>263</v>
      </c>
      <c r="M934" s="45" t="s">
        <v>259</v>
      </c>
      <c r="N934" s="45" t="s">
        <v>167</v>
      </c>
      <c r="O934" s="47" t="n">
        <v>46208.8888773148</v>
      </c>
      <c r="P934" s="47" t="n">
        <v>46208.8894560185</v>
      </c>
    </row>
    <row r="935" customFormat="false" ht="15" hidden="false" customHeight="false" outlineLevel="0" collapsed="false">
      <c r="A935" s="45" t="n">
        <v>1139</v>
      </c>
      <c r="B935" s="46" t="n">
        <v>46208</v>
      </c>
      <c r="C935" s="45" t="s">
        <v>137</v>
      </c>
      <c r="D935" s="45" t="s">
        <v>138</v>
      </c>
      <c r="E935" s="45" t="s">
        <v>219</v>
      </c>
      <c r="F935" s="45" t="s">
        <v>2052</v>
      </c>
      <c r="G935" s="46" t="n">
        <v>46203</v>
      </c>
      <c r="H935" s="45" t="s">
        <v>167</v>
      </c>
      <c r="I935" s="45" t="s">
        <v>182</v>
      </c>
      <c r="J935" s="45" t="s">
        <v>2053</v>
      </c>
      <c r="K935" s="45" t="n">
        <v>5.2</v>
      </c>
      <c r="L935" s="45" t="s">
        <v>263</v>
      </c>
      <c r="M935" s="45" t="s">
        <v>259</v>
      </c>
      <c r="N935" s="45" t="s">
        <v>167</v>
      </c>
      <c r="O935" s="47" t="n">
        <v>46208.8894791667</v>
      </c>
      <c r="P935" s="47" t="n">
        <v>46208.8930902778</v>
      </c>
    </row>
    <row r="936" customFormat="false" ht="15" hidden="false" customHeight="false" outlineLevel="0" collapsed="false">
      <c r="A936" s="45" t="n">
        <v>1140</v>
      </c>
      <c r="B936" s="46" t="n">
        <v>46208</v>
      </c>
      <c r="C936" s="45" t="s">
        <v>137</v>
      </c>
      <c r="D936" s="45" t="s">
        <v>138</v>
      </c>
      <c r="E936" s="45" t="s">
        <v>219</v>
      </c>
      <c r="F936" s="45" t="s">
        <v>2054</v>
      </c>
      <c r="G936" s="46" t="n">
        <v>46198</v>
      </c>
      <c r="H936" s="45" t="s">
        <v>168</v>
      </c>
      <c r="I936" s="45" t="s">
        <v>193</v>
      </c>
      <c r="J936" s="45" t="s">
        <v>2055</v>
      </c>
      <c r="K936" s="45" t="n">
        <v>0.8</v>
      </c>
      <c r="L936" s="45" t="s">
        <v>263</v>
      </c>
      <c r="M936" s="45" t="s">
        <v>259</v>
      </c>
      <c r="N936" s="45" t="s">
        <v>264</v>
      </c>
      <c r="O936" s="47" t="n">
        <v>46208.8931134259</v>
      </c>
      <c r="P936" s="47" t="n">
        <v>46208.8937037037</v>
      </c>
    </row>
    <row r="937" customFormat="false" ht="15" hidden="false" customHeight="false" outlineLevel="0" collapsed="false">
      <c r="A937" s="45" t="n">
        <v>1141</v>
      </c>
      <c r="B937" s="46" t="n">
        <v>46208</v>
      </c>
      <c r="C937" s="45" t="s">
        <v>137</v>
      </c>
      <c r="D937" s="45" t="s">
        <v>138</v>
      </c>
      <c r="E937" s="45" t="s">
        <v>449</v>
      </c>
      <c r="F937" s="45" t="s">
        <v>2056</v>
      </c>
      <c r="G937" s="46" t="n">
        <v>46204</v>
      </c>
      <c r="H937" s="45" t="s">
        <v>167</v>
      </c>
      <c r="I937" s="45" t="s">
        <v>177</v>
      </c>
      <c r="J937" s="45" t="s">
        <v>2057</v>
      </c>
      <c r="K937" s="45" t="n">
        <v>1.7</v>
      </c>
      <c r="L937" s="45" t="s">
        <v>263</v>
      </c>
      <c r="M937" s="45" t="s">
        <v>259</v>
      </c>
      <c r="N937" s="45" t="s">
        <v>167</v>
      </c>
      <c r="O937" s="47" t="n">
        <v>46208.8937384259</v>
      </c>
      <c r="P937" s="47" t="n">
        <v>46208.8949305556</v>
      </c>
    </row>
    <row r="938" customFormat="false" ht="15" hidden="false" customHeight="false" outlineLevel="0" collapsed="false">
      <c r="A938" s="45" t="n">
        <v>1142</v>
      </c>
      <c r="B938" s="46" t="n">
        <v>46208</v>
      </c>
      <c r="C938" s="45" t="s">
        <v>137</v>
      </c>
      <c r="D938" s="45" t="s">
        <v>138</v>
      </c>
      <c r="E938" s="45" t="s">
        <v>449</v>
      </c>
      <c r="F938" s="45" t="s">
        <v>2058</v>
      </c>
      <c r="G938" s="46" t="n">
        <v>46203</v>
      </c>
      <c r="H938" s="45" t="s">
        <v>170</v>
      </c>
      <c r="I938" s="45" t="s">
        <v>208</v>
      </c>
      <c r="J938" s="45" t="s">
        <v>2059</v>
      </c>
      <c r="K938" s="45" t="n">
        <v>0.9</v>
      </c>
      <c r="L938" s="45" t="s">
        <v>263</v>
      </c>
      <c r="M938" s="45" t="s">
        <v>259</v>
      </c>
      <c r="N938" s="45" t="s">
        <v>478</v>
      </c>
      <c r="O938" s="47" t="n">
        <v>46208.8950462963</v>
      </c>
      <c r="P938" s="47" t="n">
        <v>46208.8956712963</v>
      </c>
    </row>
    <row r="939" customFormat="false" ht="15" hidden="false" customHeight="false" outlineLevel="0" collapsed="false">
      <c r="A939" s="45" t="n">
        <v>1143</v>
      </c>
      <c r="B939" s="46" t="n">
        <v>46208</v>
      </c>
      <c r="C939" s="45" t="s">
        <v>137</v>
      </c>
      <c r="D939" s="45" t="s">
        <v>138</v>
      </c>
      <c r="E939" s="45" t="s">
        <v>1732</v>
      </c>
      <c r="F939" s="45" t="s">
        <v>2060</v>
      </c>
      <c r="G939" s="46" t="n">
        <v>46195</v>
      </c>
      <c r="H939" s="45" t="s">
        <v>167</v>
      </c>
      <c r="I939" s="45" t="s">
        <v>175</v>
      </c>
      <c r="J939" s="45" t="s">
        <v>2061</v>
      </c>
      <c r="K939" s="45" t="n">
        <v>0.9</v>
      </c>
      <c r="L939" s="45" t="s">
        <v>263</v>
      </c>
      <c r="M939" s="45" t="s">
        <v>259</v>
      </c>
      <c r="N939" s="45" t="s">
        <v>167</v>
      </c>
      <c r="O939" s="47" t="n">
        <v>46208.8957986111</v>
      </c>
      <c r="P939" s="47" t="n">
        <v>46208.8964351852</v>
      </c>
    </row>
    <row r="940" customFormat="false" ht="15" hidden="false" customHeight="false" outlineLevel="0" collapsed="false">
      <c r="A940" s="45" t="n">
        <v>1144</v>
      </c>
      <c r="B940" s="46" t="n">
        <v>46208</v>
      </c>
      <c r="C940" s="45" t="s">
        <v>137</v>
      </c>
      <c r="D940" s="45" t="s">
        <v>138</v>
      </c>
      <c r="E940" s="45" t="s">
        <v>1732</v>
      </c>
      <c r="F940" s="45" t="s">
        <v>2062</v>
      </c>
      <c r="G940" s="46" t="n">
        <v>46195</v>
      </c>
      <c r="H940" s="45" t="s">
        <v>168</v>
      </c>
      <c r="I940" s="45" t="s">
        <v>191</v>
      </c>
      <c r="J940" s="45" t="s">
        <v>2063</v>
      </c>
      <c r="K940" s="45" t="n">
        <v>0.9</v>
      </c>
      <c r="L940" s="45" t="s">
        <v>263</v>
      </c>
      <c r="M940" s="45" t="s">
        <v>259</v>
      </c>
      <c r="N940" s="45" t="s">
        <v>264</v>
      </c>
      <c r="O940" s="47" t="n">
        <v>46208.8964930556</v>
      </c>
      <c r="P940" s="47" t="n">
        <v>46208.8971412037</v>
      </c>
    </row>
    <row r="941" customFormat="false" ht="15" hidden="false" customHeight="false" outlineLevel="0" collapsed="false">
      <c r="A941" s="45" t="n">
        <v>1145</v>
      </c>
      <c r="B941" s="46" t="n">
        <v>46208</v>
      </c>
      <c r="C941" s="45" t="s">
        <v>137</v>
      </c>
      <c r="D941" s="45" t="s">
        <v>138</v>
      </c>
      <c r="E941" s="45" t="s">
        <v>1727</v>
      </c>
      <c r="F941" s="45" t="s">
        <v>2064</v>
      </c>
      <c r="G941" s="46" t="n">
        <v>46228</v>
      </c>
      <c r="H941" s="45" t="s">
        <v>167</v>
      </c>
      <c r="I941" s="45" t="s">
        <v>175</v>
      </c>
      <c r="J941" s="45" t="s">
        <v>2065</v>
      </c>
      <c r="K941" s="45" t="n">
        <v>1.8</v>
      </c>
      <c r="L941" s="45" t="s">
        <v>263</v>
      </c>
      <c r="M941" s="45" t="s">
        <v>259</v>
      </c>
      <c r="N941" s="45" t="s">
        <v>167</v>
      </c>
      <c r="O941" s="47" t="n">
        <v>46208.8971759259</v>
      </c>
      <c r="P941" s="47" t="n">
        <v>46208.8984259259</v>
      </c>
    </row>
    <row r="942" customFormat="false" ht="15" hidden="false" customHeight="false" outlineLevel="0" collapsed="false">
      <c r="A942" s="45" t="n">
        <v>1146</v>
      </c>
      <c r="B942" s="46" t="n">
        <v>46208</v>
      </c>
      <c r="C942" s="45" t="s">
        <v>137</v>
      </c>
      <c r="D942" s="45" t="s">
        <v>138</v>
      </c>
      <c r="E942" s="45" t="s">
        <v>1727</v>
      </c>
      <c r="F942" s="45" t="s">
        <v>2066</v>
      </c>
      <c r="G942" s="46" t="n">
        <v>46228</v>
      </c>
      <c r="H942" s="45" t="s">
        <v>167</v>
      </c>
      <c r="I942" s="45" t="s">
        <v>176</v>
      </c>
      <c r="J942" s="45" t="s">
        <v>2067</v>
      </c>
      <c r="K942" s="45" t="n">
        <v>3.1</v>
      </c>
      <c r="L942" s="45" t="s">
        <v>263</v>
      </c>
      <c r="M942" s="45" t="s">
        <v>259</v>
      </c>
      <c r="N942" s="45" t="s">
        <v>167</v>
      </c>
      <c r="O942" s="47" t="n">
        <v>46208.8984490741</v>
      </c>
      <c r="P942" s="47" t="n">
        <v>46208.900625</v>
      </c>
    </row>
    <row r="943" customFormat="false" ht="15" hidden="false" customHeight="false" outlineLevel="0" collapsed="false">
      <c r="A943" s="45" t="n">
        <v>1147</v>
      </c>
      <c r="B943" s="46" t="n">
        <v>46208</v>
      </c>
      <c r="C943" s="45" t="s">
        <v>137</v>
      </c>
      <c r="D943" s="45" t="s">
        <v>138</v>
      </c>
      <c r="E943" s="45" t="s">
        <v>1727</v>
      </c>
      <c r="F943" s="45" t="s">
        <v>2068</v>
      </c>
      <c r="G943" s="46" t="n">
        <v>46166</v>
      </c>
      <c r="H943" s="45" t="s">
        <v>167</v>
      </c>
      <c r="I943" s="45" t="s">
        <v>175</v>
      </c>
      <c r="J943" s="45" t="s">
        <v>2069</v>
      </c>
      <c r="K943" s="45" t="n">
        <v>2.4</v>
      </c>
      <c r="L943" s="45" t="s">
        <v>263</v>
      </c>
      <c r="M943" s="45" t="s">
        <v>259</v>
      </c>
      <c r="N943" s="45" t="s">
        <v>167</v>
      </c>
      <c r="O943" s="47" t="n">
        <v>46208.9006365741</v>
      </c>
      <c r="P943" s="47" t="n">
        <v>46208.9023148148</v>
      </c>
    </row>
    <row r="944" customFormat="false" ht="15" hidden="false" customHeight="false" outlineLevel="0" collapsed="false">
      <c r="A944" s="45" t="n">
        <v>1148</v>
      </c>
      <c r="B944" s="46" t="n">
        <v>46208</v>
      </c>
      <c r="C944" s="45" t="s">
        <v>137</v>
      </c>
      <c r="D944" s="45" t="s">
        <v>138</v>
      </c>
      <c r="E944" s="45" t="s">
        <v>309</v>
      </c>
      <c r="F944" s="45" t="s">
        <v>2070</v>
      </c>
      <c r="G944" s="46" t="n">
        <v>46196</v>
      </c>
      <c r="H944" s="45" t="s">
        <v>167</v>
      </c>
      <c r="I944" s="45" t="s">
        <v>175</v>
      </c>
      <c r="J944" s="45" t="s">
        <v>1242</v>
      </c>
      <c r="K944" s="45" t="n">
        <v>0.8</v>
      </c>
      <c r="L944" s="45" t="s">
        <v>263</v>
      </c>
      <c r="M944" s="45" t="s">
        <v>259</v>
      </c>
      <c r="N944" s="45" t="s">
        <v>167</v>
      </c>
      <c r="O944" s="47" t="n">
        <v>46208.9025462963</v>
      </c>
      <c r="P944" s="47" t="n">
        <v>46208.9030671296</v>
      </c>
    </row>
    <row r="945" customFormat="false" ht="15" hidden="false" customHeight="false" outlineLevel="0" collapsed="false">
      <c r="A945" s="45" t="n">
        <v>1149</v>
      </c>
      <c r="B945" s="46" t="n">
        <v>46208</v>
      </c>
      <c r="C945" s="45" t="s">
        <v>137</v>
      </c>
      <c r="D945" s="45" t="s">
        <v>138</v>
      </c>
      <c r="E945" s="45" t="s">
        <v>309</v>
      </c>
      <c r="F945" s="45" t="s">
        <v>2071</v>
      </c>
      <c r="G945" s="46" t="n">
        <v>46204</v>
      </c>
      <c r="H945" s="45" t="s">
        <v>168</v>
      </c>
      <c r="I945" s="45" t="s">
        <v>195</v>
      </c>
      <c r="J945" s="45" t="s">
        <v>2072</v>
      </c>
      <c r="K945" s="45" t="n">
        <v>0.9</v>
      </c>
      <c r="L945" s="45" t="s">
        <v>263</v>
      </c>
      <c r="M945" s="45" t="s">
        <v>259</v>
      </c>
      <c r="N945" s="45" t="s">
        <v>264</v>
      </c>
      <c r="O945" s="47" t="n">
        <v>46208.9030902778</v>
      </c>
      <c r="P945" s="47" t="n">
        <v>46208.90375</v>
      </c>
    </row>
    <row r="946" customFormat="false" ht="15" hidden="false" customHeight="false" outlineLevel="0" collapsed="false">
      <c r="A946" s="45" t="n">
        <v>1150</v>
      </c>
      <c r="B946" s="46" t="n">
        <v>46208</v>
      </c>
      <c r="C946" s="45" t="s">
        <v>137</v>
      </c>
      <c r="D946" s="45" t="s">
        <v>138</v>
      </c>
      <c r="E946" s="45" t="s">
        <v>309</v>
      </c>
      <c r="F946" s="45" t="s">
        <v>2073</v>
      </c>
      <c r="G946" s="46" t="n">
        <v>46196</v>
      </c>
      <c r="H946" s="45" t="s">
        <v>167</v>
      </c>
      <c r="I946" s="45" t="s">
        <v>175</v>
      </c>
      <c r="J946" s="45" t="s">
        <v>1242</v>
      </c>
      <c r="K946" s="45" t="n">
        <v>0.3</v>
      </c>
      <c r="L946" s="45" t="s">
        <v>263</v>
      </c>
      <c r="M946" s="45" t="s">
        <v>259</v>
      </c>
      <c r="N946" s="45" t="s">
        <v>167</v>
      </c>
      <c r="O946" s="47" t="n">
        <v>46208.9038194444</v>
      </c>
      <c r="P946" s="47" t="n">
        <v>46208.9040393519</v>
      </c>
    </row>
    <row r="947" customFormat="false" ht="15" hidden="false" customHeight="false" outlineLevel="0" collapsed="false">
      <c r="A947" s="45" t="n">
        <v>1151</v>
      </c>
      <c r="B947" s="46" t="n">
        <v>46208</v>
      </c>
      <c r="C947" s="45" t="s">
        <v>137</v>
      </c>
      <c r="D947" s="45" t="s">
        <v>138</v>
      </c>
      <c r="E947" s="45" t="s">
        <v>309</v>
      </c>
      <c r="F947" s="45" t="s">
        <v>2074</v>
      </c>
      <c r="G947" s="46" t="n">
        <v>46165</v>
      </c>
      <c r="H947" s="45" t="s">
        <v>168</v>
      </c>
      <c r="I947" s="45" t="s">
        <v>192</v>
      </c>
      <c r="J947" s="45" t="s">
        <v>2075</v>
      </c>
      <c r="K947" s="45" t="n">
        <v>1.3</v>
      </c>
      <c r="L947" s="45" t="s">
        <v>263</v>
      </c>
      <c r="M947" s="45" t="s">
        <v>259</v>
      </c>
      <c r="N947" s="45" t="s">
        <v>264</v>
      </c>
      <c r="O947" s="47" t="n">
        <v>46208.9040625</v>
      </c>
      <c r="P947" s="47" t="n">
        <v>46208.9049884259</v>
      </c>
    </row>
    <row r="948" customFormat="false" ht="15" hidden="false" customHeight="false" outlineLevel="0" collapsed="false">
      <c r="A948" s="45" t="n">
        <v>1152</v>
      </c>
      <c r="B948" s="46" t="n">
        <v>46208</v>
      </c>
      <c r="C948" s="45" t="s">
        <v>137</v>
      </c>
      <c r="D948" s="45" t="s">
        <v>138</v>
      </c>
      <c r="E948" s="45" t="s">
        <v>229</v>
      </c>
      <c r="F948" s="45" t="s">
        <v>2076</v>
      </c>
      <c r="G948" s="46" t="n">
        <v>46195</v>
      </c>
      <c r="H948" s="45" t="s">
        <v>167</v>
      </c>
      <c r="I948" s="45" t="s">
        <v>175</v>
      </c>
      <c r="J948" s="45" t="s">
        <v>1260</v>
      </c>
      <c r="K948" s="45" t="n">
        <v>0.6</v>
      </c>
      <c r="L948" s="45" t="s">
        <v>263</v>
      </c>
      <c r="M948" s="45" t="s">
        <v>259</v>
      </c>
      <c r="N948" s="45" t="s">
        <v>167</v>
      </c>
      <c r="O948" s="47" t="n">
        <v>46208.905</v>
      </c>
      <c r="P948" s="47" t="n">
        <v>46208.9053935185</v>
      </c>
    </row>
    <row r="949" customFormat="false" ht="15" hidden="false" customHeight="false" outlineLevel="0" collapsed="false">
      <c r="A949" s="45" t="n">
        <v>1153</v>
      </c>
      <c r="B949" s="46" t="n">
        <v>46208</v>
      </c>
      <c r="C949" s="45" t="s">
        <v>137</v>
      </c>
      <c r="D949" s="45" t="s">
        <v>138</v>
      </c>
      <c r="E949" s="45" t="s">
        <v>229</v>
      </c>
      <c r="F949" s="45" t="s">
        <v>2077</v>
      </c>
      <c r="G949" s="46" t="n">
        <v>46197</v>
      </c>
      <c r="H949" s="45" t="s">
        <v>168</v>
      </c>
      <c r="I949" s="45" t="s">
        <v>193</v>
      </c>
      <c r="J949" s="45" t="s">
        <v>2078</v>
      </c>
      <c r="K949" s="45" t="n">
        <v>0.5</v>
      </c>
      <c r="L949" s="45" t="s">
        <v>263</v>
      </c>
      <c r="M949" s="45" t="s">
        <v>259</v>
      </c>
      <c r="N949" s="45" t="s">
        <v>264</v>
      </c>
      <c r="O949" s="47" t="n">
        <v>46208.905474537</v>
      </c>
      <c r="P949" s="47" t="n">
        <v>46208.9058101852</v>
      </c>
    </row>
    <row r="950" customFormat="false" ht="15" hidden="false" customHeight="false" outlineLevel="0" collapsed="false">
      <c r="A950" s="45" t="n">
        <v>1154</v>
      </c>
      <c r="B950" s="46" t="n">
        <v>46208</v>
      </c>
      <c r="C950" s="45" t="s">
        <v>137</v>
      </c>
      <c r="D950" s="45" t="s">
        <v>138</v>
      </c>
      <c r="E950" s="45" t="s">
        <v>229</v>
      </c>
      <c r="F950" s="45" t="s">
        <v>2079</v>
      </c>
      <c r="G950" s="46" t="n">
        <v>46203</v>
      </c>
      <c r="H950" s="45" t="s">
        <v>168</v>
      </c>
      <c r="I950" s="45" t="s">
        <v>197</v>
      </c>
      <c r="J950" s="45" t="s">
        <v>2080</v>
      </c>
      <c r="K950" s="45" t="n">
        <v>1</v>
      </c>
      <c r="L950" s="45" t="s">
        <v>263</v>
      </c>
      <c r="M950" s="45" t="s">
        <v>259</v>
      </c>
      <c r="N950" s="45" t="s">
        <v>264</v>
      </c>
      <c r="O950" s="47" t="n">
        <v>46208.9058680556</v>
      </c>
      <c r="P950" s="47" t="n">
        <v>46208.9065625</v>
      </c>
    </row>
    <row r="951" customFormat="false" ht="15" hidden="false" customHeight="false" outlineLevel="0" collapsed="false">
      <c r="A951" s="45" t="n">
        <v>1155</v>
      </c>
      <c r="B951" s="46" t="n">
        <v>46208</v>
      </c>
      <c r="C951" s="45" t="s">
        <v>137</v>
      </c>
      <c r="D951" s="45" t="s">
        <v>138</v>
      </c>
      <c r="E951" s="45" t="s">
        <v>234</v>
      </c>
      <c r="F951" s="45" t="s">
        <v>2081</v>
      </c>
      <c r="G951" s="46" t="n">
        <v>46198</v>
      </c>
      <c r="H951" s="45" t="s">
        <v>167</v>
      </c>
      <c r="I951" s="45" t="s">
        <v>175</v>
      </c>
      <c r="J951" s="45" t="s">
        <v>2082</v>
      </c>
      <c r="K951" s="45" t="n">
        <v>0.3</v>
      </c>
      <c r="L951" s="45" t="s">
        <v>263</v>
      </c>
      <c r="M951" s="45" t="s">
        <v>259</v>
      </c>
      <c r="N951" s="45" t="s">
        <v>167</v>
      </c>
      <c r="O951" s="47" t="n">
        <v>46208.9066319445</v>
      </c>
      <c r="P951" s="47" t="n">
        <v>46208.9068634259</v>
      </c>
    </row>
    <row r="952" customFormat="false" ht="15" hidden="false" customHeight="false" outlineLevel="0" collapsed="false">
      <c r="A952" s="45" t="n">
        <v>1156</v>
      </c>
      <c r="B952" s="46" t="n">
        <v>46208</v>
      </c>
      <c r="C952" s="45" t="s">
        <v>137</v>
      </c>
      <c r="D952" s="45" t="s">
        <v>138</v>
      </c>
      <c r="E952" s="45" t="s">
        <v>219</v>
      </c>
      <c r="F952" s="45" t="s">
        <v>2083</v>
      </c>
      <c r="G952" s="46" t="n">
        <v>46204</v>
      </c>
      <c r="H952" s="45" t="s">
        <v>167</v>
      </c>
      <c r="I952" s="45" t="s">
        <v>175</v>
      </c>
      <c r="J952" s="45" t="s">
        <v>2084</v>
      </c>
      <c r="K952" s="45" t="n">
        <v>4.7</v>
      </c>
      <c r="L952" s="45" t="s">
        <v>263</v>
      </c>
      <c r="M952" s="45" t="s">
        <v>259</v>
      </c>
      <c r="N952" s="45" t="s">
        <v>167</v>
      </c>
      <c r="O952" s="47" t="n">
        <v>46208.9068865741</v>
      </c>
      <c r="P952" s="47" t="n">
        <v>46208.9101157407</v>
      </c>
    </row>
    <row r="953" customFormat="false" ht="15" hidden="false" customHeight="false" outlineLevel="0" collapsed="false">
      <c r="A953" s="45" t="n">
        <v>1157</v>
      </c>
      <c r="B953" s="46" t="n">
        <v>46208</v>
      </c>
      <c r="C953" s="45" t="s">
        <v>137</v>
      </c>
      <c r="D953" s="45" t="s">
        <v>138</v>
      </c>
      <c r="E953" s="45" t="s">
        <v>235</v>
      </c>
      <c r="F953" s="45" t="s">
        <v>2085</v>
      </c>
      <c r="G953" s="46" t="n">
        <v>46204</v>
      </c>
      <c r="H953" s="45" t="s">
        <v>167</v>
      </c>
      <c r="I953" s="45" t="s">
        <v>175</v>
      </c>
      <c r="J953" s="45" t="s">
        <v>2086</v>
      </c>
      <c r="K953" s="45" t="n">
        <v>0.6</v>
      </c>
      <c r="L953" s="45" t="s">
        <v>263</v>
      </c>
      <c r="M953" s="45" t="s">
        <v>259</v>
      </c>
      <c r="N953" s="45" t="s">
        <v>167</v>
      </c>
      <c r="O953" s="47" t="n">
        <v>46208.9101388889</v>
      </c>
      <c r="P953" s="47" t="n">
        <v>46208.9105787037</v>
      </c>
    </row>
    <row r="954" customFormat="false" ht="15" hidden="false" customHeight="false" outlineLevel="0" collapsed="false">
      <c r="A954" s="45" t="n">
        <v>1158</v>
      </c>
      <c r="B954" s="46" t="n">
        <v>46208</v>
      </c>
      <c r="C954" s="45" t="s">
        <v>137</v>
      </c>
      <c r="D954" s="45" t="s">
        <v>138</v>
      </c>
      <c r="E954" s="45" t="s">
        <v>235</v>
      </c>
      <c r="F954" s="45" t="s">
        <v>2087</v>
      </c>
      <c r="G954" s="46" t="n">
        <v>46203</v>
      </c>
      <c r="H954" s="45" t="s">
        <v>167</v>
      </c>
      <c r="I954" s="45" t="s">
        <v>176</v>
      </c>
      <c r="J954" s="45" t="s">
        <v>2088</v>
      </c>
      <c r="K954" s="45" t="n">
        <v>0.6</v>
      </c>
      <c r="L954" s="45" t="s">
        <v>263</v>
      </c>
      <c r="M954" s="45" t="s">
        <v>259</v>
      </c>
      <c r="N954" s="45" t="s">
        <v>167</v>
      </c>
      <c r="O954" s="47" t="n">
        <v>46208.9106365741</v>
      </c>
      <c r="P954" s="47" t="n">
        <v>46208.9110185185</v>
      </c>
    </row>
    <row r="955" customFormat="false" ht="15" hidden="false" customHeight="false" outlineLevel="0" collapsed="false">
      <c r="A955" s="45" t="n">
        <v>1159</v>
      </c>
      <c r="B955" s="46" t="n">
        <v>46208</v>
      </c>
      <c r="C955" s="45" t="s">
        <v>137</v>
      </c>
      <c r="D955" s="45" t="s">
        <v>138</v>
      </c>
      <c r="E955" s="45" t="s">
        <v>235</v>
      </c>
      <c r="F955" s="45" t="s">
        <v>2089</v>
      </c>
      <c r="G955" s="46" t="n">
        <v>46204</v>
      </c>
      <c r="H955" s="45" t="s">
        <v>168</v>
      </c>
      <c r="I955" s="45" t="s">
        <v>192</v>
      </c>
      <c r="J955" s="45" t="s">
        <v>2090</v>
      </c>
      <c r="K955" s="45" t="n">
        <v>0.6</v>
      </c>
      <c r="L955" s="45" t="s">
        <v>263</v>
      </c>
      <c r="M955" s="45" t="s">
        <v>259</v>
      </c>
      <c r="N955" s="45" t="s">
        <v>264</v>
      </c>
      <c r="O955" s="47" t="n">
        <v>46208.911087963</v>
      </c>
      <c r="P955" s="47" t="n">
        <v>46208.9115046296</v>
      </c>
    </row>
    <row r="956" customFormat="false" ht="15" hidden="false" customHeight="false" outlineLevel="0" collapsed="false">
      <c r="A956" s="45" t="n">
        <v>1160</v>
      </c>
      <c r="B956" s="46" t="n">
        <v>46208</v>
      </c>
      <c r="C956" s="45" t="s">
        <v>137</v>
      </c>
      <c r="D956" s="45" t="s">
        <v>138</v>
      </c>
      <c r="E956" s="45" t="s">
        <v>235</v>
      </c>
      <c r="F956" s="45" t="s">
        <v>2091</v>
      </c>
      <c r="G956" s="46" t="n">
        <v>46197</v>
      </c>
      <c r="H956" s="45" t="s">
        <v>168</v>
      </c>
      <c r="I956" s="45" t="s">
        <v>195</v>
      </c>
      <c r="J956" s="45" t="s">
        <v>2092</v>
      </c>
      <c r="K956" s="45" t="n">
        <v>0.8</v>
      </c>
      <c r="L956" s="45" t="s">
        <v>263</v>
      </c>
      <c r="M956" s="45" t="s">
        <v>259</v>
      </c>
      <c r="N956" s="45" t="s">
        <v>264</v>
      </c>
      <c r="O956" s="47" t="n">
        <v>46208.9115277778</v>
      </c>
      <c r="P956" s="47" t="n">
        <v>46208.9120486111</v>
      </c>
    </row>
    <row r="957" customFormat="false" ht="15" hidden="false" customHeight="false" outlineLevel="0" collapsed="false">
      <c r="A957" s="45" t="n">
        <v>1161</v>
      </c>
      <c r="B957" s="46" t="n">
        <v>46208</v>
      </c>
      <c r="C957" s="45" t="s">
        <v>137</v>
      </c>
      <c r="D957" s="45" t="s">
        <v>138</v>
      </c>
      <c r="E957" s="45" t="s">
        <v>1688</v>
      </c>
      <c r="F957" s="45" t="s">
        <v>2093</v>
      </c>
      <c r="G957" s="46" t="n">
        <v>46199</v>
      </c>
      <c r="H957" s="45" t="s">
        <v>167</v>
      </c>
      <c r="I957" s="45" t="s">
        <v>175</v>
      </c>
      <c r="J957" s="45" t="s">
        <v>2094</v>
      </c>
      <c r="K957" s="45" t="n">
        <v>4.6</v>
      </c>
      <c r="L957" s="45" t="s">
        <v>263</v>
      </c>
      <c r="M957" s="45" t="s">
        <v>259</v>
      </c>
      <c r="N957" s="45" t="s">
        <v>167</v>
      </c>
      <c r="O957" s="47" t="n">
        <v>46208.9120717593</v>
      </c>
      <c r="P957" s="47" t="n">
        <v>46208.9152546296</v>
      </c>
    </row>
    <row r="958" customFormat="false" ht="15" hidden="false" customHeight="false" outlineLevel="0" collapsed="false">
      <c r="A958" s="45" t="n">
        <v>1162</v>
      </c>
      <c r="B958" s="46" t="n">
        <v>46208</v>
      </c>
      <c r="C958" s="45" t="s">
        <v>137</v>
      </c>
      <c r="D958" s="45" t="s">
        <v>138</v>
      </c>
      <c r="E958" s="45" t="s">
        <v>1688</v>
      </c>
      <c r="F958" s="45" t="s">
        <v>2095</v>
      </c>
      <c r="G958" s="46" t="n">
        <v>46202</v>
      </c>
      <c r="H958" s="45" t="s">
        <v>167</v>
      </c>
      <c r="I958" s="45" t="s">
        <v>176</v>
      </c>
      <c r="J958" s="45" t="s">
        <v>2096</v>
      </c>
      <c r="K958" s="45" t="n">
        <v>0.5</v>
      </c>
      <c r="L958" s="45" t="s">
        <v>263</v>
      </c>
      <c r="M958" s="45" t="s">
        <v>259</v>
      </c>
      <c r="N958" s="45" t="s">
        <v>167</v>
      </c>
      <c r="O958" s="47" t="n">
        <v>46208.9152777778</v>
      </c>
      <c r="P958" s="47" t="n">
        <v>46208.9156018519</v>
      </c>
    </row>
    <row r="959" customFormat="false" ht="15" hidden="false" customHeight="false" outlineLevel="0" collapsed="false">
      <c r="A959" s="45" t="n">
        <v>1163</v>
      </c>
      <c r="B959" s="46" t="n">
        <v>46209</v>
      </c>
      <c r="C959" s="45" t="s">
        <v>131</v>
      </c>
      <c r="D959" s="45" t="s">
        <v>132</v>
      </c>
      <c r="E959" s="45" t="s">
        <v>487</v>
      </c>
      <c r="F959" s="45" t="s">
        <v>2097</v>
      </c>
      <c r="G959" s="46" t="n">
        <v>46196</v>
      </c>
      <c r="H959" s="45" t="s">
        <v>167</v>
      </c>
      <c r="I959" s="45" t="s">
        <v>176</v>
      </c>
      <c r="J959" s="45" t="s">
        <v>1429</v>
      </c>
      <c r="K959" s="45" t="n">
        <v>13.9</v>
      </c>
      <c r="L959" s="45" t="s">
        <v>263</v>
      </c>
      <c r="M959" s="45" t="s">
        <v>259</v>
      </c>
      <c r="N959" s="45" t="s">
        <v>167</v>
      </c>
      <c r="O959" s="47" t="n">
        <v>46209.9090625</v>
      </c>
      <c r="P959" s="47" t="n">
        <v>46209.9187384259</v>
      </c>
    </row>
    <row r="960" customFormat="false" ht="15" hidden="false" customHeight="false" outlineLevel="0" collapsed="false">
      <c r="A960" s="45" t="n">
        <v>1164</v>
      </c>
      <c r="B960" s="46" t="n">
        <v>46209</v>
      </c>
      <c r="C960" s="45" t="s">
        <v>131</v>
      </c>
      <c r="D960" s="45" t="s">
        <v>132</v>
      </c>
      <c r="E960" s="45" t="s">
        <v>487</v>
      </c>
      <c r="F960" s="45" t="s">
        <v>2098</v>
      </c>
      <c r="G960" s="46" t="n">
        <v>46197</v>
      </c>
      <c r="H960" s="45" t="s">
        <v>168</v>
      </c>
      <c r="I960" s="45" t="s">
        <v>192</v>
      </c>
      <c r="J960" s="45" t="s">
        <v>2099</v>
      </c>
      <c r="K960" s="45" t="n">
        <v>2.9</v>
      </c>
      <c r="L960" s="45" t="s">
        <v>263</v>
      </c>
      <c r="M960" s="45" t="s">
        <v>259</v>
      </c>
      <c r="N960" s="45" t="s">
        <v>264</v>
      </c>
      <c r="O960" s="47" t="n">
        <v>46209.9187615741</v>
      </c>
      <c r="P960" s="47" t="n">
        <v>46209.9207523148</v>
      </c>
    </row>
    <row r="961" customFormat="false" ht="15" hidden="false" customHeight="false" outlineLevel="0" collapsed="false">
      <c r="A961" s="45" t="n">
        <v>1165</v>
      </c>
      <c r="B961" s="46" t="n">
        <v>46209</v>
      </c>
      <c r="C961" s="45" t="s">
        <v>131</v>
      </c>
      <c r="D961" s="45" t="s">
        <v>132</v>
      </c>
      <c r="E961" s="45" t="s">
        <v>222</v>
      </c>
      <c r="F961" s="45" t="s">
        <v>2100</v>
      </c>
      <c r="G961" s="46" t="n">
        <v>46206</v>
      </c>
      <c r="H961" s="45" t="s">
        <v>167</v>
      </c>
      <c r="I961" s="45" t="s">
        <v>176</v>
      </c>
      <c r="J961" s="45" t="s">
        <v>2101</v>
      </c>
      <c r="K961" s="45" t="n">
        <v>6.2</v>
      </c>
      <c r="L961" s="45" t="s">
        <v>263</v>
      </c>
      <c r="M961" s="45" t="s">
        <v>259</v>
      </c>
      <c r="N961" s="45" t="s">
        <v>167</v>
      </c>
      <c r="O961" s="47" t="n">
        <v>46209.9268518519</v>
      </c>
      <c r="P961" s="47" t="n">
        <v>46209.9311921296</v>
      </c>
    </row>
    <row r="962" customFormat="false" ht="15" hidden="false" customHeight="false" outlineLevel="0" collapsed="false">
      <c r="A962" s="45" t="n">
        <v>1166</v>
      </c>
      <c r="B962" s="46" t="n">
        <v>46209</v>
      </c>
      <c r="C962" s="45" t="s">
        <v>131</v>
      </c>
      <c r="D962" s="45" t="s">
        <v>132</v>
      </c>
      <c r="E962" s="45" t="s">
        <v>222</v>
      </c>
      <c r="F962" s="45" t="s">
        <v>2102</v>
      </c>
      <c r="G962" s="46" t="n">
        <v>46206</v>
      </c>
      <c r="H962" s="45" t="s">
        <v>168</v>
      </c>
      <c r="I962" s="45" t="s">
        <v>193</v>
      </c>
      <c r="J962" s="45" t="s">
        <v>2103</v>
      </c>
      <c r="K962" s="45" t="n">
        <v>4.3</v>
      </c>
      <c r="L962" s="45" t="s">
        <v>263</v>
      </c>
      <c r="M962" s="45" t="s">
        <v>259</v>
      </c>
      <c r="N962" s="45" t="s">
        <v>264</v>
      </c>
      <c r="O962" s="47" t="n">
        <v>46209.9323263889</v>
      </c>
      <c r="P962" s="47" t="n">
        <v>46209.9353472222</v>
      </c>
    </row>
    <row r="963" customFormat="false" ht="15" hidden="false" customHeight="false" outlineLevel="0" collapsed="false">
      <c r="A963" s="45" t="n">
        <v>1167</v>
      </c>
      <c r="B963" s="46" t="n">
        <v>46209</v>
      </c>
      <c r="C963" s="45" t="s">
        <v>131</v>
      </c>
      <c r="D963" s="45" t="s">
        <v>132</v>
      </c>
      <c r="E963" s="45" t="s">
        <v>222</v>
      </c>
      <c r="F963" s="45" t="s">
        <v>2104</v>
      </c>
      <c r="G963" s="46" t="n">
        <v>46198</v>
      </c>
      <c r="H963" s="45" t="s">
        <v>167</v>
      </c>
      <c r="I963" s="45" t="s">
        <v>175</v>
      </c>
      <c r="J963" s="45" t="s">
        <v>2105</v>
      </c>
      <c r="K963" s="45" t="n">
        <v>3.1</v>
      </c>
      <c r="L963" s="45" t="s">
        <v>263</v>
      </c>
      <c r="M963" s="45" t="s">
        <v>259</v>
      </c>
      <c r="N963" s="45" t="s">
        <v>167</v>
      </c>
      <c r="O963" s="47" t="n">
        <v>46209.9368634259</v>
      </c>
      <c r="P963" s="47" t="n">
        <v>46209.9390509259</v>
      </c>
    </row>
    <row r="964" customFormat="false" ht="15" hidden="false" customHeight="false" outlineLevel="0" collapsed="false">
      <c r="A964" s="45" t="n">
        <v>1168</v>
      </c>
      <c r="B964" s="46" t="n">
        <v>46209</v>
      </c>
      <c r="C964" s="45" t="s">
        <v>131</v>
      </c>
      <c r="D964" s="45" t="s">
        <v>132</v>
      </c>
      <c r="E964" s="45" t="s">
        <v>222</v>
      </c>
      <c r="F964" s="45" t="s">
        <v>2106</v>
      </c>
      <c r="G964" s="46" t="n">
        <v>46209</v>
      </c>
      <c r="H964" s="45" t="s">
        <v>57</v>
      </c>
      <c r="I964" s="45" t="s">
        <v>200</v>
      </c>
      <c r="J964" s="45" t="s">
        <v>2107</v>
      </c>
      <c r="K964" s="45" t="n">
        <v>7.6</v>
      </c>
      <c r="L964" s="45" t="s">
        <v>263</v>
      </c>
      <c r="M964" s="45" t="s">
        <v>259</v>
      </c>
      <c r="N964" s="45" t="s">
        <v>57</v>
      </c>
      <c r="O964" s="47" t="n">
        <v>46209.9765509259</v>
      </c>
      <c r="P964" s="47" t="n">
        <v>46209.9818287037</v>
      </c>
    </row>
    <row r="965" customFormat="false" ht="15" hidden="false" customHeight="false" outlineLevel="0" collapsed="false">
      <c r="A965" s="45" t="n">
        <v>1170</v>
      </c>
      <c r="B965" s="46" t="n">
        <v>46210</v>
      </c>
      <c r="C965" s="45" t="s">
        <v>143</v>
      </c>
      <c r="D965" s="45" t="s">
        <v>144</v>
      </c>
      <c r="E965" s="45" t="s">
        <v>223</v>
      </c>
      <c r="F965" s="45" t="s">
        <v>2108</v>
      </c>
      <c r="G965" s="46" t="n">
        <v>46206</v>
      </c>
      <c r="H965" s="45" t="s">
        <v>167</v>
      </c>
      <c r="I965" s="45" t="s">
        <v>175</v>
      </c>
      <c r="J965" s="45" t="s">
        <v>2109</v>
      </c>
      <c r="K965" s="45" t="n">
        <v>13.7</v>
      </c>
      <c r="L965" s="45" t="s">
        <v>263</v>
      </c>
      <c r="M965" s="45" t="s">
        <v>259</v>
      </c>
      <c r="N965" s="45" t="s">
        <v>167</v>
      </c>
      <c r="O965" s="47" t="n">
        <v>46210.0569791667</v>
      </c>
      <c r="P965" s="47" t="n">
        <v>46210.0664930556</v>
      </c>
    </row>
    <row r="966" customFormat="false" ht="15" hidden="false" customHeight="false" outlineLevel="0" collapsed="false">
      <c r="A966" s="45" t="n">
        <v>1171</v>
      </c>
      <c r="B966" s="46" t="n">
        <v>46210</v>
      </c>
      <c r="C966" s="45" t="s">
        <v>143</v>
      </c>
      <c r="D966" s="45" t="s">
        <v>144</v>
      </c>
      <c r="E966" s="45" t="s">
        <v>225</v>
      </c>
      <c r="F966" s="45" t="s">
        <v>2110</v>
      </c>
      <c r="G966" s="46" t="n">
        <v>46206</v>
      </c>
      <c r="H966" s="45" t="s">
        <v>167</v>
      </c>
      <c r="I966" s="45" t="s">
        <v>175</v>
      </c>
      <c r="J966" s="45" t="s">
        <v>2111</v>
      </c>
      <c r="K966" s="45" t="n">
        <v>25.3</v>
      </c>
      <c r="L966" s="45" t="s">
        <v>263</v>
      </c>
      <c r="M966" s="45" t="s">
        <v>259</v>
      </c>
      <c r="N966" s="45" t="s">
        <v>167</v>
      </c>
      <c r="O966" s="47" t="n">
        <v>46210.0665277778</v>
      </c>
      <c r="P966" s="47" t="n">
        <v>46210.0841203704</v>
      </c>
    </row>
    <row r="967" customFormat="false" ht="15" hidden="false" customHeight="false" outlineLevel="0" collapsed="false">
      <c r="A967" s="45" t="n">
        <v>1172</v>
      </c>
      <c r="B967" s="46" t="n">
        <v>46210</v>
      </c>
      <c r="C967" s="45" t="s">
        <v>143</v>
      </c>
      <c r="D967" s="45" t="s">
        <v>144</v>
      </c>
      <c r="E967" s="45" t="s">
        <v>230</v>
      </c>
      <c r="F967" s="45" t="s">
        <v>2112</v>
      </c>
      <c r="G967" s="46" t="n">
        <v>46206</v>
      </c>
      <c r="H967" s="45" t="s">
        <v>167</v>
      </c>
      <c r="I967" s="45" t="s">
        <v>175</v>
      </c>
      <c r="J967" s="45" t="s">
        <v>2113</v>
      </c>
      <c r="K967" s="45" t="n">
        <v>118.3</v>
      </c>
      <c r="L967" s="45" t="s">
        <v>263</v>
      </c>
      <c r="M967" s="45" t="s">
        <v>259</v>
      </c>
      <c r="N967" s="45" t="s">
        <v>167</v>
      </c>
      <c r="O967" s="47" t="n">
        <v>46210.0844212963</v>
      </c>
      <c r="P967" s="47" t="n">
        <v>46210.1665972222</v>
      </c>
    </row>
    <row r="968" customFormat="false" ht="15" hidden="false" customHeight="false" outlineLevel="0" collapsed="false">
      <c r="A968" s="45" t="n">
        <v>1173</v>
      </c>
      <c r="B968" s="46" t="n">
        <v>46210</v>
      </c>
      <c r="C968" s="45" t="s">
        <v>143</v>
      </c>
      <c r="D968" s="45" t="s">
        <v>144</v>
      </c>
      <c r="E968" s="45" t="s">
        <v>353</v>
      </c>
      <c r="F968" s="45" t="s">
        <v>2114</v>
      </c>
      <c r="G968" s="46" t="n">
        <v>46206</v>
      </c>
      <c r="H968" s="45" t="s">
        <v>167</v>
      </c>
      <c r="I968" s="45" t="s">
        <v>175</v>
      </c>
      <c r="J968" s="45" t="s">
        <v>2115</v>
      </c>
      <c r="K968" s="45" t="n">
        <v>8.3</v>
      </c>
      <c r="L968" s="45" t="s">
        <v>263</v>
      </c>
      <c r="M968" s="45" t="s">
        <v>259</v>
      </c>
      <c r="N968" s="45" t="s">
        <v>167</v>
      </c>
      <c r="O968" s="47" t="n">
        <v>46210.1667592593</v>
      </c>
      <c r="P968" s="47" t="n">
        <v>46210.1725231482</v>
      </c>
    </row>
    <row r="969" customFormat="false" ht="15" hidden="false" customHeight="false" outlineLevel="0" collapsed="false">
      <c r="A969" s="45" t="n">
        <v>1174</v>
      </c>
      <c r="B969" s="46" t="n">
        <v>46210</v>
      </c>
      <c r="C969" s="45" t="s">
        <v>143</v>
      </c>
      <c r="D969" s="45" t="s">
        <v>144</v>
      </c>
      <c r="E969" s="45" t="s">
        <v>228</v>
      </c>
      <c r="F969" s="45" t="s">
        <v>2116</v>
      </c>
      <c r="G969" s="46" t="n">
        <v>46206</v>
      </c>
      <c r="H969" s="45" t="s">
        <v>167</v>
      </c>
      <c r="I969" s="45" t="s">
        <v>175</v>
      </c>
      <c r="J969" s="45" t="s">
        <v>2117</v>
      </c>
      <c r="K969" s="45" t="n">
        <v>7.7</v>
      </c>
      <c r="L969" s="45" t="s">
        <v>263</v>
      </c>
      <c r="M969" s="45" t="s">
        <v>259</v>
      </c>
      <c r="N969" s="45" t="s">
        <v>167</v>
      </c>
      <c r="O969" s="47" t="n">
        <v>46210.172662037</v>
      </c>
      <c r="P969" s="47" t="n">
        <v>46210.177974537</v>
      </c>
    </row>
    <row r="970" customFormat="false" ht="15" hidden="false" customHeight="false" outlineLevel="0" collapsed="false">
      <c r="A970" s="45" t="n">
        <v>1182</v>
      </c>
      <c r="B970" s="46" t="n">
        <v>46210</v>
      </c>
      <c r="C970" s="45" t="s">
        <v>143</v>
      </c>
      <c r="D970" s="45" t="s">
        <v>144</v>
      </c>
      <c r="E970" s="45" t="s">
        <v>1697</v>
      </c>
      <c r="F970" s="45" t="s">
        <v>2118</v>
      </c>
      <c r="G970" s="46" t="n">
        <v>46209</v>
      </c>
      <c r="H970" s="45" t="s">
        <v>167</v>
      </c>
      <c r="I970" s="45" t="s">
        <v>175</v>
      </c>
      <c r="J970" s="45" t="s">
        <v>2119</v>
      </c>
      <c r="K970" s="45" t="n">
        <v>1043</v>
      </c>
      <c r="L970" s="45" t="s">
        <v>263</v>
      </c>
      <c r="M970" s="45" t="s">
        <v>259</v>
      </c>
      <c r="N970" s="45" t="s">
        <v>167</v>
      </c>
      <c r="O970" s="47" t="n">
        <v>46210.1781134259</v>
      </c>
      <c r="P970" s="47" t="n">
        <v>46210.9024074074</v>
      </c>
    </row>
    <row r="971" customFormat="false" ht="15" hidden="false" customHeight="false" outlineLevel="0" collapsed="false">
      <c r="A971" s="45" t="n">
        <v>1175</v>
      </c>
      <c r="B971" s="46" t="n">
        <v>46210</v>
      </c>
      <c r="C971" s="45" t="s">
        <v>141</v>
      </c>
      <c r="D971" s="45" t="s">
        <v>142</v>
      </c>
      <c r="E971" s="45" t="s">
        <v>231</v>
      </c>
      <c r="F971" s="45" t="s">
        <v>2120</v>
      </c>
      <c r="G971" s="46" t="n">
        <v>46206</v>
      </c>
      <c r="H971" s="45" t="s">
        <v>167</v>
      </c>
      <c r="I971" s="45" t="s">
        <v>175</v>
      </c>
      <c r="J971" s="45" t="s">
        <v>2121</v>
      </c>
      <c r="K971" s="45" t="n">
        <v>0.5</v>
      </c>
      <c r="L971" s="45" t="s">
        <v>263</v>
      </c>
      <c r="M971" s="45" t="s">
        <v>259</v>
      </c>
      <c r="N971" s="45" t="s">
        <v>167</v>
      </c>
      <c r="O971" s="47" t="n">
        <v>46210.6552777778</v>
      </c>
      <c r="P971" s="47" t="n">
        <v>46210.6556134259</v>
      </c>
    </row>
    <row r="972" customFormat="false" ht="15" hidden="false" customHeight="false" outlineLevel="0" collapsed="false">
      <c r="A972" s="45" t="n">
        <v>1176</v>
      </c>
      <c r="B972" s="46" t="n">
        <v>46210</v>
      </c>
      <c r="C972" s="45" t="s">
        <v>131</v>
      </c>
      <c r="D972" s="45" t="s">
        <v>132</v>
      </c>
      <c r="E972" s="45" t="s">
        <v>2122</v>
      </c>
      <c r="F972" s="45" t="s">
        <v>2123</v>
      </c>
      <c r="G972" s="46" t="n">
        <v>46209</v>
      </c>
      <c r="H972" s="45" t="s">
        <v>57</v>
      </c>
      <c r="I972" s="45" t="s">
        <v>201</v>
      </c>
      <c r="J972" s="45" t="s">
        <v>2124</v>
      </c>
      <c r="K972" s="45" t="n">
        <v>6.6</v>
      </c>
      <c r="L972" s="45" t="s">
        <v>263</v>
      </c>
      <c r="M972" s="45" t="s">
        <v>259</v>
      </c>
      <c r="N972" s="45" t="s">
        <v>57</v>
      </c>
      <c r="O972" s="47" t="n">
        <v>46210.7406481481</v>
      </c>
      <c r="P972" s="47" t="n">
        <v>46210.7452430556</v>
      </c>
    </row>
    <row r="973" customFormat="false" ht="15" hidden="false" customHeight="false" outlineLevel="0" collapsed="false">
      <c r="A973" s="45" t="n">
        <v>1177</v>
      </c>
      <c r="B973" s="46" t="n">
        <v>46210</v>
      </c>
      <c r="C973" s="45" t="s">
        <v>131</v>
      </c>
      <c r="D973" s="45" t="s">
        <v>132</v>
      </c>
      <c r="E973" s="45" t="s">
        <v>2122</v>
      </c>
      <c r="F973" s="45" t="s">
        <v>2125</v>
      </c>
      <c r="G973" s="46" t="n">
        <v>46209</v>
      </c>
      <c r="H973" s="45" t="s">
        <v>167</v>
      </c>
      <c r="I973" s="45" t="s">
        <v>175</v>
      </c>
      <c r="J973" s="45" t="s">
        <v>2126</v>
      </c>
      <c r="K973" s="45" t="n">
        <v>17.6</v>
      </c>
      <c r="L973" s="45" t="s">
        <v>263</v>
      </c>
      <c r="M973" s="45" t="s">
        <v>259</v>
      </c>
      <c r="N973" s="45" t="s">
        <v>167</v>
      </c>
      <c r="O973" s="47" t="n">
        <v>46210.7456597222</v>
      </c>
      <c r="P973" s="47" t="n">
        <v>46210.7578587963</v>
      </c>
    </row>
    <row r="974" customFormat="false" ht="15" hidden="false" customHeight="false" outlineLevel="0" collapsed="false">
      <c r="A974" s="45" t="n">
        <v>1178</v>
      </c>
      <c r="B974" s="46" t="n">
        <v>46210</v>
      </c>
      <c r="C974" s="45" t="s">
        <v>131</v>
      </c>
      <c r="D974" s="45" t="s">
        <v>132</v>
      </c>
      <c r="E974" s="45" t="s">
        <v>2127</v>
      </c>
      <c r="F974" s="45" t="s">
        <v>2128</v>
      </c>
      <c r="G974" s="46" t="n">
        <v>46209</v>
      </c>
      <c r="H974" s="45" t="s">
        <v>167</v>
      </c>
      <c r="I974" s="45" t="s">
        <v>175</v>
      </c>
      <c r="J974" s="45" t="s">
        <v>2129</v>
      </c>
      <c r="K974" s="45" t="n">
        <v>5.3</v>
      </c>
      <c r="L974" s="45" t="s">
        <v>263</v>
      </c>
      <c r="M974" s="45" t="s">
        <v>259</v>
      </c>
      <c r="N974" s="45" t="s">
        <v>167</v>
      </c>
      <c r="O974" s="47" t="n">
        <v>46210.7584259259</v>
      </c>
      <c r="P974" s="47" t="n">
        <v>46210.7621064815</v>
      </c>
    </row>
    <row r="975" customFormat="false" ht="15" hidden="false" customHeight="false" outlineLevel="0" collapsed="false">
      <c r="A975" s="45" t="n">
        <v>1179</v>
      </c>
      <c r="B975" s="46" t="n">
        <v>46210</v>
      </c>
      <c r="C975" s="45" t="s">
        <v>131</v>
      </c>
      <c r="D975" s="45" t="s">
        <v>132</v>
      </c>
      <c r="E975" s="45" t="s">
        <v>487</v>
      </c>
      <c r="F975" s="45" t="s">
        <v>2130</v>
      </c>
      <c r="G975" s="46" t="n">
        <v>46209</v>
      </c>
      <c r="H975" s="45" t="s">
        <v>167</v>
      </c>
      <c r="I975" s="45" t="s">
        <v>175</v>
      </c>
      <c r="J975" s="45" t="s">
        <v>2131</v>
      </c>
      <c r="K975" s="45" t="n">
        <v>0.8</v>
      </c>
      <c r="L975" s="45" t="s">
        <v>263</v>
      </c>
      <c r="M975" s="45" t="s">
        <v>259</v>
      </c>
      <c r="N975" s="45" t="s">
        <v>167</v>
      </c>
      <c r="O975" s="47" t="n">
        <v>46210.7652893519</v>
      </c>
      <c r="P975" s="47" t="n">
        <v>46210.7658796296</v>
      </c>
    </row>
    <row r="976" customFormat="false" ht="15" hidden="false" customHeight="false" outlineLevel="0" collapsed="false">
      <c r="A976" s="45" t="n">
        <v>1180</v>
      </c>
      <c r="B976" s="46" t="n">
        <v>46210</v>
      </c>
      <c r="C976" s="45" t="s">
        <v>131</v>
      </c>
      <c r="D976" s="45" t="s">
        <v>132</v>
      </c>
      <c r="E976" s="45" t="s">
        <v>487</v>
      </c>
      <c r="F976" s="45" t="s">
        <v>2132</v>
      </c>
      <c r="G976" s="46" t="n">
        <v>46209</v>
      </c>
      <c r="H976" s="45" t="s">
        <v>167</v>
      </c>
      <c r="I976" s="45" t="s">
        <v>175</v>
      </c>
      <c r="J976" s="45" t="s">
        <v>2133</v>
      </c>
      <c r="K976" s="45" t="n">
        <v>1.7</v>
      </c>
      <c r="L976" s="45" t="s">
        <v>263</v>
      </c>
      <c r="M976" s="45" t="s">
        <v>259</v>
      </c>
      <c r="N976" s="45" t="s">
        <v>167</v>
      </c>
      <c r="O976" s="47" t="n">
        <v>46210.7702314815</v>
      </c>
      <c r="P976" s="47" t="n">
        <v>46210.7714236111</v>
      </c>
    </row>
    <row r="977" customFormat="false" ht="15" hidden="false" customHeight="false" outlineLevel="0" collapsed="false">
      <c r="A977" s="45" t="n">
        <v>1181</v>
      </c>
      <c r="B977" s="46" t="n">
        <v>46210</v>
      </c>
      <c r="C977" s="45" t="s">
        <v>135</v>
      </c>
      <c r="D977" s="45" t="s">
        <v>136</v>
      </c>
      <c r="E977" s="45" t="s">
        <v>218</v>
      </c>
      <c r="F977" s="45" t="s">
        <v>2022</v>
      </c>
      <c r="G977" s="46" t="n">
        <v>46203</v>
      </c>
      <c r="H977" s="45" t="s">
        <v>57</v>
      </c>
      <c r="I977" s="45" t="s">
        <v>200</v>
      </c>
      <c r="J977" s="45" t="s">
        <v>2023</v>
      </c>
      <c r="K977" s="45" t="n">
        <v>0.2</v>
      </c>
      <c r="L977" s="45" t="s">
        <v>259</v>
      </c>
      <c r="M977" s="45" t="s">
        <v>259</v>
      </c>
      <c r="N977" s="45" t="s">
        <v>57</v>
      </c>
      <c r="O977" s="47" t="n">
        <v>46210.8647800926</v>
      </c>
      <c r="P977" s="47" t="n">
        <v>46210.8649189815</v>
      </c>
    </row>
    <row r="978" customFormat="false" ht="15" hidden="false" customHeight="false" outlineLevel="0" collapsed="false">
      <c r="A978" s="45" t="n">
        <v>1183</v>
      </c>
      <c r="B978" s="46" t="n">
        <v>46210</v>
      </c>
      <c r="C978" s="45" t="s">
        <v>143</v>
      </c>
      <c r="D978" s="45" t="s">
        <v>144</v>
      </c>
      <c r="E978" s="45" t="s">
        <v>223</v>
      </c>
      <c r="F978" s="45" t="s">
        <v>2134</v>
      </c>
      <c r="G978" s="46" t="n">
        <v>46209</v>
      </c>
      <c r="H978" s="45" t="s">
        <v>167</v>
      </c>
      <c r="I978" s="45" t="s">
        <v>175</v>
      </c>
      <c r="J978" s="45" t="s">
        <v>2135</v>
      </c>
      <c r="K978" s="45" t="n">
        <v>32.7</v>
      </c>
      <c r="L978" s="45" t="s">
        <v>263</v>
      </c>
      <c r="M978" s="45" t="s">
        <v>259</v>
      </c>
      <c r="N978" s="45" t="s">
        <v>167</v>
      </c>
      <c r="O978" s="47" t="n">
        <v>46210.9024421296</v>
      </c>
      <c r="P978" s="47" t="n">
        <v>46210.9251388889</v>
      </c>
    </row>
    <row r="979" customFormat="false" ht="15" hidden="false" customHeight="false" outlineLevel="0" collapsed="false">
      <c r="A979" s="45" t="n">
        <v>1184</v>
      </c>
      <c r="B979" s="46" t="n">
        <v>46210</v>
      </c>
      <c r="C979" s="45" t="s">
        <v>143</v>
      </c>
      <c r="D979" s="45" t="s">
        <v>144</v>
      </c>
      <c r="E979" s="45" t="s">
        <v>1697</v>
      </c>
      <c r="F979" s="45" t="s">
        <v>2136</v>
      </c>
      <c r="G979" s="46" t="n">
        <v>46209</v>
      </c>
      <c r="H979" s="45" t="s">
        <v>167</v>
      </c>
      <c r="I979" s="45" t="s">
        <v>175</v>
      </c>
      <c r="J979" s="45" t="s">
        <v>2137</v>
      </c>
      <c r="K979" s="45" t="n">
        <v>188.7</v>
      </c>
      <c r="L979" s="45" t="s">
        <v>263</v>
      </c>
      <c r="M979" s="45" t="s">
        <v>259</v>
      </c>
      <c r="N979" s="45" t="s">
        <v>167</v>
      </c>
      <c r="O979" s="47" t="n">
        <v>46210.9252314815</v>
      </c>
      <c r="P979" s="47" t="n">
        <v>46211.0562962963</v>
      </c>
    </row>
    <row r="980" customFormat="false" ht="15" hidden="false" customHeight="false" outlineLevel="0" collapsed="false">
      <c r="A980" s="45" t="n">
        <v>1185</v>
      </c>
      <c r="B980" s="46" t="n">
        <v>46211</v>
      </c>
      <c r="C980" s="45" t="s">
        <v>143</v>
      </c>
      <c r="D980" s="45" t="s">
        <v>144</v>
      </c>
      <c r="E980" s="45" t="s">
        <v>232</v>
      </c>
      <c r="F980" s="45" t="s">
        <v>2138</v>
      </c>
      <c r="G980" s="46" t="n">
        <v>46209</v>
      </c>
      <c r="H980" s="45" t="s">
        <v>57</v>
      </c>
      <c r="I980" s="45" t="s">
        <v>200</v>
      </c>
      <c r="J980" s="45" t="s">
        <v>2139</v>
      </c>
      <c r="K980" s="45" t="n">
        <v>143</v>
      </c>
      <c r="L980" s="45" t="s">
        <v>263</v>
      </c>
      <c r="M980" s="45" t="s">
        <v>259</v>
      </c>
      <c r="N980" s="45" t="s">
        <v>57</v>
      </c>
      <c r="O980" s="47" t="n">
        <v>46211.0563888889</v>
      </c>
      <c r="P980" s="47" t="n">
        <v>46211.1557060185</v>
      </c>
    </row>
    <row r="981" customFormat="false" ht="15" hidden="false" customHeight="false" outlineLevel="0" collapsed="false">
      <c r="A981" s="45" t="n">
        <v>1186</v>
      </c>
      <c r="B981" s="46" t="n">
        <v>46211</v>
      </c>
      <c r="C981" s="45" t="s">
        <v>143</v>
      </c>
      <c r="D981" s="45" t="s">
        <v>144</v>
      </c>
      <c r="E981" s="45" t="s">
        <v>224</v>
      </c>
      <c r="F981" s="45" t="s">
        <v>2140</v>
      </c>
      <c r="G981" s="46" t="n">
        <v>46209</v>
      </c>
      <c r="H981" s="45" t="s">
        <v>167</v>
      </c>
      <c r="I981" s="45" t="s">
        <v>175</v>
      </c>
      <c r="J981" s="45" t="s">
        <v>2141</v>
      </c>
      <c r="K981" s="45" t="n">
        <v>7.5</v>
      </c>
      <c r="L981" s="45" t="s">
        <v>263</v>
      </c>
      <c r="M981" s="45" t="s">
        <v>259</v>
      </c>
      <c r="N981" s="45" t="s">
        <v>167</v>
      </c>
      <c r="O981" s="47" t="n">
        <v>46211.1557638889</v>
      </c>
      <c r="P981" s="47" t="n">
        <v>46211.1610069444</v>
      </c>
    </row>
    <row r="982" customFormat="false" ht="15" hidden="false" customHeight="false" outlineLevel="0" collapsed="false">
      <c r="A982" s="45" t="n">
        <v>1187</v>
      </c>
      <c r="B982" s="46" t="n">
        <v>46211</v>
      </c>
      <c r="C982" s="45" t="s">
        <v>143</v>
      </c>
      <c r="D982" s="45" t="s">
        <v>144</v>
      </c>
      <c r="E982" s="45" t="s">
        <v>230</v>
      </c>
      <c r="F982" s="45" t="s">
        <v>2142</v>
      </c>
      <c r="G982" s="46" t="n">
        <v>46209</v>
      </c>
      <c r="H982" s="45" t="s">
        <v>169</v>
      </c>
      <c r="I982" s="45"/>
      <c r="J982" s="45"/>
      <c r="K982" s="45" t="n">
        <v>9.3</v>
      </c>
      <c r="L982" s="45" t="s">
        <v>263</v>
      </c>
      <c r="M982" s="45" t="s">
        <v>259</v>
      </c>
      <c r="N982" s="45" t="s">
        <v>169</v>
      </c>
      <c r="O982" s="47" t="n">
        <v>46211.1610300926</v>
      </c>
      <c r="P982" s="47" t="n">
        <v>46211.1675231482</v>
      </c>
    </row>
    <row r="983" customFormat="false" ht="15" hidden="false" customHeight="false" outlineLevel="0" collapsed="false">
      <c r="A983" s="45" t="n">
        <v>1188</v>
      </c>
      <c r="B983" s="46" t="n">
        <v>46211</v>
      </c>
      <c r="C983" s="45" t="s">
        <v>131</v>
      </c>
      <c r="D983" s="45" t="s">
        <v>132</v>
      </c>
      <c r="E983" s="45" t="s">
        <v>2143</v>
      </c>
      <c r="F983" s="45" t="s">
        <v>2144</v>
      </c>
      <c r="G983" s="46" t="n">
        <v>46210</v>
      </c>
      <c r="H983" s="45" t="s">
        <v>57</v>
      </c>
      <c r="I983" s="45" t="s">
        <v>200</v>
      </c>
      <c r="J983" s="45" t="s">
        <v>2145</v>
      </c>
      <c r="K983" s="45" t="n">
        <v>109.7</v>
      </c>
      <c r="L983" s="45" t="s">
        <v>263</v>
      </c>
      <c r="M983" s="45" t="s">
        <v>259</v>
      </c>
      <c r="N983" s="45" t="s">
        <v>57</v>
      </c>
      <c r="O983" s="47" t="n">
        <v>46211.7327430556</v>
      </c>
      <c r="P983" s="47" t="n">
        <v>46211.8089467593</v>
      </c>
    </row>
    <row r="984" customFormat="false" ht="15" hidden="false" customHeight="false" outlineLevel="0" collapsed="false">
      <c r="A984" s="45" t="n">
        <v>1189</v>
      </c>
      <c r="B984" s="46" t="n">
        <v>46211</v>
      </c>
      <c r="C984" s="45" t="s">
        <v>131</v>
      </c>
      <c r="D984" s="45" t="s">
        <v>132</v>
      </c>
      <c r="E984" s="45" t="s">
        <v>2127</v>
      </c>
      <c r="F984" s="45" t="s">
        <v>2146</v>
      </c>
      <c r="G984" s="46" t="n">
        <v>46211</v>
      </c>
      <c r="H984" s="45" t="s">
        <v>167</v>
      </c>
      <c r="I984" s="45" t="s">
        <v>175</v>
      </c>
      <c r="J984" s="45" t="s">
        <v>2147</v>
      </c>
      <c r="K984" s="45" t="n">
        <v>22.8</v>
      </c>
      <c r="L984" s="45" t="s">
        <v>263</v>
      </c>
      <c r="M984" s="45" t="s">
        <v>259</v>
      </c>
      <c r="N984" s="45" t="s">
        <v>167</v>
      </c>
      <c r="O984" s="47" t="n">
        <v>46211.8089930556</v>
      </c>
      <c r="P984" s="47" t="n">
        <v>46211.824849537</v>
      </c>
    </row>
    <row r="985" customFormat="false" ht="15" hidden="false" customHeight="false" outlineLevel="0" collapsed="false">
      <c r="A985" s="45" t="n">
        <v>1190</v>
      </c>
      <c r="B985" s="46" t="n">
        <v>46211</v>
      </c>
      <c r="C985" s="45" t="s">
        <v>131</v>
      </c>
      <c r="D985" s="45" t="s">
        <v>132</v>
      </c>
      <c r="E985" s="45" t="s">
        <v>240</v>
      </c>
      <c r="F985" s="45" t="s">
        <v>2148</v>
      </c>
      <c r="G985" s="46" t="n">
        <v>46210</v>
      </c>
      <c r="H985" s="45" t="s">
        <v>168</v>
      </c>
      <c r="I985" s="45" t="s">
        <v>192</v>
      </c>
      <c r="J985" s="45" t="s">
        <v>2149</v>
      </c>
      <c r="K985" s="45" t="n">
        <v>3.7</v>
      </c>
      <c r="L985" s="45" t="s">
        <v>263</v>
      </c>
      <c r="M985" s="45" t="s">
        <v>259</v>
      </c>
      <c r="N985" s="45" t="s">
        <v>264</v>
      </c>
      <c r="O985" s="47" t="n">
        <v>46211.8360416667</v>
      </c>
      <c r="P985" s="47" t="n">
        <v>46211.8386342593</v>
      </c>
    </row>
    <row r="986" customFormat="false" ht="15" hidden="false" customHeight="false" outlineLevel="0" collapsed="false">
      <c r="A986" s="45" t="n">
        <v>1191</v>
      </c>
      <c r="B986" s="46" t="n">
        <v>46211</v>
      </c>
      <c r="C986" s="45" t="s">
        <v>135</v>
      </c>
      <c r="D986" s="45" t="s">
        <v>136</v>
      </c>
      <c r="E986" s="45" t="s">
        <v>492</v>
      </c>
      <c r="F986" s="45" t="s">
        <v>2150</v>
      </c>
      <c r="G986" s="46" t="n">
        <v>46210</v>
      </c>
      <c r="H986" s="45" t="s">
        <v>169</v>
      </c>
      <c r="I986" s="45"/>
      <c r="J986" s="45"/>
      <c r="K986" s="45" t="n">
        <v>13.8</v>
      </c>
      <c r="L986" s="45" t="s">
        <v>263</v>
      </c>
      <c r="M986" s="45" t="s">
        <v>259</v>
      </c>
      <c r="N986" s="45" t="s">
        <v>169</v>
      </c>
      <c r="O986" s="47" t="n">
        <v>46211.997337963</v>
      </c>
      <c r="P986" s="47" t="n">
        <v>46212.0068865741</v>
      </c>
    </row>
    <row r="987" customFormat="false" ht="15" hidden="false" customHeight="false" outlineLevel="0" collapsed="false">
      <c r="A987" s="45" t="n">
        <v>1192</v>
      </c>
      <c r="B987" s="46" t="n">
        <v>46212</v>
      </c>
      <c r="C987" s="45" t="s">
        <v>135</v>
      </c>
      <c r="D987" s="45" t="s">
        <v>136</v>
      </c>
      <c r="E987" s="45" t="s">
        <v>1833</v>
      </c>
      <c r="F987" s="45" t="s">
        <v>2151</v>
      </c>
      <c r="G987" s="46" t="n">
        <v>46210</v>
      </c>
      <c r="H987" s="45" t="s">
        <v>169</v>
      </c>
      <c r="I987" s="45"/>
      <c r="J987" s="45"/>
      <c r="K987" s="45" t="n">
        <v>3.8</v>
      </c>
      <c r="L987" s="45" t="s">
        <v>263</v>
      </c>
      <c r="M987" s="45" t="s">
        <v>259</v>
      </c>
      <c r="N987" s="45" t="s">
        <v>169</v>
      </c>
      <c r="O987" s="47" t="n">
        <v>46212.0072337963</v>
      </c>
      <c r="P987" s="47" t="n">
        <v>46212.0098726852</v>
      </c>
    </row>
    <row r="988" customFormat="false" ht="15" hidden="false" customHeight="false" outlineLevel="0" collapsed="false">
      <c r="A988" s="45" t="n">
        <v>1193</v>
      </c>
      <c r="B988" s="46" t="n">
        <v>46212</v>
      </c>
      <c r="C988" s="45" t="s">
        <v>135</v>
      </c>
      <c r="D988" s="45" t="s">
        <v>136</v>
      </c>
      <c r="E988" s="45" t="s">
        <v>475</v>
      </c>
      <c r="F988" s="45" t="s">
        <v>2152</v>
      </c>
      <c r="G988" s="46" t="n">
        <v>46211</v>
      </c>
      <c r="H988" s="45" t="s">
        <v>169</v>
      </c>
      <c r="I988" s="45"/>
      <c r="J988" s="45"/>
      <c r="K988" s="45" t="n">
        <v>0.5</v>
      </c>
      <c r="L988" s="45" t="s">
        <v>263</v>
      </c>
      <c r="M988" s="45" t="s">
        <v>259</v>
      </c>
      <c r="N988" s="45" t="s">
        <v>169</v>
      </c>
      <c r="O988" s="47" t="n">
        <v>46212.0152893519</v>
      </c>
      <c r="P988" s="47" t="n">
        <v>46212.0156365741</v>
      </c>
    </row>
    <row r="989" customFormat="false" ht="15" hidden="false" customHeight="false" outlineLevel="0" collapsed="false">
      <c r="A989" s="45" t="n">
        <v>1194</v>
      </c>
      <c r="B989" s="46" t="n">
        <v>46212</v>
      </c>
      <c r="C989" s="45" t="s">
        <v>135</v>
      </c>
      <c r="D989" s="45" t="s">
        <v>136</v>
      </c>
      <c r="E989" s="45" t="s">
        <v>226</v>
      </c>
      <c r="F989" s="45" t="s">
        <v>2153</v>
      </c>
      <c r="G989" s="46" t="n">
        <v>46210</v>
      </c>
      <c r="H989" s="45" t="s">
        <v>169</v>
      </c>
      <c r="I989" s="45"/>
      <c r="J989" s="45"/>
      <c r="K989" s="45" t="n">
        <v>4.7</v>
      </c>
      <c r="L989" s="45" t="s">
        <v>263</v>
      </c>
      <c r="M989" s="45" t="s">
        <v>259</v>
      </c>
      <c r="N989" s="45" t="s">
        <v>169</v>
      </c>
      <c r="O989" s="47" t="n">
        <v>46212.0165972222</v>
      </c>
      <c r="P989" s="47" t="n">
        <v>46212.019837963</v>
      </c>
    </row>
    <row r="990" customFormat="false" ht="15" hidden="false" customHeight="false" outlineLevel="0" collapsed="false">
      <c r="A990" s="45" t="n">
        <v>1195</v>
      </c>
      <c r="B990" s="46" t="n">
        <v>46212</v>
      </c>
      <c r="C990" s="45" t="s">
        <v>135</v>
      </c>
      <c r="D990" s="45" t="s">
        <v>136</v>
      </c>
      <c r="E990" s="45" t="s">
        <v>226</v>
      </c>
      <c r="F990" s="45" t="s">
        <v>2154</v>
      </c>
      <c r="G990" s="46" t="n">
        <v>46210</v>
      </c>
      <c r="H990" s="45" t="s">
        <v>169</v>
      </c>
      <c r="I990" s="45"/>
      <c r="J990" s="45"/>
      <c r="K990" s="45" t="n">
        <v>0.2</v>
      </c>
      <c r="L990" s="45" t="s">
        <v>263</v>
      </c>
      <c r="M990" s="45" t="s">
        <v>259</v>
      </c>
      <c r="N990" s="45" t="s">
        <v>169</v>
      </c>
      <c r="O990" s="47" t="n">
        <v>46212.0205208333</v>
      </c>
      <c r="P990" s="47" t="n">
        <v>46212.0206597222</v>
      </c>
    </row>
    <row r="991" customFormat="false" ht="15" hidden="false" customHeight="false" outlineLevel="0" collapsed="false">
      <c r="A991" s="45" t="n">
        <v>1196</v>
      </c>
      <c r="B991" s="46" t="n">
        <v>46212</v>
      </c>
      <c r="C991" s="45" t="s">
        <v>135</v>
      </c>
      <c r="D991" s="45" t="s">
        <v>136</v>
      </c>
      <c r="E991" s="45" t="s">
        <v>218</v>
      </c>
      <c r="F991" s="45" t="s">
        <v>2155</v>
      </c>
      <c r="G991" s="46" t="n">
        <v>46210</v>
      </c>
      <c r="H991" s="45" t="s">
        <v>169</v>
      </c>
      <c r="I991" s="45"/>
      <c r="J991" s="45"/>
      <c r="K991" s="45" t="n">
        <v>3.2</v>
      </c>
      <c r="L991" s="45" t="s">
        <v>263</v>
      </c>
      <c r="M991" s="45" t="s">
        <v>259</v>
      </c>
      <c r="N991" s="45" t="s">
        <v>169</v>
      </c>
      <c r="O991" s="47" t="n">
        <v>46212.0206944444</v>
      </c>
      <c r="P991" s="47" t="n">
        <v>46212.0228935185</v>
      </c>
    </row>
    <row r="992" customFormat="false" ht="15" hidden="false" customHeight="false" outlineLevel="0" collapsed="false">
      <c r="A992" s="45" t="n">
        <v>1197</v>
      </c>
      <c r="B992" s="46" t="n">
        <v>46212</v>
      </c>
      <c r="C992" s="45" t="s">
        <v>135</v>
      </c>
      <c r="D992" s="45" t="s">
        <v>136</v>
      </c>
      <c r="E992" s="45" t="s">
        <v>218</v>
      </c>
      <c r="F992" s="45" t="s">
        <v>2156</v>
      </c>
      <c r="G992" s="46" t="n">
        <v>46210</v>
      </c>
      <c r="H992" s="45" t="s">
        <v>169</v>
      </c>
      <c r="I992" s="45"/>
      <c r="J992" s="45"/>
      <c r="K992" s="45" t="n">
        <v>8.2</v>
      </c>
      <c r="L992" s="45" t="s">
        <v>263</v>
      </c>
      <c r="M992" s="45" t="s">
        <v>259</v>
      </c>
      <c r="N992" s="45" t="s">
        <v>169</v>
      </c>
      <c r="O992" s="47" t="n">
        <v>46212.0231134259</v>
      </c>
      <c r="P992" s="47" t="n">
        <v>46212.0287962963</v>
      </c>
    </row>
    <row r="993" customFormat="false" ht="15" hidden="false" customHeight="false" outlineLevel="0" collapsed="false">
      <c r="A993" s="45" t="n">
        <v>1198</v>
      </c>
      <c r="B993" s="46" t="n">
        <v>46212</v>
      </c>
      <c r="C993" s="45" t="s">
        <v>135</v>
      </c>
      <c r="D993" s="45" t="s">
        <v>136</v>
      </c>
      <c r="E993" s="45" t="s">
        <v>239</v>
      </c>
      <c r="F993" s="45" t="s">
        <v>2157</v>
      </c>
      <c r="G993" s="46" t="n">
        <v>46210</v>
      </c>
      <c r="H993" s="45" t="s">
        <v>169</v>
      </c>
      <c r="I993" s="45"/>
      <c r="J993" s="45"/>
      <c r="K993" s="45" t="n">
        <v>0.5</v>
      </c>
      <c r="L993" s="45" t="s">
        <v>263</v>
      </c>
      <c r="M993" s="45" t="s">
        <v>259</v>
      </c>
      <c r="N993" s="45" t="s">
        <v>169</v>
      </c>
      <c r="O993" s="47" t="n">
        <v>46212.0288078704</v>
      </c>
      <c r="P993" s="47" t="n">
        <v>46212.0291319444</v>
      </c>
    </row>
    <row r="994" customFormat="false" ht="15" hidden="false" customHeight="false" outlineLevel="0" collapsed="false">
      <c r="A994" s="45" t="n">
        <v>1199</v>
      </c>
      <c r="B994" s="46" t="n">
        <v>46212</v>
      </c>
      <c r="C994" s="45" t="s">
        <v>135</v>
      </c>
      <c r="D994" s="45" t="s">
        <v>136</v>
      </c>
      <c r="E994" s="45" t="s">
        <v>408</v>
      </c>
      <c r="F994" s="45" t="s">
        <v>2158</v>
      </c>
      <c r="G994" s="46" t="n">
        <v>46210</v>
      </c>
      <c r="H994" s="45" t="s">
        <v>169</v>
      </c>
      <c r="I994" s="45"/>
      <c r="J994" s="45"/>
      <c r="K994" s="45" t="n">
        <v>0.2</v>
      </c>
      <c r="L994" s="45" t="s">
        <v>263</v>
      </c>
      <c r="M994" s="45" t="s">
        <v>259</v>
      </c>
      <c r="N994" s="45" t="s">
        <v>169</v>
      </c>
      <c r="O994" s="47" t="n">
        <v>46212.0291782407</v>
      </c>
      <c r="P994" s="47" t="n">
        <v>46212.0293055556</v>
      </c>
    </row>
    <row r="995" customFormat="false" ht="15" hidden="false" customHeight="false" outlineLevel="0" collapsed="false">
      <c r="A995" s="45" t="n">
        <v>1203</v>
      </c>
      <c r="B995" s="46" t="n">
        <v>46212</v>
      </c>
      <c r="C995" s="45" t="s">
        <v>143</v>
      </c>
      <c r="D995" s="45" t="s">
        <v>144</v>
      </c>
      <c r="E995" s="45" t="s">
        <v>232</v>
      </c>
      <c r="F995" s="45" t="s">
        <v>2159</v>
      </c>
      <c r="G995" s="46" t="n">
        <v>46212</v>
      </c>
      <c r="H995" s="45" t="s">
        <v>167</v>
      </c>
      <c r="I995" s="45" t="s">
        <v>175</v>
      </c>
      <c r="J995" s="45" t="s">
        <v>2160</v>
      </c>
      <c r="K995" s="45" t="n">
        <v>1410.6</v>
      </c>
      <c r="L995" s="45" t="s">
        <v>263</v>
      </c>
      <c r="M995" s="45" t="s">
        <v>259</v>
      </c>
      <c r="N995" s="45" t="s">
        <v>167</v>
      </c>
      <c r="O995" s="47" t="n">
        <v>46212.0320601852</v>
      </c>
      <c r="P995" s="47" t="n">
        <v>46213.0116550926</v>
      </c>
    </row>
    <row r="996" customFormat="false" ht="15" hidden="false" customHeight="false" outlineLevel="0" collapsed="false">
      <c r="A996" s="45" t="n">
        <v>1200</v>
      </c>
      <c r="B996" s="46" t="n">
        <v>46212</v>
      </c>
      <c r="C996" s="45" t="s">
        <v>135</v>
      </c>
      <c r="D996" s="45" t="s">
        <v>136</v>
      </c>
      <c r="E996" s="45" t="s">
        <v>226</v>
      </c>
      <c r="F996" s="45" t="s">
        <v>2161</v>
      </c>
      <c r="G996" s="46" t="n">
        <v>46209</v>
      </c>
      <c r="H996" s="45" t="s">
        <v>169</v>
      </c>
      <c r="I996" s="45"/>
      <c r="J996" s="45"/>
      <c r="K996" s="45" t="n">
        <v>54.1</v>
      </c>
      <c r="L996" s="45" t="s">
        <v>263</v>
      </c>
      <c r="M996" s="45" t="s">
        <v>259</v>
      </c>
      <c r="N996" s="45" t="s">
        <v>169</v>
      </c>
      <c r="O996" s="47" t="n">
        <v>46212.0365740741</v>
      </c>
      <c r="P996" s="47" t="n">
        <v>46212.0741666667</v>
      </c>
    </row>
    <row r="997" customFormat="false" ht="15" hidden="false" customHeight="false" outlineLevel="0" collapsed="false">
      <c r="A997" s="45" t="n">
        <v>1201</v>
      </c>
      <c r="B997" s="46" t="n">
        <v>46212</v>
      </c>
      <c r="C997" s="45" t="s">
        <v>133</v>
      </c>
      <c r="D997" s="45" t="s">
        <v>134</v>
      </c>
      <c r="E997" s="45" t="s">
        <v>1930</v>
      </c>
      <c r="F997" s="45" t="s">
        <v>2162</v>
      </c>
      <c r="G997" s="46" t="n">
        <v>46209</v>
      </c>
      <c r="H997" s="45" t="s">
        <v>167</v>
      </c>
      <c r="I997" s="45" t="s">
        <v>175</v>
      </c>
      <c r="J997" s="45" t="s">
        <v>2163</v>
      </c>
      <c r="K997" s="45" t="n">
        <v>16.7</v>
      </c>
      <c r="L997" s="45" t="s">
        <v>263</v>
      </c>
      <c r="M997" s="45" t="s">
        <v>259</v>
      </c>
      <c r="N997" s="45" t="s">
        <v>167</v>
      </c>
      <c r="O997" s="47" t="n">
        <v>46212.1165856482</v>
      </c>
      <c r="P997" s="47" t="n">
        <v>46212.1281828704</v>
      </c>
    </row>
    <row r="998" customFormat="false" ht="15" hidden="false" customHeight="false" outlineLevel="0" collapsed="false">
      <c r="A998" s="45" t="n">
        <v>1202</v>
      </c>
      <c r="B998" s="46" t="n">
        <v>46212</v>
      </c>
      <c r="C998" s="45" t="s">
        <v>141</v>
      </c>
      <c r="D998" s="45" t="s">
        <v>142</v>
      </c>
      <c r="E998" s="45" t="s">
        <v>1704</v>
      </c>
      <c r="F998" s="45" t="s">
        <v>2164</v>
      </c>
      <c r="G998" s="46" t="n">
        <v>46211</v>
      </c>
      <c r="H998" s="45" t="s">
        <v>169</v>
      </c>
      <c r="I998" s="45"/>
      <c r="J998" s="45"/>
      <c r="K998" s="45" t="n">
        <v>0.4</v>
      </c>
      <c r="L998" s="45" t="s">
        <v>263</v>
      </c>
      <c r="M998" s="45" t="s">
        <v>259</v>
      </c>
      <c r="N998" s="45" t="s">
        <v>169</v>
      </c>
      <c r="O998" s="47" t="n">
        <v>46212.6349537037</v>
      </c>
      <c r="P998" s="47" t="n">
        <v>46212.6352199074</v>
      </c>
    </row>
    <row r="999" customFormat="false" ht="15" hidden="false" customHeight="false" outlineLevel="0" collapsed="false">
      <c r="A999" s="45" t="n">
        <v>1209</v>
      </c>
      <c r="B999" s="46" t="n">
        <v>46212</v>
      </c>
      <c r="C999" s="45" t="s">
        <v>141</v>
      </c>
      <c r="D999" s="45" t="s">
        <v>142</v>
      </c>
      <c r="E999" s="45" t="s">
        <v>1623</v>
      </c>
      <c r="F999" s="45" t="s">
        <v>2165</v>
      </c>
      <c r="G999" s="46" t="n">
        <v>46209</v>
      </c>
      <c r="H999" s="45" t="s">
        <v>168</v>
      </c>
      <c r="I999" s="45" t="s">
        <v>192</v>
      </c>
      <c r="J999" s="45" t="s">
        <v>2166</v>
      </c>
      <c r="K999" s="45" t="n">
        <v>1374.4</v>
      </c>
      <c r="L999" s="45" t="s">
        <v>263</v>
      </c>
      <c r="M999" s="45" t="s">
        <v>259</v>
      </c>
      <c r="N999" s="45" t="s">
        <v>264</v>
      </c>
      <c r="O999" s="47" t="n">
        <v>46212.709849537</v>
      </c>
      <c r="P999" s="47" t="n">
        <v>46213.6643055556</v>
      </c>
    </row>
    <row r="1000" customFormat="false" ht="15" hidden="false" customHeight="false" outlineLevel="0" collapsed="false">
      <c r="A1000" s="45" t="n">
        <v>1204</v>
      </c>
      <c r="B1000" s="46" t="n">
        <v>46213</v>
      </c>
      <c r="C1000" s="45" t="s">
        <v>131</v>
      </c>
      <c r="D1000" s="45" t="s">
        <v>132</v>
      </c>
      <c r="E1000" s="45" t="s">
        <v>2167</v>
      </c>
      <c r="F1000" s="45" t="s">
        <v>2168</v>
      </c>
      <c r="G1000" s="46" t="n">
        <v>46211</v>
      </c>
      <c r="H1000" s="45" t="s">
        <v>167</v>
      </c>
      <c r="I1000" s="45" t="s">
        <v>175</v>
      </c>
      <c r="J1000" s="45" t="s">
        <v>2169</v>
      </c>
      <c r="K1000" s="45" t="n">
        <v>17.1</v>
      </c>
      <c r="L1000" s="45" t="s">
        <v>263</v>
      </c>
      <c r="M1000" s="45" t="s">
        <v>263</v>
      </c>
      <c r="N1000" s="45" t="s">
        <v>167</v>
      </c>
      <c r="O1000" s="47" t="n">
        <v>46213.0023958333</v>
      </c>
      <c r="P1000" s="47" t="n">
        <v>46213.0142939815</v>
      </c>
    </row>
    <row r="1001" customFormat="false" ht="15" hidden="false" customHeight="false" outlineLevel="0" collapsed="false">
      <c r="A1001" s="45" t="n">
        <v>1205</v>
      </c>
      <c r="B1001" s="46" t="n">
        <v>46213</v>
      </c>
      <c r="C1001" s="45" t="s">
        <v>131</v>
      </c>
      <c r="D1001" s="45" t="s">
        <v>132</v>
      </c>
      <c r="E1001" s="45" t="s">
        <v>2127</v>
      </c>
      <c r="F1001" s="45" t="s">
        <v>2170</v>
      </c>
      <c r="G1001" s="46" t="n">
        <v>46211</v>
      </c>
      <c r="H1001" s="45" t="s">
        <v>57</v>
      </c>
      <c r="I1001" s="45" t="s">
        <v>200</v>
      </c>
      <c r="J1001" s="45" t="s">
        <v>2171</v>
      </c>
      <c r="K1001" s="45" t="n">
        <v>1.5</v>
      </c>
      <c r="L1001" s="45" t="s">
        <v>263</v>
      </c>
      <c r="M1001" s="45" t="s">
        <v>259</v>
      </c>
      <c r="N1001" s="45" t="s">
        <v>57</v>
      </c>
      <c r="O1001" s="47" t="n">
        <v>46213.0207175926</v>
      </c>
      <c r="P1001" s="47" t="n">
        <v>46213.0217824074</v>
      </c>
    </row>
    <row r="1002" customFormat="false" ht="15" hidden="false" customHeight="false" outlineLevel="0" collapsed="false">
      <c r="A1002" s="45" t="n">
        <v>1206</v>
      </c>
      <c r="B1002" s="46" t="n">
        <v>46213</v>
      </c>
      <c r="C1002" s="45" t="s">
        <v>143</v>
      </c>
      <c r="D1002" s="45" t="s">
        <v>144</v>
      </c>
      <c r="E1002" s="45" t="s">
        <v>223</v>
      </c>
      <c r="F1002" s="45" t="s">
        <v>2172</v>
      </c>
      <c r="G1002" s="46" t="n">
        <v>46211</v>
      </c>
      <c r="H1002" s="45" t="s">
        <v>167</v>
      </c>
      <c r="I1002" s="45" t="s">
        <v>175</v>
      </c>
      <c r="J1002" s="45" t="s">
        <v>2173</v>
      </c>
      <c r="K1002" s="45" t="n">
        <v>40</v>
      </c>
      <c r="L1002" s="45" t="s">
        <v>263</v>
      </c>
      <c r="M1002" s="45" t="s">
        <v>259</v>
      </c>
      <c r="N1002" s="45" t="s">
        <v>167</v>
      </c>
      <c r="O1002" s="47" t="n">
        <v>46213.044224537</v>
      </c>
      <c r="P1002" s="47" t="n">
        <v>46213.0720138889</v>
      </c>
    </row>
    <row r="1003" customFormat="false" ht="15" hidden="false" customHeight="false" outlineLevel="0" collapsed="false">
      <c r="A1003" s="45" t="n">
        <v>1207</v>
      </c>
      <c r="B1003" s="46" t="n">
        <v>46213</v>
      </c>
      <c r="C1003" s="45" t="s">
        <v>143</v>
      </c>
      <c r="D1003" s="45" t="s">
        <v>144</v>
      </c>
      <c r="E1003" s="45" t="s">
        <v>669</v>
      </c>
      <c r="F1003" s="45" t="s">
        <v>2174</v>
      </c>
      <c r="G1003" s="46" t="n">
        <v>46211</v>
      </c>
      <c r="H1003" s="45" t="s">
        <v>167</v>
      </c>
      <c r="I1003" s="45" t="s">
        <v>175</v>
      </c>
      <c r="J1003" s="45" t="s">
        <v>2175</v>
      </c>
      <c r="K1003" s="45" t="n">
        <v>36.9</v>
      </c>
      <c r="L1003" s="45" t="s">
        <v>263</v>
      </c>
      <c r="M1003" s="45" t="s">
        <v>259</v>
      </c>
      <c r="N1003" s="45" t="s">
        <v>167</v>
      </c>
      <c r="O1003" s="47" t="n">
        <v>46213.0720486111</v>
      </c>
      <c r="P1003" s="47" t="n">
        <v>46213.0976388889</v>
      </c>
    </row>
    <row r="1004" customFormat="false" ht="15" hidden="false" customHeight="false" outlineLevel="0" collapsed="false">
      <c r="A1004" s="45" t="n">
        <v>1208</v>
      </c>
      <c r="B1004" s="46" t="n">
        <v>46213</v>
      </c>
      <c r="C1004" s="45" t="s">
        <v>143</v>
      </c>
      <c r="D1004" s="45" t="s">
        <v>144</v>
      </c>
      <c r="E1004" s="45" t="s">
        <v>232</v>
      </c>
      <c r="F1004" s="45" t="s">
        <v>2176</v>
      </c>
      <c r="G1004" s="46" t="n">
        <v>46211</v>
      </c>
      <c r="H1004" s="45" t="s">
        <v>167</v>
      </c>
      <c r="I1004" s="45" t="s">
        <v>175</v>
      </c>
      <c r="J1004" s="45" t="s">
        <v>2177</v>
      </c>
      <c r="K1004" s="45" t="n">
        <v>27.6</v>
      </c>
      <c r="L1004" s="45" t="s">
        <v>263</v>
      </c>
      <c r="M1004" s="45" t="s">
        <v>259</v>
      </c>
      <c r="N1004" s="45" t="s">
        <v>167</v>
      </c>
      <c r="O1004" s="47" t="n">
        <v>46213.0976851852</v>
      </c>
      <c r="P1004" s="47" t="n">
        <v>46213.1168865741</v>
      </c>
    </row>
    <row r="1005" customFormat="false" ht="15" hidden="false" customHeight="false" outlineLevel="0" collapsed="false">
      <c r="A1005" s="45" t="n">
        <v>1211</v>
      </c>
      <c r="B1005" s="46" t="n">
        <v>46213</v>
      </c>
      <c r="C1005" s="45" t="s">
        <v>143</v>
      </c>
      <c r="D1005" s="45" t="s">
        <v>144</v>
      </c>
      <c r="E1005" s="45" t="s">
        <v>224</v>
      </c>
      <c r="F1005" s="45" t="s">
        <v>2178</v>
      </c>
      <c r="G1005" s="46" t="n">
        <v>46212</v>
      </c>
      <c r="H1005" s="45" t="s">
        <v>167</v>
      </c>
      <c r="I1005" s="45" t="s">
        <v>175</v>
      </c>
      <c r="J1005" s="45" t="s">
        <v>2179</v>
      </c>
      <c r="K1005" s="45" t="n">
        <v>1238.8</v>
      </c>
      <c r="L1005" s="45" t="s">
        <v>263</v>
      </c>
      <c r="M1005" s="45" t="s">
        <v>259</v>
      </c>
      <c r="N1005" s="45" t="s">
        <v>167</v>
      </c>
      <c r="O1005" s="47" t="n">
        <v>46213.1169328704</v>
      </c>
      <c r="P1005" s="47" t="n">
        <v>46213.9772222222</v>
      </c>
    </row>
    <row r="1006" customFormat="false" ht="15" hidden="false" customHeight="false" outlineLevel="0" collapsed="false">
      <c r="A1006" s="45" t="n">
        <v>1210</v>
      </c>
      <c r="B1006" s="46" t="n">
        <v>46213</v>
      </c>
      <c r="C1006" s="45" t="s">
        <v>141</v>
      </c>
      <c r="D1006" s="45" t="s">
        <v>142</v>
      </c>
      <c r="E1006" s="45" t="s">
        <v>683</v>
      </c>
      <c r="F1006" s="45" t="s">
        <v>2180</v>
      </c>
      <c r="G1006" s="46" t="n">
        <v>46206</v>
      </c>
      <c r="H1006" s="45" t="s">
        <v>167</v>
      </c>
      <c r="I1006" s="45" t="s">
        <v>175</v>
      </c>
      <c r="J1006" s="45" t="s">
        <v>2181</v>
      </c>
      <c r="K1006" s="45" t="n">
        <v>41.7</v>
      </c>
      <c r="L1006" s="45" t="s">
        <v>263</v>
      </c>
      <c r="M1006" s="45" t="s">
        <v>259</v>
      </c>
      <c r="N1006" s="45" t="s">
        <v>167</v>
      </c>
      <c r="O1006" s="47" t="n">
        <v>46213.6644328704</v>
      </c>
      <c r="P1006" s="47" t="n">
        <v>46213.6933680556</v>
      </c>
    </row>
    <row r="1007" customFormat="false" ht="15" hidden="false" customHeight="false" outlineLevel="0" collapsed="false">
      <c r="A1007" s="45" t="n">
        <v>1212</v>
      </c>
      <c r="B1007" s="46" t="n">
        <v>46214</v>
      </c>
      <c r="C1007" s="45" t="s">
        <v>131</v>
      </c>
      <c r="D1007" s="45" t="s">
        <v>132</v>
      </c>
      <c r="E1007" s="45" t="s">
        <v>2182</v>
      </c>
      <c r="F1007" s="45" t="s">
        <v>2183</v>
      </c>
      <c r="G1007" s="46" t="n">
        <v>46212</v>
      </c>
      <c r="H1007" s="45" t="s">
        <v>169</v>
      </c>
      <c r="I1007" s="45"/>
      <c r="J1007" s="45"/>
      <c r="K1007" s="45" t="n">
        <v>4.6</v>
      </c>
      <c r="L1007" s="45" t="s">
        <v>263</v>
      </c>
      <c r="M1007" s="45" t="s">
        <v>263</v>
      </c>
      <c r="N1007" s="45" t="s">
        <v>169</v>
      </c>
      <c r="O1007" s="47" t="n">
        <v>46214.0254050926</v>
      </c>
      <c r="P1007" s="47" t="n">
        <v>46214.028587963</v>
      </c>
    </row>
    <row r="1008" customFormat="false" ht="15" hidden="false" customHeight="false" outlineLevel="0" collapsed="false">
      <c r="A1008" s="45" t="n">
        <v>1213</v>
      </c>
      <c r="B1008" s="46" t="n">
        <v>46214</v>
      </c>
      <c r="C1008" s="45" t="s">
        <v>131</v>
      </c>
      <c r="D1008" s="45" t="s">
        <v>132</v>
      </c>
      <c r="E1008" s="45" t="s">
        <v>2184</v>
      </c>
      <c r="F1008" s="45" t="s">
        <v>2185</v>
      </c>
      <c r="G1008" s="46" t="n">
        <v>46212</v>
      </c>
      <c r="H1008" s="45" t="s">
        <v>167</v>
      </c>
      <c r="I1008" s="45" t="s">
        <v>175</v>
      </c>
      <c r="J1008" s="45" t="s">
        <v>2186</v>
      </c>
      <c r="K1008" s="45" t="n">
        <v>2.8</v>
      </c>
      <c r="L1008" s="45" t="s">
        <v>263</v>
      </c>
      <c r="M1008" s="45" t="s">
        <v>263</v>
      </c>
      <c r="N1008" s="45" t="s">
        <v>167</v>
      </c>
      <c r="O1008" s="47" t="n">
        <v>46214.0289699074</v>
      </c>
      <c r="P1008" s="47" t="n">
        <v>46214.0308912037</v>
      </c>
    </row>
    <row r="1009" customFormat="false" ht="15" hidden="false" customHeight="false" outlineLevel="0" collapsed="false">
      <c r="A1009" s="45" t="n">
        <v>1214</v>
      </c>
      <c r="B1009" s="46" t="n">
        <v>46214</v>
      </c>
      <c r="C1009" s="45" t="s">
        <v>131</v>
      </c>
      <c r="D1009" s="45" t="s">
        <v>132</v>
      </c>
      <c r="E1009" s="45" t="s">
        <v>2184</v>
      </c>
      <c r="F1009" s="45" t="s">
        <v>2187</v>
      </c>
      <c r="G1009" s="46" t="n">
        <v>46212</v>
      </c>
      <c r="H1009" s="45" t="s">
        <v>57</v>
      </c>
      <c r="I1009" s="45" t="s">
        <v>202</v>
      </c>
      <c r="J1009" s="45" t="s">
        <v>2188</v>
      </c>
      <c r="K1009" s="45" t="n">
        <v>0.8</v>
      </c>
      <c r="L1009" s="45" t="s">
        <v>263</v>
      </c>
      <c r="M1009" s="45" t="s">
        <v>263</v>
      </c>
      <c r="N1009" s="45" t="s">
        <v>57</v>
      </c>
      <c r="O1009" s="47" t="n">
        <v>46214.0311805556</v>
      </c>
      <c r="P1009" s="47" t="n">
        <v>46214.0317476852</v>
      </c>
    </row>
    <row r="1010" customFormat="false" ht="15" hidden="false" customHeight="false" outlineLevel="0" collapsed="false">
      <c r="A1010" s="45" t="n">
        <v>1215</v>
      </c>
      <c r="B1010" s="46" t="n">
        <v>46214</v>
      </c>
      <c r="C1010" s="45" t="s">
        <v>143</v>
      </c>
      <c r="D1010" s="45" t="s">
        <v>144</v>
      </c>
      <c r="E1010" s="45" t="s">
        <v>223</v>
      </c>
      <c r="F1010" s="45" t="s">
        <v>2189</v>
      </c>
      <c r="G1010" s="46" t="n">
        <v>46212</v>
      </c>
      <c r="H1010" s="45" t="s">
        <v>167</v>
      </c>
      <c r="I1010" s="45" t="s">
        <v>175</v>
      </c>
      <c r="J1010" s="45" t="s">
        <v>2190</v>
      </c>
      <c r="K1010" s="45" t="n">
        <v>4.3</v>
      </c>
      <c r="L1010" s="45" t="s">
        <v>263</v>
      </c>
      <c r="M1010" s="45" t="s">
        <v>259</v>
      </c>
      <c r="N1010" s="45" t="s">
        <v>167</v>
      </c>
      <c r="O1010" s="47" t="n">
        <v>46214.1270023148</v>
      </c>
      <c r="P1010" s="47" t="n">
        <v>46214.1300231482</v>
      </c>
    </row>
    <row r="1011" customFormat="false" ht="15" hidden="false" customHeight="false" outlineLevel="0" collapsed="false">
      <c r="A1011" s="45" t="n">
        <v>1216</v>
      </c>
      <c r="B1011" s="46" t="n">
        <v>46214</v>
      </c>
      <c r="C1011" s="45" t="s">
        <v>143</v>
      </c>
      <c r="D1011" s="45" t="s">
        <v>144</v>
      </c>
      <c r="E1011" s="45" t="s">
        <v>1606</v>
      </c>
      <c r="F1011" s="45" t="s">
        <v>2191</v>
      </c>
      <c r="G1011" s="46" t="n">
        <v>46212</v>
      </c>
      <c r="H1011" s="45" t="s">
        <v>57</v>
      </c>
      <c r="I1011" s="45" t="s">
        <v>200</v>
      </c>
      <c r="J1011" s="45" t="s">
        <v>2192</v>
      </c>
      <c r="K1011" s="45" t="n">
        <v>9.9</v>
      </c>
      <c r="L1011" s="45" t="s">
        <v>263</v>
      </c>
      <c r="M1011" s="45" t="s">
        <v>259</v>
      </c>
      <c r="N1011" s="45" t="s">
        <v>57</v>
      </c>
      <c r="O1011" s="47" t="n">
        <v>46214.1309027778</v>
      </c>
      <c r="P1011" s="47" t="n">
        <v>46214.1377546296</v>
      </c>
    </row>
    <row r="1012" customFormat="false" ht="15" hidden="false" customHeight="false" outlineLevel="0" collapsed="false">
      <c r="A1012" s="45" t="n">
        <v>1239</v>
      </c>
      <c r="B1012" s="46" t="n">
        <v>46214</v>
      </c>
      <c r="C1012" s="45" t="s">
        <v>143</v>
      </c>
      <c r="D1012" s="45" t="s">
        <v>144</v>
      </c>
      <c r="E1012" s="45" t="s">
        <v>1697</v>
      </c>
      <c r="F1012" s="45" t="s">
        <v>2193</v>
      </c>
      <c r="G1012" s="46" t="n">
        <v>46213</v>
      </c>
      <c r="H1012" s="45" t="s">
        <v>167</v>
      </c>
      <c r="I1012" s="45" t="s">
        <v>175</v>
      </c>
      <c r="J1012" s="45" t="s">
        <v>2194</v>
      </c>
      <c r="K1012" s="45" t="n">
        <v>4405</v>
      </c>
      <c r="L1012" s="45" t="s">
        <v>263</v>
      </c>
      <c r="M1012" s="45" t="s">
        <v>259</v>
      </c>
      <c r="N1012" s="45" t="s">
        <v>167</v>
      </c>
      <c r="O1012" s="47" t="n">
        <v>46214.1377893519</v>
      </c>
      <c r="P1012" s="47" t="n">
        <v>46217.1968402778</v>
      </c>
    </row>
    <row r="1013" customFormat="false" ht="15" hidden="false" customHeight="false" outlineLevel="0" collapsed="false">
      <c r="A1013" s="45" t="n">
        <v>1217</v>
      </c>
      <c r="B1013" s="46" t="n">
        <v>46215</v>
      </c>
      <c r="C1013" s="45" t="s">
        <v>137</v>
      </c>
      <c r="D1013" s="45" t="s">
        <v>138</v>
      </c>
      <c r="E1013" s="45" t="s">
        <v>235</v>
      </c>
      <c r="F1013" s="45" t="s">
        <v>2195</v>
      </c>
      <c r="G1013" s="46" t="n">
        <v>46205</v>
      </c>
      <c r="H1013" s="45" t="s">
        <v>167</v>
      </c>
      <c r="I1013" s="45" t="s">
        <v>175</v>
      </c>
      <c r="J1013" s="45" t="s">
        <v>1260</v>
      </c>
      <c r="K1013" s="45" t="n">
        <v>2.3</v>
      </c>
      <c r="L1013" s="45" t="s">
        <v>263</v>
      </c>
      <c r="M1013" s="45" t="s">
        <v>259</v>
      </c>
      <c r="N1013" s="45" t="s">
        <v>167</v>
      </c>
      <c r="O1013" s="47" t="n">
        <v>46215.6750578704</v>
      </c>
      <c r="P1013" s="47" t="n">
        <v>46215.6766666667</v>
      </c>
    </row>
    <row r="1014" customFormat="false" ht="15" hidden="false" customHeight="false" outlineLevel="0" collapsed="false">
      <c r="A1014" s="45" t="n">
        <v>1218</v>
      </c>
      <c r="B1014" s="46" t="n">
        <v>46215</v>
      </c>
      <c r="C1014" s="45" t="s">
        <v>137</v>
      </c>
      <c r="D1014" s="45" t="s">
        <v>138</v>
      </c>
      <c r="E1014" s="45" t="s">
        <v>235</v>
      </c>
      <c r="F1014" s="45" t="s">
        <v>2196</v>
      </c>
      <c r="G1014" s="46" t="n">
        <v>46212</v>
      </c>
      <c r="H1014" s="45" t="s">
        <v>167</v>
      </c>
      <c r="I1014" s="45" t="s">
        <v>175</v>
      </c>
      <c r="J1014" s="45" t="s">
        <v>2082</v>
      </c>
      <c r="K1014" s="45" t="n">
        <v>0.4</v>
      </c>
      <c r="L1014" s="45" t="s">
        <v>263</v>
      </c>
      <c r="M1014" s="45" t="s">
        <v>259</v>
      </c>
      <c r="N1014" s="45" t="s">
        <v>167</v>
      </c>
      <c r="O1014" s="47" t="n">
        <v>46215.6766898148</v>
      </c>
      <c r="P1014" s="47" t="n">
        <v>46215.6769444444</v>
      </c>
    </row>
    <row r="1015" customFormat="false" ht="15" hidden="false" customHeight="false" outlineLevel="0" collapsed="false">
      <c r="A1015" s="45" t="n">
        <v>1219</v>
      </c>
      <c r="B1015" s="46" t="n">
        <v>46215</v>
      </c>
      <c r="C1015" s="45" t="s">
        <v>137</v>
      </c>
      <c r="D1015" s="45" t="s">
        <v>138</v>
      </c>
      <c r="E1015" s="45" t="s">
        <v>312</v>
      </c>
      <c r="F1015" s="45" t="s">
        <v>2197</v>
      </c>
      <c r="G1015" s="46" t="n">
        <v>46211</v>
      </c>
      <c r="H1015" s="45" t="s">
        <v>167</v>
      </c>
      <c r="I1015" s="45" t="s">
        <v>175</v>
      </c>
      <c r="J1015" s="45" t="s">
        <v>1260</v>
      </c>
      <c r="K1015" s="45" t="n">
        <v>0.3</v>
      </c>
      <c r="L1015" s="45" t="s">
        <v>263</v>
      </c>
      <c r="M1015" s="45" t="s">
        <v>259</v>
      </c>
      <c r="N1015" s="45" t="s">
        <v>167</v>
      </c>
      <c r="O1015" s="47" t="n">
        <v>46215.6769675926</v>
      </c>
      <c r="P1015" s="47" t="n">
        <v>46215.6772106482</v>
      </c>
    </row>
    <row r="1016" customFormat="false" ht="15" hidden="false" customHeight="false" outlineLevel="0" collapsed="false">
      <c r="A1016" s="45" t="n">
        <v>1220</v>
      </c>
      <c r="B1016" s="46" t="n">
        <v>46215</v>
      </c>
      <c r="C1016" s="45" t="s">
        <v>137</v>
      </c>
      <c r="D1016" s="45" t="s">
        <v>138</v>
      </c>
      <c r="E1016" s="45" t="s">
        <v>1727</v>
      </c>
      <c r="F1016" s="45" t="s">
        <v>2198</v>
      </c>
      <c r="G1016" s="46" t="n">
        <v>46212</v>
      </c>
      <c r="H1016" s="45" t="s">
        <v>167</v>
      </c>
      <c r="I1016" s="45" t="s">
        <v>177</v>
      </c>
      <c r="J1016" s="45" t="s">
        <v>2199</v>
      </c>
      <c r="K1016" s="45" t="n">
        <v>1.8</v>
      </c>
      <c r="L1016" s="45" t="s">
        <v>263</v>
      </c>
      <c r="M1016" s="45" t="s">
        <v>259</v>
      </c>
      <c r="N1016" s="45" t="s">
        <v>167</v>
      </c>
      <c r="O1016" s="47" t="n">
        <v>46215.6772453704</v>
      </c>
      <c r="P1016" s="47" t="n">
        <v>46215.6785069444</v>
      </c>
    </row>
    <row r="1017" customFormat="false" ht="15" hidden="false" customHeight="false" outlineLevel="0" collapsed="false">
      <c r="A1017" s="45" t="n">
        <v>1221</v>
      </c>
      <c r="B1017" s="46" t="n">
        <v>46215</v>
      </c>
      <c r="C1017" s="45" t="s">
        <v>137</v>
      </c>
      <c r="D1017" s="45" t="s">
        <v>138</v>
      </c>
      <c r="E1017" s="45" t="s">
        <v>1727</v>
      </c>
      <c r="F1017" s="45" t="s">
        <v>2200</v>
      </c>
      <c r="G1017" s="46" t="n">
        <v>46211</v>
      </c>
      <c r="H1017" s="45" t="s">
        <v>167</v>
      </c>
      <c r="I1017" s="45" t="s">
        <v>176</v>
      </c>
      <c r="J1017" s="45" t="s">
        <v>2201</v>
      </c>
      <c r="K1017" s="45" t="n">
        <v>0.8</v>
      </c>
      <c r="L1017" s="45" t="s">
        <v>263</v>
      </c>
      <c r="M1017" s="45" t="s">
        <v>259</v>
      </c>
      <c r="N1017" s="45" t="s">
        <v>167</v>
      </c>
      <c r="O1017" s="47" t="n">
        <v>46215.6785763889</v>
      </c>
      <c r="P1017" s="47" t="n">
        <v>46215.6791203704</v>
      </c>
    </row>
    <row r="1018" customFormat="false" ht="15" hidden="false" customHeight="false" outlineLevel="0" collapsed="false">
      <c r="A1018" s="45" t="n">
        <v>1222</v>
      </c>
      <c r="B1018" s="46" t="n">
        <v>46215</v>
      </c>
      <c r="C1018" s="45" t="s">
        <v>137</v>
      </c>
      <c r="D1018" s="45" t="s">
        <v>138</v>
      </c>
      <c r="E1018" s="45" t="s">
        <v>1688</v>
      </c>
      <c r="F1018" s="45" t="s">
        <v>2202</v>
      </c>
      <c r="G1018" s="46" t="n">
        <v>46211</v>
      </c>
      <c r="H1018" s="45" t="s">
        <v>167</v>
      </c>
      <c r="I1018" s="45" t="s">
        <v>175</v>
      </c>
      <c r="J1018" s="45" t="s">
        <v>2049</v>
      </c>
      <c r="K1018" s="45" t="n">
        <v>0.5</v>
      </c>
      <c r="L1018" s="45" t="s">
        <v>263</v>
      </c>
      <c r="M1018" s="45" t="s">
        <v>259</v>
      </c>
      <c r="N1018" s="45" t="s">
        <v>167</v>
      </c>
      <c r="O1018" s="47" t="n">
        <v>46215.6791435185</v>
      </c>
      <c r="P1018" s="47" t="n">
        <v>46215.6794907407</v>
      </c>
    </row>
    <row r="1019" customFormat="false" ht="15" hidden="false" customHeight="false" outlineLevel="0" collapsed="false">
      <c r="A1019" s="45" t="n">
        <v>1223</v>
      </c>
      <c r="B1019" s="46" t="n">
        <v>46215</v>
      </c>
      <c r="C1019" s="45" t="s">
        <v>137</v>
      </c>
      <c r="D1019" s="45" t="s">
        <v>138</v>
      </c>
      <c r="E1019" s="45" t="s">
        <v>234</v>
      </c>
      <c r="F1019" s="45" t="s">
        <v>2203</v>
      </c>
      <c r="G1019" s="46" t="n">
        <v>46211</v>
      </c>
      <c r="H1019" s="45" t="s">
        <v>167</v>
      </c>
      <c r="I1019" s="45" t="s">
        <v>175</v>
      </c>
      <c r="J1019" s="45" t="s">
        <v>2204</v>
      </c>
      <c r="K1019" s="45" t="n">
        <v>7.9</v>
      </c>
      <c r="L1019" s="45" t="s">
        <v>263</v>
      </c>
      <c r="M1019" s="45" t="s">
        <v>259</v>
      </c>
      <c r="N1019" s="45" t="s">
        <v>167</v>
      </c>
      <c r="O1019" s="47" t="n">
        <v>46215.6795138889</v>
      </c>
      <c r="P1019" s="47" t="n">
        <v>46215.6850231482</v>
      </c>
    </row>
    <row r="1020" customFormat="false" ht="15" hidden="false" customHeight="false" outlineLevel="0" collapsed="false">
      <c r="A1020" s="45" t="n">
        <v>1224</v>
      </c>
      <c r="B1020" s="46" t="n">
        <v>46215</v>
      </c>
      <c r="C1020" s="45" t="s">
        <v>137</v>
      </c>
      <c r="D1020" s="45" t="s">
        <v>138</v>
      </c>
      <c r="E1020" s="45" t="s">
        <v>449</v>
      </c>
      <c r="F1020" s="45" t="s">
        <v>2205</v>
      </c>
      <c r="G1020" s="46" t="n">
        <v>46211</v>
      </c>
      <c r="H1020" s="45" t="s">
        <v>57</v>
      </c>
      <c r="I1020" s="45" t="s">
        <v>200</v>
      </c>
      <c r="J1020" s="45" t="s">
        <v>2206</v>
      </c>
      <c r="K1020" s="45" t="n">
        <v>0.4</v>
      </c>
      <c r="L1020" s="45" t="s">
        <v>263</v>
      </c>
      <c r="M1020" s="45" t="s">
        <v>259</v>
      </c>
      <c r="N1020" s="45" t="s">
        <v>57</v>
      </c>
      <c r="O1020" s="47" t="n">
        <v>46215.6850462963</v>
      </c>
      <c r="P1020" s="47" t="n">
        <v>46215.6853472222</v>
      </c>
    </row>
    <row r="1021" customFormat="false" ht="15" hidden="false" customHeight="false" outlineLevel="0" collapsed="false">
      <c r="A1021" s="45" t="n">
        <v>1225</v>
      </c>
      <c r="B1021" s="46" t="n">
        <v>46215</v>
      </c>
      <c r="C1021" s="45" t="s">
        <v>137</v>
      </c>
      <c r="D1021" s="45" t="s">
        <v>138</v>
      </c>
      <c r="E1021" s="45" t="s">
        <v>1727</v>
      </c>
      <c r="F1021" s="45" t="s">
        <v>2207</v>
      </c>
      <c r="G1021" s="46" t="n">
        <v>46211</v>
      </c>
      <c r="H1021" s="45" t="s">
        <v>167</v>
      </c>
      <c r="I1021" s="45" t="s">
        <v>182</v>
      </c>
      <c r="J1021" s="45" t="s">
        <v>2208</v>
      </c>
      <c r="K1021" s="45" t="n">
        <v>1.1</v>
      </c>
      <c r="L1021" s="45" t="s">
        <v>263</v>
      </c>
      <c r="M1021" s="45" t="s">
        <v>259</v>
      </c>
      <c r="N1021" s="45" t="s">
        <v>167</v>
      </c>
      <c r="O1021" s="47" t="n">
        <v>46215.6854513889</v>
      </c>
      <c r="P1021" s="47" t="n">
        <v>46215.6861805556</v>
      </c>
    </row>
    <row r="1022" customFormat="false" ht="15" hidden="false" customHeight="false" outlineLevel="0" collapsed="false">
      <c r="A1022" s="45" t="n">
        <v>1226</v>
      </c>
      <c r="B1022" s="46" t="n">
        <v>46215</v>
      </c>
      <c r="C1022" s="45" t="s">
        <v>137</v>
      </c>
      <c r="D1022" s="45" t="s">
        <v>138</v>
      </c>
      <c r="E1022" s="45" t="s">
        <v>496</v>
      </c>
      <c r="F1022" s="45" t="s">
        <v>2209</v>
      </c>
      <c r="G1022" s="46" t="n">
        <v>46204</v>
      </c>
      <c r="H1022" s="45" t="s">
        <v>170</v>
      </c>
      <c r="I1022" s="45" t="s">
        <v>209</v>
      </c>
      <c r="J1022" s="45" t="s">
        <v>2210</v>
      </c>
      <c r="K1022" s="45" t="n">
        <v>0.9</v>
      </c>
      <c r="L1022" s="45" t="s">
        <v>263</v>
      </c>
      <c r="M1022" s="45" t="s">
        <v>259</v>
      </c>
      <c r="N1022" s="45" t="s">
        <v>478</v>
      </c>
      <c r="O1022" s="47" t="n">
        <v>46215.6862037037</v>
      </c>
      <c r="P1022" s="47" t="n">
        <v>46215.6868171296</v>
      </c>
    </row>
    <row r="1023" customFormat="false" ht="15" hidden="false" customHeight="false" outlineLevel="0" collapsed="false">
      <c r="A1023" s="45" t="n">
        <v>1227</v>
      </c>
      <c r="B1023" s="46" t="n">
        <v>46215</v>
      </c>
      <c r="C1023" s="45" t="s">
        <v>137</v>
      </c>
      <c r="D1023" s="45" t="s">
        <v>138</v>
      </c>
      <c r="E1023" s="45" t="s">
        <v>449</v>
      </c>
      <c r="F1023" s="45" t="s">
        <v>2211</v>
      </c>
      <c r="G1023" s="46" t="n">
        <v>46212</v>
      </c>
      <c r="H1023" s="45" t="s">
        <v>168</v>
      </c>
      <c r="I1023" s="45" t="s">
        <v>192</v>
      </c>
      <c r="J1023" s="45" t="s">
        <v>2212</v>
      </c>
      <c r="K1023" s="45" t="n">
        <v>0.3</v>
      </c>
      <c r="L1023" s="45" t="s">
        <v>263</v>
      </c>
      <c r="M1023" s="45" t="s">
        <v>259</v>
      </c>
      <c r="N1023" s="45" t="s">
        <v>264</v>
      </c>
      <c r="O1023" s="47" t="n">
        <v>46215.6868981482</v>
      </c>
      <c r="P1023" s="47" t="n">
        <v>46215.6871180556</v>
      </c>
    </row>
    <row r="1024" customFormat="false" ht="15" hidden="false" customHeight="false" outlineLevel="0" collapsed="false">
      <c r="A1024" s="45" t="n">
        <v>1228</v>
      </c>
      <c r="B1024" s="46" t="n">
        <v>46215</v>
      </c>
      <c r="C1024" s="45" t="s">
        <v>137</v>
      </c>
      <c r="D1024" s="45" t="s">
        <v>138</v>
      </c>
      <c r="E1024" s="45" t="s">
        <v>219</v>
      </c>
      <c r="F1024" s="45" t="s">
        <v>2213</v>
      </c>
      <c r="G1024" s="46" t="n">
        <v>46212</v>
      </c>
      <c r="H1024" s="45" t="s">
        <v>167</v>
      </c>
      <c r="I1024" s="45" t="s">
        <v>175</v>
      </c>
      <c r="J1024" s="45" t="s">
        <v>2084</v>
      </c>
      <c r="K1024" s="45" t="n">
        <v>0.8</v>
      </c>
      <c r="L1024" s="45" t="s">
        <v>263</v>
      </c>
      <c r="M1024" s="45" t="s">
        <v>259</v>
      </c>
      <c r="N1024" s="45" t="s">
        <v>167</v>
      </c>
      <c r="O1024" s="47" t="n">
        <v>46215.6871412037</v>
      </c>
      <c r="P1024" s="47" t="n">
        <v>46215.6877314815</v>
      </c>
    </row>
    <row r="1025" customFormat="false" ht="15" hidden="false" customHeight="false" outlineLevel="0" collapsed="false">
      <c r="A1025" s="45" t="n">
        <v>1229</v>
      </c>
      <c r="B1025" s="46" t="n">
        <v>46215</v>
      </c>
      <c r="C1025" s="45" t="s">
        <v>137</v>
      </c>
      <c r="D1025" s="45" t="s">
        <v>138</v>
      </c>
      <c r="E1025" s="45" t="s">
        <v>234</v>
      </c>
      <c r="F1025" s="45" t="s">
        <v>2214</v>
      </c>
      <c r="G1025" s="46" t="n">
        <v>46211</v>
      </c>
      <c r="H1025" s="45" t="s">
        <v>167</v>
      </c>
      <c r="I1025" s="45" t="s">
        <v>175</v>
      </c>
      <c r="J1025" s="45" t="s">
        <v>1260</v>
      </c>
      <c r="K1025" s="45" t="n">
        <v>0.7</v>
      </c>
      <c r="L1025" s="45" t="s">
        <v>263</v>
      </c>
      <c r="M1025" s="45" t="s">
        <v>259</v>
      </c>
      <c r="N1025" s="45" t="s">
        <v>167</v>
      </c>
      <c r="O1025" s="47" t="n">
        <v>46215.6877430556</v>
      </c>
      <c r="P1025" s="47" t="n">
        <v>46215.6882060185</v>
      </c>
    </row>
    <row r="1026" customFormat="false" ht="15" hidden="false" customHeight="false" outlineLevel="0" collapsed="false">
      <c r="A1026" s="45" t="n">
        <v>1230</v>
      </c>
      <c r="B1026" s="46" t="n">
        <v>46215</v>
      </c>
      <c r="C1026" s="45" t="s">
        <v>137</v>
      </c>
      <c r="D1026" s="45" t="s">
        <v>138</v>
      </c>
      <c r="E1026" s="45" t="s">
        <v>1732</v>
      </c>
      <c r="F1026" s="45" t="s">
        <v>2215</v>
      </c>
      <c r="G1026" s="46" t="n">
        <v>46211</v>
      </c>
      <c r="H1026" s="45" t="s">
        <v>168</v>
      </c>
      <c r="I1026" s="45" t="s">
        <v>192</v>
      </c>
      <c r="J1026" s="45" t="s">
        <v>2075</v>
      </c>
      <c r="K1026" s="45" t="n">
        <v>5.4</v>
      </c>
      <c r="L1026" s="45" t="s">
        <v>263</v>
      </c>
      <c r="M1026" s="45" t="s">
        <v>259</v>
      </c>
      <c r="N1026" s="45" t="s">
        <v>264</v>
      </c>
      <c r="O1026" s="47" t="n">
        <v>46215.6882291667</v>
      </c>
      <c r="P1026" s="47" t="n">
        <v>46215.6919560185</v>
      </c>
    </row>
    <row r="1027" customFormat="false" ht="15" hidden="false" customHeight="false" outlineLevel="0" collapsed="false">
      <c r="A1027" s="45" t="n">
        <v>1231</v>
      </c>
      <c r="B1027" s="46" t="n">
        <v>46215</v>
      </c>
      <c r="C1027" s="45" t="s">
        <v>137</v>
      </c>
      <c r="D1027" s="45" t="s">
        <v>138</v>
      </c>
      <c r="E1027" s="45" t="s">
        <v>1732</v>
      </c>
      <c r="F1027" s="45" t="s">
        <v>2216</v>
      </c>
      <c r="G1027" s="46" t="n">
        <v>46212</v>
      </c>
      <c r="H1027" s="45" t="s">
        <v>167</v>
      </c>
      <c r="I1027" s="45" t="s">
        <v>177</v>
      </c>
      <c r="J1027" s="45" t="s">
        <v>2217</v>
      </c>
      <c r="K1027" s="45" t="n">
        <v>29.2</v>
      </c>
      <c r="L1027" s="45" t="s">
        <v>263</v>
      </c>
      <c r="M1027" s="45" t="s">
        <v>259</v>
      </c>
      <c r="N1027" s="45" t="s">
        <v>167</v>
      </c>
      <c r="O1027" s="47" t="n">
        <v>46215.6921643519</v>
      </c>
      <c r="P1027" s="47" t="n">
        <v>46215.7124421296</v>
      </c>
    </row>
    <row r="1028" customFormat="false" ht="15" hidden="false" customHeight="false" outlineLevel="0" collapsed="false">
      <c r="A1028" s="45" t="n">
        <v>1232</v>
      </c>
      <c r="B1028" s="46" t="n">
        <v>46215</v>
      </c>
      <c r="C1028" s="45" t="s">
        <v>137</v>
      </c>
      <c r="D1028" s="45" t="s">
        <v>138</v>
      </c>
      <c r="E1028" s="45" t="s">
        <v>1732</v>
      </c>
      <c r="F1028" s="45" t="s">
        <v>2218</v>
      </c>
      <c r="G1028" s="46" t="n">
        <v>46212</v>
      </c>
      <c r="H1028" s="45" t="s">
        <v>167</v>
      </c>
      <c r="I1028" s="45" t="s">
        <v>177</v>
      </c>
      <c r="J1028" s="45" t="s">
        <v>2208</v>
      </c>
      <c r="K1028" s="45" t="n">
        <v>0.4</v>
      </c>
      <c r="L1028" s="45" t="s">
        <v>263</v>
      </c>
      <c r="M1028" s="45" t="s">
        <v>259</v>
      </c>
      <c r="N1028" s="45" t="s">
        <v>167</v>
      </c>
      <c r="O1028" s="47" t="n">
        <v>46215.7125231482</v>
      </c>
      <c r="P1028" s="47" t="n">
        <v>46215.7127893519</v>
      </c>
    </row>
    <row r="1029" customFormat="false" ht="15" hidden="false" customHeight="false" outlineLevel="0" collapsed="false">
      <c r="A1029" s="45" t="n">
        <v>1233</v>
      </c>
      <c r="B1029" s="46" t="n">
        <v>46215</v>
      </c>
      <c r="C1029" s="45" t="s">
        <v>137</v>
      </c>
      <c r="D1029" s="45" t="s">
        <v>138</v>
      </c>
      <c r="E1029" s="45" t="s">
        <v>1688</v>
      </c>
      <c r="F1029" s="45" t="s">
        <v>2219</v>
      </c>
      <c r="G1029" s="46" t="n">
        <v>46211</v>
      </c>
      <c r="H1029" s="45" t="s">
        <v>167</v>
      </c>
      <c r="I1029" s="45" t="s">
        <v>182</v>
      </c>
      <c r="J1029" s="45" t="s">
        <v>2220</v>
      </c>
      <c r="K1029" s="45" t="n">
        <v>0.6</v>
      </c>
      <c r="L1029" s="45" t="s">
        <v>263</v>
      </c>
      <c r="M1029" s="45" t="s">
        <v>259</v>
      </c>
      <c r="N1029" s="45" t="s">
        <v>167</v>
      </c>
      <c r="O1029" s="47" t="n">
        <v>46215.7128125</v>
      </c>
      <c r="P1029" s="47" t="n">
        <v>46215.7132291667</v>
      </c>
    </row>
    <row r="1030" customFormat="false" ht="15" hidden="false" customHeight="false" outlineLevel="0" collapsed="false">
      <c r="A1030" s="45" t="n">
        <v>1234</v>
      </c>
      <c r="B1030" s="46" t="n">
        <v>46216</v>
      </c>
      <c r="C1030" s="45" t="s">
        <v>131</v>
      </c>
      <c r="D1030" s="45" t="s">
        <v>132</v>
      </c>
      <c r="E1030" s="45" t="s">
        <v>222</v>
      </c>
      <c r="F1030" s="45" t="s">
        <v>2221</v>
      </c>
      <c r="G1030" s="46" t="n">
        <v>46213</v>
      </c>
      <c r="H1030" s="45" t="s">
        <v>167</v>
      </c>
      <c r="I1030" s="45" t="s">
        <v>182</v>
      </c>
      <c r="J1030" s="45" t="s">
        <v>2222</v>
      </c>
      <c r="K1030" s="45" t="n">
        <v>2.4</v>
      </c>
      <c r="L1030" s="45" t="s">
        <v>263</v>
      </c>
      <c r="M1030" s="45" t="s">
        <v>259</v>
      </c>
      <c r="N1030" s="45" t="s">
        <v>167</v>
      </c>
      <c r="O1030" s="47" t="n">
        <v>46216.7486921296</v>
      </c>
      <c r="P1030" s="47" t="n">
        <v>46216.7503819445</v>
      </c>
    </row>
    <row r="1031" customFormat="false" ht="15" hidden="false" customHeight="false" outlineLevel="0" collapsed="false">
      <c r="A1031" s="45" t="n">
        <v>1235</v>
      </c>
      <c r="B1031" s="46" t="n">
        <v>46216</v>
      </c>
      <c r="C1031" s="45" t="s">
        <v>131</v>
      </c>
      <c r="D1031" s="45" t="s">
        <v>132</v>
      </c>
      <c r="E1031" s="45" t="s">
        <v>2223</v>
      </c>
      <c r="F1031" s="45" t="s">
        <v>2224</v>
      </c>
      <c r="G1031" s="46" t="n">
        <v>46213</v>
      </c>
      <c r="H1031" s="45" t="s">
        <v>167</v>
      </c>
      <c r="I1031" s="45" t="s">
        <v>175</v>
      </c>
      <c r="J1031" s="45" t="s">
        <v>2225</v>
      </c>
      <c r="K1031" s="45" t="n">
        <v>5.1</v>
      </c>
      <c r="L1031" s="45" t="s">
        <v>263</v>
      </c>
      <c r="M1031" s="45" t="s">
        <v>259</v>
      </c>
      <c r="N1031" s="45" t="s">
        <v>167</v>
      </c>
      <c r="O1031" s="47" t="n">
        <v>46216.8363425926</v>
      </c>
      <c r="P1031" s="47" t="n">
        <v>46216.8398726852</v>
      </c>
    </row>
    <row r="1032" customFormat="false" ht="15" hidden="false" customHeight="false" outlineLevel="0" collapsed="false">
      <c r="A1032" s="45" t="n">
        <v>1236</v>
      </c>
      <c r="B1032" s="46" t="n">
        <v>46216</v>
      </c>
      <c r="C1032" s="45" t="s">
        <v>131</v>
      </c>
      <c r="D1032" s="45" t="s">
        <v>132</v>
      </c>
      <c r="E1032" s="45" t="s">
        <v>2226</v>
      </c>
      <c r="F1032" s="45" t="s">
        <v>2227</v>
      </c>
      <c r="G1032" s="46" t="n">
        <v>46213</v>
      </c>
      <c r="H1032" s="45" t="s">
        <v>167</v>
      </c>
      <c r="I1032" s="45" t="s">
        <v>177</v>
      </c>
      <c r="J1032" s="45" t="s">
        <v>2228</v>
      </c>
      <c r="K1032" s="45" t="n">
        <v>2</v>
      </c>
      <c r="L1032" s="45" t="s">
        <v>263</v>
      </c>
      <c r="M1032" s="45" t="s">
        <v>259</v>
      </c>
      <c r="N1032" s="45" t="s">
        <v>167</v>
      </c>
      <c r="O1032" s="47" t="n">
        <v>46216.842025463</v>
      </c>
      <c r="P1032" s="47" t="n">
        <v>46216.8434259259</v>
      </c>
    </row>
    <row r="1033" customFormat="false" ht="15" hidden="false" customHeight="false" outlineLevel="0" collapsed="false">
      <c r="A1033" s="45" t="n">
        <v>1237</v>
      </c>
      <c r="B1033" s="46" t="n">
        <v>46216</v>
      </c>
      <c r="C1033" s="45" t="s">
        <v>131</v>
      </c>
      <c r="D1033" s="45" t="s">
        <v>132</v>
      </c>
      <c r="E1033" s="45" t="s">
        <v>2127</v>
      </c>
      <c r="F1033" s="45" t="s">
        <v>2229</v>
      </c>
      <c r="G1033" s="46" t="n">
        <v>46213</v>
      </c>
      <c r="H1033" s="45" t="s">
        <v>168</v>
      </c>
      <c r="I1033" s="45" t="s">
        <v>193</v>
      </c>
      <c r="J1033" s="45" t="s">
        <v>2230</v>
      </c>
      <c r="K1033" s="45" t="n">
        <v>0.8</v>
      </c>
      <c r="L1033" s="45" t="s">
        <v>263</v>
      </c>
      <c r="M1033" s="45" t="s">
        <v>259</v>
      </c>
      <c r="N1033" s="45" t="s">
        <v>264</v>
      </c>
      <c r="O1033" s="47" t="n">
        <v>46216.8470023148</v>
      </c>
      <c r="P1033" s="47" t="n">
        <v>46216.8475925926</v>
      </c>
    </row>
    <row r="1034" customFormat="false" ht="15" hidden="false" customHeight="false" outlineLevel="0" collapsed="false">
      <c r="A1034" s="45" t="n">
        <v>1238</v>
      </c>
      <c r="B1034" s="46" t="n">
        <v>46216</v>
      </c>
      <c r="C1034" s="45" t="s">
        <v>131</v>
      </c>
      <c r="D1034" s="45" t="s">
        <v>132</v>
      </c>
      <c r="E1034" s="45" t="s">
        <v>2127</v>
      </c>
      <c r="F1034" s="45" t="s">
        <v>2231</v>
      </c>
      <c r="G1034" s="46" t="n">
        <v>46213</v>
      </c>
      <c r="H1034" s="45" t="s">
        <v>168</v>
      </c>
      <c r="I1034" s="45" t="s">
        <v>191</v>
      </c>
      <c r="J1034" s="45" t="s">
        <v>2232</v>
      </c>
      <c r="K1034" s="45" t="n">
        <v>2.7</v>
      </c>
      <c r="L1034" s="45" t="s">
        <v>263</v>
      </c>
      <c r="M1034" s="45" t="s">
        <v>259</v>
      </c>
      <c r="N1034" s="45" t="s">
        <v>264</v>
      </c>
      <c r="O1034" s="47" t="n">
        <v>46216.9031597222</v>
      </c>
      <c r="P1034" s="47" t="n">
        <v>46216.9050347222</v>
      </c>
    </row>
    <row r="1035" customFormat="false" ht="15" hidden="false" customHeight="false" outlineLevel="0" collapsed="false">
      <c r="A1035" s="45" t="n">
        <v>1240</v>
      </c>
      <c r="B1035" s="46" t="n">
        <v>46217</v>
      </c>
      <c r="C1035" s="45" t="s">
        <v>143</v>
      </c>
      <c r="D1035" s="45" t="s">
        <v>144</v>
      </c>
      <c r="E1035" s="45" t="s">
        <v>220</v>
      </c>
      <c r="F1035" s="45" t="s">
        <v>2233</v>
      </c>
      <c r="G1035" s="46" t="n">
        <v>46213</v>
      </c>
      <c r="H1035" s="45" t="s">
        <v>167</v>
      </c>
      <c r="I1035" s="45" t="s">
        <v>175</v>
      </c>
      <c r="J1035" s="45" t="s">
        <v>2234</v>
      </c>
      <c r="K1035" s="45" t="n">
        <v>2.3</v>
      </c>
      <c r="L1035" s="45" t="s">
        <v>263</v>
      </c>
      <c r="M1035" s="45" t="s">
        <v>259</v>
      </c>
      <c r="N1035" s="45" t="s">
        <v>167</v>
      </c>
      <c r="O1035" s="47" t="n">
        <v>46217.1968634259</v>
      </c>
      <c r="P1035" s="47" t="n">
        <v>46217.1984490741</v>
      </c>
    </row>
    <row r="1036" customFormat="false" ht="15" hidden="false" customHeight="false" outlineLevel="0" collapsed="false">
      <c r="A1036" s="45" t="n">
        <v>1241</v>
      </c>
      <c r="B1036" s="46" t="n">
        <v>46217</v>
      </c>
      <c r="C1036" s="45" t="s">
        <v>143</v>
      </c>
      <c r="D1036" s="45" t="s">
        <v>144</v>
      </c>
      <c r="E1036" s="45" t="s">
        <v>224</v>
      </c>
      <c r="F1036" s="45" t="s">
        <v>2235</v>
      </c>
      <c r="G1036" s="46" t="n">
        <v>46216</v>
      </c>
      <c r="H1036" s="45" t="s">
        <v>167</v>
      </c>
      <c r="I1036" s="45" t="s">
        <v>175</v>
      </c>
      <c r="J1036" s="45" t="s">
        <v>2236</v>
      </c>
      <c r="K1036" s="45" t="n">
        <v>1480.7</v>
      </c>
      <c r="L1036" s="45" t="s">
        <v>263</v>
      </c>
      <c r="M1036" s="45" t="s">
        <v>259</v>
      </c>
      <c r="N1036" s="45" t="s">
        <v>167</v>
      </c>
      <c r="O1036" s="47" t="n">
        <v>46217.1985763889</v>
      </c>
      <c r="P1036" s="47" t="n">
        <v>46218.2268287037</v>
      </c>
    </row>
    <row r="1037" customFormat="false" ht="15" hidden="false" customHeight="false" outlineLevel="0" collapsed="false">
      <c r="A1037" s="45" t="n">
        <v>1242</v>
      </c>
      <c r="B1037" s="46" t="n">
        <v>46218</v>
      </c>
      <c r="C1037" s="45" t="s">
        <v>143</v>
      </c>
      <c r="D1037" s="45" t="s">
        <v>144</v>
      </c>
      <c r="E1037" s="45" t="s">
        <v>232</v>
      </c>
      <c r="F1037" s="45" t="s">
        <v>2237</v>
      </c>
      <c r="G1037" s="46" t="n">
        <v>46217</v>
      </c>
      <c r="H1037" s="45" t="s">
        <v>167</v>
      </c>
      <c r="I1037" s="45" t="s">
        <v>175</v>
      </c>
      <c r="J1037" s="45" t="s">
        <v>2238</v>
      </c>
      <c r="K1037" s="45" t="n">
        <v>27.1</v>
      </c>
      <c r="L1037" s="45" t="s">
        <v>263</v>
      </c>
      <c r="M1037" s="45" t="s">
        <v>259</v>
      </c>
      <c r="N1037" s="45" t="s">
        <v>167</v>
      </c>
      <c r="O1037" s="47" t="n">
        <v>46218.2268634259</v>
      </c>
      <c r="P1037" s="47" t="n">
        <v>46218.2456828704</v>
      </c>
    </row>
    <row r="1038" customFormat="false" ht="15" hidden="false" customHeight="false" outlineLevel="0" collapsed="false">
      <c r="A1038" s="45" t="n">
        <v>1243</v>
      </c>
      <c r="B1038" s="46" t="n">
        <v>46218</v>
      </c>
      <c r="C1038" s="45" t="s">
        <v>143</v>
      </c>
      <c r="D1038" s="45" t="s">
        <v>144</v>
      </c>
      <c r="E1038" s="45" t="s">
        <v>225</v>
      </c>
      <c r="F1038" s="45" t="s">
        <v>2239</v>
      </c>
      <c r="G1038" s="46" t="n">
        <v>46216</v>
      </c>
      <c r="H1038" s="45" t="s">
        <v>167</v>
      </c>
      <c r="I1038" s="45" t="s">
        <v>175</v>
      </c>
      <c r="J1038" s="45" t="s">
        <v>2240</v>
      </c>
      <c r="K1038" s="45" t="n">
        <v>22.4</v>
      </c>
      <c r="L1038" s="45" t="s">
        <v>263</v>
      </c>
      <c r="M1038" s="45" t="s">
        <v>259</v>
      </c>
      <c r="N1038" s="45" t="s">
        <v>167</v>
      </c>
      <c r="O1038" s="47" t="n">
        <v>46218.2457291667</v>
      </c>
      <c r="P1038" s="47" t="n">
        <v>46218.2612847222</v>
      </c>
    </row>
    <row r="1039" customFormat="false" ht="15" hidden="false" customHeight="false" outlineLevel="0" collapsed="false">
      <c r="A1039" s="45" t="n">
        <v>1244</v>
      </c>
      <c r="B1039" s="46" t="n">
        <v>46218</v>
      </c>
      <c r="C1039" s="45" t="s">
        <v>143</v>
      </c>
      <c r="D1039" s="45" t="s">
        <v>144</v>
      </c>
      <c r="E1039" s="45" t="s">
        <v>223</v>
      </c>
      <c r="F1039" s="45" t="s">
        <v>2241</v>
      </c>
      <c r="G1039" s="46" t="n">
        <v>46216</v>
      </c>
      <c r="H1039" s="45" t="s">
        <v>167</v>
      </c>
      <c r="I1039" s="45" t="s">
        <v>175</v>
      </c>
      <c r="J1039" s="45" t="s">
        <v>2242</v>
      </c>
      <c r="K1039" s="45" t="n">
        <v>33.7</v>
      </c>
      <c r="L1039" s="45" t="s">
        <v>263</v>
      </c>
      <c r="M1039" s="45" t="s">
        <v>259</v>
      </c>
      <c r="N1039" s="45" t="s">
        <v>167</v>
      </c>
      <c r="O1039" s="47" t="n">
        <v>46218.2614351852</v>
      </c>
      <c r="P1039" s="47" t="n">
        <v>46218.2848263889</v>
      </c>
    </row>
    <row r="1040" customFormat="false" ht="15" hidden="false" customHeight="false" outlineLevel="0" collapsed="false">
      <c r="A1040" s="45" t="n">
        <v>1245</v>
      </c>
      <c r="B1040" s="46" t="n">
        <v>46218</v>
      </c>
      <c r="C1040" s="45" t="s">
        <v>143</v>
      </c>
      <c r="D1040" s="45" t="s">
        <v>144</v>
      </c>
      <c r="E1040" s="45" t="s">
        <v>220</v>
      </c>
      <c r="F1040" s="45" t="s">
        <v>2243</v>
      </c>
      <c r="G1040" s="46" t="n">
        <v>46216</v>
      </c>
      <c r="H1040" s="45" t="s">
        <v>169</v>
      </c>
      <c r="I1040" s="45"/>
      <c r="J1040" s="45"/>
      <c r="K1040" s="45" t="n">
        <v>0.6</v>
      </c>
      <c r="L1040" s="45" t="s">
        <v>263</v>
      </c>
      <c r="M1040" s="45" t="s">
        <v>259</v>
      </c>
      <c r="N1040" s="45" t="s">
        <v>169</v>
      </c>
      <c r="O1040" s="47" t="n">
        <v>46218.2848958333</v>
      </c>
      <c r="P1040" s="47" t="n">
        <v>46218.2853240741</v>
      </c>
    </row>
    <row r="1041" customFormat="false" ht="15" hidden="false" customHeight="false" outlineLevel="0" collapsed="false">
      <c r="A1041" s="45" t="n">
        <v>1253</v>
      </c>
      <c r="B1041" s="46" t="n">
        <v>46218</v>
      </c>
      <c r="C1041" s="45" t="s">
        <v>143</v>
      </c>
      <c r="D1041" s="45" t="s">
        <v>144</v>
      </c>
      <c r="E1041" s="45" t="s">
        <v>228</v>
      </c>
      <c r="F1041" s="45" t="s">
        <v>2244</v>
      </c>
      <c r="G1041" s="46" t="n">
        <v>46216</v>
      </c>
      <c r="H1041" s="45" t="s">
        <v>167</v>
      </c>
      <c r="I1041" s="45" t="s">
        <v>175</v>
      </c>
      <c r="J1041" s="45" t="s">
        <v>2245</v>
      </c>
      <c r="K1041" s="45" t="n">
        <v>1308.2</v>
      </c>
      <c r="L1041" s="45" t="s">
        <v>263</v>
      </c>
      <c r="M1041" s="45" t="s">
        <v>259</v>
      </c>
      <c r="N1041" s="45" t="s">
        <v>167</v>
      </c>
      <c r="O1041" s="47" t="n">
        <v>46218.2853240741</v>
      </c>
      <c r="P1041" s="47" t="n">
        <v>46219.1937847222</v>
      </c>
    </row>
    <row r="1042" customFormat="false" ht="15" hidden="false" customHeight="false" outlineLevel="0" collapsed="false">
      <c r="A1042" s="45" t="n">
        <v>1246</v>
      </c>
      <c r="B1042" s="46" t="n">
        <v>46218</v>
      </c>
      <c r="C1042" s="45" t="s">
        <v>131</v>
      </c>
      <c r="D1042" s="45" t="s">
        <v>132</v>
      </c>
      <c r="E1042" s="45" t="s">
        <v>487</v>
      </c>
      <c r="F1042" s="45" t="s">
        <v>2246</v>
      </c>
      <c r="G1042" s="46" t="n">
        <v>46217</v>
      </c>
      <c r="H1042" s="45" t="s">
        <v>168</v>
      </c>
      <c r="I1042" s="45" t="s">
        <v>192</v>
      </c>
      <c r="J1042" s="45" t="s">
        <v>2247</v>
      </c>
      <c r="K1042" s="45" t="n">
        <v>4.3</v>
      </c>
      <c r="L1042" s="45" t="s">
        <v>263</v>
      </c>
      <c r="M1042" s="45" t="s">
        <v>259</v>
      </c>
      <c r="N1042" s="45" t="s">
        <v>264</v>
      </c>
      <c r="O1042" s="47" t="n">
        <v>46218.7342939815</v>
      </c>
      <c r="P1042" s="47" t="n">
        <v>46218.7372800926</v>
      </c>
    </row>
    <row r="1043" customFormat="false" ht="15" hidden="false" customHeight="false" outlineLevel="0" collapsed="false">
      <c r="A1043" s="45" t="n">
        <v>1247</v>
      </c>
      <c r="B1043" s="46" t="n">
        <v>46218</v>
      </c>
      <c r="C1043" s="45" t="s">
        <v>131</v>
      </c>
      <c r="D1043" s="45" t="s">
        <v>132</v>
      </c>
      <c r="E1043" s="45" t="s">
        <v>2248</v>
      </c>
      <c r="F1043" s="45" t="s">
        <v>2249</v>
      </c>
      <c r="G1043" s="46" t="n">
        <v>46216</v>
      </c>
      <c r="H1043" s="45" t="s">
        <v>169</v>
      </c>
      <c r="I1043" s="45"/>
      <c r="J1043" s="45"/>
      <c r="K1043" s="45" t="n">
        <v>31.6</v>
      </c>
      <c r="L1043" s="45" t="s">
        <v>263</v>
      </c>
      <c r="M1043" s="45" t="s">
        <v>263</v>
      </c>
      <c r="N1043" s="45" t="s">
        <v>169</v>
      </c>
      <c r="O1043" s="47" t="n">
        <v>46218.7376736111</v>
      </c>
      <c r="P1043" s="47" t="n">
        <v>46218.7596527778</v>
      </c>
    </row>
    <row r="1044" customFormat="false" ht="15" hidden="false" customHeight="false" outlineLevel="0" collapsed="false">
      <c r="A1044" s="45" t="n">
        <v>1248</v>
      </c>
      <c r="B1044" s="46" t="n">
        <v>46218</v>
      </c>
      <c r="C1044" s="45" t="s">
        <v>131</v>
      </c>
      <c r="D1044" s="45" t="s">
        <v>132</v>
      </c>
      <c r="E1044" s="45" t="s">
        <v>2226</v>
      </c>
      <c r="F1044" s="45" t="s">
        <v>2250</v>
      </c>
      <c r="G1044" s="46" t="n">
        <v>46217</v>
      </c>
      <c r="H1044" s="45" t="s">
        <v>167</v>
      </c>
      <c r="I1044" s="45" t="s">
        <v>176</v>
      </c>
      <c r="J1044" s="45" t="s">
        <v>2251</v>
      </c>
      <c r="K1044" s="45" t="n">
        <v>1.4</v>
      </c>
      <c r="L1044" s="45" t="s">
        <v>263</v>
      </c>
      <c r="M1044" s="45" t="s">
        <v>259</v>
      </c>
      <c r="N1044" s="45" t="s">
        <v>167</v>
      </c>
      <c r="O1044" s="47" t="n">
        <v>46218.7600462963</v>
      </c>
      <c r="P1044" s="47" t="n">
        <v>46218.7609837963</v>
      </c>
    </row>
    <row r="1045" customFormat="false" ht="15" hidden="false" customHeight="false" outlineLevel="0" collapsed="false">
      <c r="A1045" s="45" t="n">
        <v>1249</v>
      </c>
      <c r="B1045" s="46" t="n">
        <v>46218</v>
      </c>
      <c r="C1045" s="45" t="s">
        <v>131</v>
      </c>
      <c r="D1045" s="45" t="s">
        <v>132</v>
      </c>
      <c r="E1045" s="45" t="s">
        <v>240</v>
      </c>
      <c r="F1045" s="45" t="s">
        <v>2252</v>
      </c>
      <c r="G1045" s="46" t="n">
        <v>46217</v>
      </c>
      <c r="H1045" s="45" t="s">
        <v>167</v>
      </c>
      <c r="I1045" s="45" t="s">
        <v>177</v>
      </c>
      <c r="J1045" s="45" t="s">
        <v>2253</v>
      </c>
      <c r="K1045" s="45" t="n">
        <v>12.8</v>
      </c>
      <c r="L1045" s="45" t="s">
        <v>263</v>
      </c>
      <c r="M1045" s="45" t="s">
        <v>259</v>
      </c>
      <c r="N1045" s="45" t="s">
        <v>167</v>
      </c>
      <c r="O1045" s="47" t="n">
        <v>46218.7615856482</v>
      </c>
      <c r="P1045" s="47" t="n">
        <v>46218.770474537</v>
      </c>
    </row>
    <row r="1046" customFormat="false" ht="15" hidden="false" customHeight="false" outlineLevel="0" collapsed="false">
      <c r="A1046" s="45" t="n">
        <v>1250</v>
      </c>
      <c r="B1046" s="46" t="n">
        <v>46218</v>
      </c>
      <c r="C1046" s="45" t="s">
        <v>131</v>
      </c>
      <c r="D1046" s="45" t="s">
        <v>132</v>
      </c>
      <c r="E1046" s="45" t="s">
        <v>2254</v>
      </c>
      <c r="F1046" s="45" t="s">
        <v>2255</v>
      </c>
      <c r="G1046" s="46" t="n">
        <v>46217</v>
      </c>
      <c r="H1046" s="45" t="s">
        <v>169</v>
      </c>
      <c r="I1046" s="45"/>
      <c r="J1046" s="45"/>
      <c r="K1046" s="45" t="n">
        <v>1.7</v>
      </c>
      <c r="L1046" s="45" t="s">
        <v>263</v>
      </c>
      <c r="M1046" s="45" t="s">
        <v>259</v>
      </c>
      <c r="N1046" s="45" t="s">
        <v>169</v>
      </c>
      <c r="O1046" s="47" t="n">
        <v>46218.7705092593</v>
      </c>
      <c r="P1046" s="47" t="n">
        <v>46218.7717013889</v>
      </c>
    </row>
    <row r="1047" customFormat="false" ht="15" hidden="false" customHeight="false" outlineLevel="0" collapsed="false">
      <c r="A1047" s="45" t="n">
        <v>1251</v>
      </c>
      <c r="B1047" s="46" t="n">
        <v>46218</v>
      </c>
      <c r="C1047" s="45" t="s">
        <v>131</v>
      </c>
      <c r="D1047" s="45" t="s">
        <v>132</v>
      </c>
      <c r="E1047" s="45" t="s">
        <v>2122</v>
      </c>
      <c r="F1047" s="45" t="s">
        <v>2256</v>
      </c>
      <c r="G1047" s="46" t="n">
        <v>46217</v>
      </c>
      <c r="H1047" s="45" t="s">
        <v>168</v>
      </c>
      <c r="I1047" s="45" t="s">
        <v>191</v>
      </c>
      <c r="J1047" s="45" t="s">
        <v>2257</v>
      </c>
      <c r="K1047" s="45" t="n">
        <v>4.8</v>
      </c>
      <c r="L1047" s="45" t="s">
        <v>263</v>
      </c>
      <c r="M1047" s="45" t="s">
        <v>259</v>
      </c>
      <c r="N1047" s="45" t="s">
        <v>264</v>
      </c>
      <c r="O1047" s="47" t="n">
        <v>46218.7717361111</v>
      </c>
      <c r="P1047" s="47" t="n">
        <v>46218.7750810185</v>
      </c>
    </row>
    <row r="1048" customFormat="false" ht="15" hidden="false" customHeight="false" outlineLevel="0" collapsed="false">
      <c r="A1048" s="45" t="n">
        <v>1252</v>
      </c>
      <c r="B1048" s="46" t="n">
        <v>46218</v>
      </c>
      <c r="C1048" s="45" t="s">
        <v>141</v>
      </c>
      <c r="D1048" s="45" t="s">
        <v>142</v>
      </c>
      <c r="E1048" s="45" t="s">
        <v>1704</v>
      </c>
      <c r="F1048" s="45" t="s">
        <v>2258</v>
      </c>
      <c r="G1048" s="46" t="n">
        <v>46217</v>
      </c>
      <c r="H1048" s="45" t="s">
        <v>169</v>
      </c>
      <c r="I1048" s="45"/>
      <c r="J1048" s="45"/>
      <c r="K1048" s="45" t="n">
        <v>0.5</v>
      </c>
      <c r="L1048" s="45" t="s">
        <v>263</v>
      </c>
      <c r="M1048" s="45" t="s">
        <v>259</v>
      </c>
      <c r="N1048" s="45" t="s">
        <v>169</v>
      </c>
      <c r="O1048" s="47" t="n">
        <v>46218.9361574074</v>
      </c>
      <c r="P1048" s="47" t="n">
        <v>46218.9365046296</v>
      </c>
    </row>
    <row r="1049" customFormat="false" ht="15" hidden="false" customHeight="false" outlineLevel="0" collapsed="false">
      <c r="A1049" s="45" t="n">
        <v>1258</v>
      </c>
      <c r="B1049" s="46" t="n">
        <v>46218</v>
      </c>
      <c r="C1049" s="45" t="s">
        <v>141</v>
      </c>
      <c r="D1049" s="45" t="s">
        <v>142</v>
      </c>
      <c r="E1049" s="45" t="s">
        <v>1623</v>
      </c>
      <c r="F1049" s="45" t="s">
        <v>2259</v>
      </c>
      <c r="G1049" s="46" t="n">
        <v>46217</v>
      </c>
      <c r="H1049" s="45" t="s">
        <v>57</v>
      </c>
      <c r="I1049" s="45" t="s">
        <v>203</v>
      </c>
      <c r="J1049" s="45" t="s">
        <v>2260</v>
      </c>
      <c r="K1049" s="45" t="n">
        <v>1310.9</v>
      </c>
      <c r="L1049" s="45" t="s">
        <v>263</v>
      </c>
      <c r="M1049" s="45" t="s">
        <v>259</v>
      </c>
      <c r="N1049" s="45" t="s">
        <v>57</v>
      </c>
      <c r="O1049" s="47" t="n">
        <v>46218.9386226852</v>
      </c>
      <c r="P1049" s="47" t="n">
        <v>46219.8489467593</v>
      </c>
    </row>
    <row r="1050" customFormat="false" ht="15" hidden="false" customHeight="false" outlineLevel="0" collapsed="false">
      <c r="A1050" s="45" t="n">
        <v>1254</v>
      </c>
      <c r="B1050" s="46" t="n">
        <v>46219</v>
      </c>
      <c r="C1050" s="45" t="s">
        <v>143</v>
      </c>
      <c r="D1050" s="45" t="s">
        <v>144</v>
      </c>
      <c r="E1050" s="45" t="s">
        <v>1606</v>
      </c>
      <c r="F1050" s="45" t="s">
        <v>2261</v>
      </c>
      <c r="G1050" s="46" t="n">
        <v>46217</v>
      </c>
      <c r="H1050" s="45" t="s">
        <v>167</v>
      </c>
      <c r="I1050" s="45" t="s">
        <v>175</v>
      </c>
      <c r="J1050" s="45" t="s">
        <v>2262</v>
      </c>
      <c r="K1050" s="45" t="n">
        <v>27.9</v>
      </c>
      <c r="L1050" s="45" t="s">
        <v>263</v>
      </c>
      <c r="M1050" s="45" t="s">
        <v>259</v>
      </c>
      <c r="N1050" s="45" t="s">
        <v>167</v>
      </c>
      <c r="O1050" s="47" t="n">
        <v>46219.1938310185</v>
      </c>
      <c r="P1050" s="47" t="n">
        <v>46219.2132407407</v>
      </c>
    </row>
    <row r="1051" customFormat="false" ht="15" hidden="false" customHeight="false" outlineLevel="0" collapsed="false">
      <c r="A1051" s="45" t="n">
        <v>1255</v>
      </c>
      <c r="B1051" s="46" t="n">
        <v>46219</v>
      </c>
      <c r="C1051" s="45" t="s">
        <v>143</v>
      </c>
      <c r="D1051" s="45" t="s">
        <v>144</v>
      </c>
      <c r="E1051" s="45" t="s">
        <v>225</v>
      </c>
      <c r="F1051" s="45" t="s">
        <v>2263</v>
      </c>
      <c r="G1051" s="46" t="n">
        <v>46217</v>
      </c>
      <c r="H1051" s="45" t="s">
        <v>167</v>
      </c>
      <c r="I1051" s="45" t="s">
        <v>175</v>
      </c>
      <c r="J1051" s="45" t="s">
        <v>2264</v>
      </c>
      <c r="K1051" s="45" t="n">
        <v>25.9</v>
      </c>
      <c r="L1051" s="45" t="s">
        <v>263</v>
      </c>
      <c r="M1051" s="45" t="s">
        <v>259</v>
      </c>
      <c r="N1051" s="45" t="s">
        <v>167</v>
      </c>
      <c r="O1051" s="47" t="n">
        <v>46219.2288657407</v>
      </c>
      <c r="P1051" s="47" t="n">
        <v>46219.2468518519</v>
      </c>
    </row>
    <row r="1052" customFormat="false" ht="15" hidden="false" customHeight="false" outlineLevel="0" collapsed="false">
      <c r="A1052" s="45" t="n">
        <v>1256</v>
      </c>
      <c r="B1052" s="46" t="n">
        <v>46219</v>
      </c>
      <c r="C1052" s="45" t="s">
        <v>143</v>
      </c>
      <c r="D1052" s="45" t="s">
        <v>144</v>
      </c>
      <c r="E1052" s="45" t="s">
        <v>232</v>
      </c>
      <c r="F1052" s="45" t="s">
        <v>2265</v>
      </c>
      <c r="G1052" s="46" t="n">
        <v>46217</v>
      </c>
      <c r="H1052" s="45" t="s">
        <v>167</v>
      </c>
      <c r="I1052" s="45" t="s">
        <v>175</v>
      </c>
      <c r="J1052" s="45" t="s">
        <v>2266</v>
      </c>
      <c r="K1052" s="45" t="n">
        <v>26.5</v>
      </c>
      <c r="L1052" s="45" t="s">
        <v>263</v>
      </c>
      <c r="M1052" s="45" t="s">
        <v>259</v>
      </c>
      <c r="N1052" s="45" t="s">
        <v>167</v>
      </c>
      <c r="O1052" s="47" t="n">
        <v>46219.2468981482</v>
      </c>
      <c r="P1052" s="47" t="n">
        <v>46219.2653240741</v>
      </c>
    </row>
    <row r="1053" customFormat="false" ht="15" hidden="false" customHeight="false" outlineLevel="0" collapsed="false">
      <c r="A1053" s="45" t="n">
        <v>1257</v>
      </c>
      <c r="B1053" s="46" t="n">
        <v>46219</v>
      </c>
      <c r="C1053" s="45" t="s">
        <v>143</v>
      </c>
      <c r="D1053" s="45" t="s">
        <v>144</v>
      </c>
      <c r="E1053" s="45" t="s">
        <v>225</v>
      </c>
      <c r="F1053" s="45" t="s">
        <v>2267</v>
      </c>
      <c r="G1053" s="46" t="n">
        <v>46217</v>
      </c>
      <c r="H1053" s="45" t="s">
        <v>167</v>
      </c>
      <c r="I1053" s="45" t="s">
        <v>175</v>
      </c>
      <c r="J1053" s="45" t="s">
        <v>2268</v>
      </c>
      <c r="K1053" s="45" t="n">
        <v>10.5</v>
      </c>
      <c r="L1053" s="45" t="s">
        <v>263</v>
      </c>
      <c r="M1053" s="45" t="s">
        <v>259</v>
      </c>
      <c r="N1053" s="45" t="s">
        <v>167</v>
      </c>
      <c r="O1053" s="47" t="n">
        <v>46219.2653703704</v>
      </c>
      <c r="P1053" s="47" t="n">
        <v>46219.2726736111</v>
      </c>
    </row>
    <row r="1054" customFormat="false" ht="15" hidden="false" customHeight="false" outlineLevel="0" collapsed="false">
      <c r="A1054" s="45" t="n">
        <v>1261</v>
      </c>
      <c r="B1054" s="46" t="n">
        <v>46219</v>
      </c>
      <c r="C1054" s="45" t="s">
        <v>143</v>
      </c>
      <c r="D1054" s="45" t="s">
        <v>144</v>
      </c>
      <c r="E1054" s="45" t="s">
        <v>1606</v>
      </c>
      <c r="F1054" s="45" t="s">
        <v>2269</v>
      </c>
      <c r="G1054" s="46" t="n">
        <v>46218</v>
      </c>
      <c r="H1054" s="45" t="s">
        <v>167</v>
      </c>
      <c r="I1054" s="45" t="s">
        <v>175</v>
      </c>
      <c r="J1054" s="45" t="s">
        <v>2270</v>
      </c>
      <c r="K1054" s="45" t="n">
        <v>1372</v>
      </c>
      <c r="L1054" s="45" t="s">
        <v>263</v>
      </c>
      <c r="M1054" s="45" t="s">
        <v>259</v>
      </c>
      <c r="N1054" s="45" t="s">
        <v>167</v>
      </c>
      <c r="O1054" s="47" t="n">
        <v>46219.273587963</v>
      </c>
      <c r="P1054" s="47" t="n">
        <v>46220.2263425926</v>
      </c>
    </row>
    <row r="1055" customFormat="false" ht="15" hidden="false" customHeight="false" outlineLevel="0" collapsed="false">
      <c r="A1055" s="45" t="n">
        <v>1259</v>
      </c>
      <c r="B1055" s="46" t="n">
        <v>46219</v>
      </c>
      <c r="C1055" s="45" t="s">
        <v>141</v>
      </c>
      <c r="D1055" s="45" t="s">
        <v>142</v>
      </c>
      <c r="E1055" s="45" t="s">
        <v>917</v>
      </c>
      <c r="F1055" s="45" t="s">
        <v>2271</v>
      </c>
      <c r="G1055" s="46" t="n">
        <v>46217</v>
      </c>
      <c r="H1055" s="45" t="s">
        <v>167</v>
      </c>
      <c r="I1055" s="45" t="s">
        <v>176</v>
      </c>
      <c r="J1055" s="45" t="s">
        <v>2272</v>
      </c>
      <c r="K1055" s="45" t="n">
        <v>0.4</v>
      </c>
      <c r="L1055" s="45" t="s">
        <v>263</v>
      </c>
      <c r="M1055" s="45" t="s">
        <v>259</v>
      </c>
      <c r="N1055" s="45" t="s">
        <v>167</v>
      </c>
      <c r="O1055" s="47" t="n">
        <v>46219.857962963</v>
      </c>
      <c r="P1055" s="47" t="n">
        <v>46219.8582638889</v>
      </c>
    </row>
    <row r="1056" customFormat="false" ht="15" hidden="false" customHeight="false" outlineLevel="0" collapsed="false">
      <c r="A1056" s="45" t="n">
        <v>1260</v>
      </c>
      <c r="B1056" s="46" t="n">
        <v>46219</v>
      </c>
      <c r="C1056" s="45" t="s">
        <v>141</v>
      </c>
      <c r="D1056" s="45" t="s">
        <v>142</v>
      </c>
      <c r="E1056" s="45" t="s">
        <v>227</v>
      </c>
      <c r="F1056" s="45" t="s">
        <v>2273</v>
      </c>
      <c r="G1056" s="46" t="n">
        <v>46213</v>
      </c>
      <c r="H1056" s="45" t="s">
        <v>169</v>
      </c>
      <c r="I1056" s="45"/>
      <c r="J1056" s="45"/>
      <c r="K1056" s="45" t="n">
        <v>0.2</v>
      </c>
      <c r="L1056" s="45" t="s">
        <v>263</v>
      </c>
      <c r="M1056" s="45" t="s">
        <v>259</v>
      </c>
      <c r="N1056" s="45" t="s">
        <v>169</v>
      </c>
      <c r="O1056" s="47" t="n">
        <v>46219.858287037</v>
      </c>
      <c r="P1056" s="47" t="n">
        <v>46219.8584490741</v>
      </c>
    </row>
    <row r="1057" customFormat="false" ht="15" hidden="false" customHeight="false" outlineLevel="0" collapsed="false">
      <c r="A1057" s="45" t="n">
        <v>1262</v>
      </c>
      <c r="B1057" s="46" t="n">
        <v>46220</v>
      </c>
      <c r="C1057" s="45" t="s">
        <v>143</v>
      </c>
      <c r="D1057" s="45" t="s">
        <v>144</v>
      </c>
      <c r="E1057" s="45" t="s">
        <v>1606</v>
      </c>
      <c r="F1057" s="45" t="s">
        <v>2274</v>
      </c>
      <c r="G1057" s="46" t="n">
        <v>46218</v>
      </c>
      <c r="H1057" s="45" t="s">
        <v>167</v>
      </c>
      <c r="I1057" s="45" t="s">
        <v>175</v>
      </c>
      <c r="J1057" s="45" t="s">
        <v>2275</v>
      </c>
      <c r="K1057" s="45" t="n">
        <v>36.1</v>
      </c>
      <c r="L1057" s="45" t="s">
        <v>263</v>
      </c>
      <c r="M1057" s="45" t="s">
        <v>259</v>
      </c>
      <c r="N1057" s="45" t="s">
        <v>167</v>
      </c>
      <c r="O1057" s="47" t="n">
        <v>46220.2265393519</v>
      </c>
      <c r="P1057" s="47" t="n">
        <v>46220.2515972222</v>
      </c>
    </row>
    <row r="1058" customFormat="false" ht="15" hidden="false" customHeight="false" outlineLevel="0" collapsed="false">
      <c r="A1058" s="45" t="n">
        <v>1263</v>
      </c>
      <c r="B1058" s="46" t="n">
        <v>46220</v>
      </c>
      <c r="C1058" s="45" t="s">
        <v>141</v>
      </c>
      <c r="D1058" s="45" t="s">
        <v>142</v>
      </c>
      <c r="E1058" s="45" t="s">
        <v>683</v>
      </c>
      <c r="F1058" s="45" t="s">
        <v>2276</v>
      </c>
      <c r="G1058" s="46" t="n">
        <v>46213</v>
      </c>
      <c r="H1058" s="45" t="s">
        <v>167</v>
      </c>
      <c r="I1058" s="45" t="s">
        <v>176</v>
      </c>
      <c r="J1058" s="45" t="s">
        <v>2277</v>
      </c>
      <c r="K1058" s="45" t="n">
        <v>0.1</v>
      </c>
      <c r="L1058" s="45" t="s">
        <v>263</v>
      </c>
      <c r="M1058" s="45" t="s">
        <v>259</v>
      </c>
      <c r="N1058" s="45" t="s">
        <v>167</v>
      </c>
      <c r="O1058" s="47" t="n">
        <v>46220.6504398148</v>
      </c>
      <c r="P1058" s="47" t="n">
        <v>46220.650474537</v>
      </c>
    </row>
    <row r="1059" customFormat="false" ht="15" hidden="false" customHeight="false" outlineLevel="0" collapsed="false">
      <c r="A1059" s="45" t="n">
        <v>1264</v>
      </c>
      <c r="B1059" s="46" t="n">
        <v>46220</v>
      </c>
      <c r="C1059" s="45" t="s">
        <v>141</v>
      </c>
      <c r="D1059" s="45" t="s">
        <v>142</v>
      </c>
      <c r="E1059" s="45" t="s">
        <v>917</v>
      </c>
      <c r="F1059" s="45" t="s">
        <v>2278</v>
      </c>
      <c r="G1059" s="46" t="n">
        <v>46213</v>
      </c>
      <c r="H1059" s="45" t="s">
        <v>167</v>
      </c>
      <c r="I1059" s="45" t="s">
        <v>175</v>
      </c>
      <c r="J1059" s="45" t="s">
        <v>2279</v>
      </c>
      <c r="K1059" s="45" t="n">
        <v>0.3</v>
      </c>
      <c r="L1059" s="45" t="s">
        <v>263</v>
      </c>
      <c r="M1059" s="45" t="s">
        <v>259</v>
      </c>
      <c r="N1059" s="45" t="s">
        <v>167</v>
      </c>
      <c r="O1059" s="47" t="n">
        <v>46220.6505324074</v>
      </c>
      <c r="P1059" s="47" t="n">
        <v>46220.6507523148</v>
      </c>
    </row>
    <row r="1060" customFormat="false" ht="15" hidden="false" customHeight="false" outlineLevel="0" collapsed="false">
      <c r="A1060" s="45" t="n">
        <v>1265</v>
      </c>
      <c r="B1060" s="46" t="n">
        <v>46220</v>
      </c>
      <c r="C1060" s="45" t="s">
        <v>141</v>
      </c>
      <c r="D1060" s="45" t="s">
        <v>142</v>
      </c>
      <c r="E1060" s="45" t="s">
        <v>227</v>
      </c>
      <c r="F1060" s="45" t="s">
        <v>2280</v>
      </c>
      <c r="G1060" s="46" t="n">
        <v>46212</v>
      </c>
      <c r="H1060" s="45" t="s">
        <v>168</v>
      </c>
      <c r="I1060" s="45" t="s">
        <v>192</v>
      </c>
      <c r="J1060" s="45" t="s">
        <v>2281</v>
      </c>
      <c r="K1060" s="45" t="n">
        <v>0.8</v>
      </c>
      <c r="L1060" s="45" t="s">
        <v>263</v>
      </c>
      <c r="M1060" s="45" t="s">
        <v>259</v>
      </c>
      <c r="N1060" s="45" t="s">
        <v>264</v>
      </c>
      <c r="O1060" s="47" t="n">
        <v>46220.6513425926</v>
      </c>
      <c r="P1060" s="47" t="n">
        <v>46220.6518865741</v>
      </c>
    </row>
    <row r="1061" customFormat="false" ht="15" hidden="false" customHeight="false" outlineLevel="0" collapsed="false">
      <c r="A1061" s="45" t="n">
        <v>1266</v>
      </c>
      <c r="B1061" s="46" t="n">
        <v>46220</v>
      </c>
      <c r="C1061" s="45" t="s">
        <v>141</v>
      </c>
      <c r="D1061" s="45" t="s">
        <v>142</v>
      </c>
      <c r="E1061" s="45" t="s">
        <v>2282</v>
      </c>
      <c r="F1061" s="45" t="s">
        <v>2283</v>
      </c>
      <c r="G1061" s="46" t="n">
        <v>46212</v>
      </c>
      <c r="H1061" s="45" t="s">
        <v>167</v>
      </c>
      <c r="I1061" s="45" t="s">
        <v>175</v>
      </c>
      <c r="J1061" s="45" t="s">
        <v>2284</v>
      </c>
      <c r="K1061" s="45" t="n">
        <v>3.2</v>
      </c>
      <c r="L1061" s="45" t="s">
        <v>263</v>
      </c>
      <c r="M1061" s="45" t="s">
        <v>259</v>
      </c>
      <c r="N1061" s="45" t="s">
        <v>167</v>
      </c>
      <c r="O1061" s="47" t="n">
        <v>46220.6528819444</v>
      </c>
      <c r="P1061" s="47" t="n">
        <v>46220.6551273148</v>
      </c>
    </row>
    <row r="1062" customFormat="false" ht="15" hidden="false" customHeight="false" outlineLevel="0" collapsed="false">
      <c r="A1062" s="45" t="n">
        <v>1267</v>
      </c>
      <c r="B1062" s="46" t="n">
        <v>46220</v>
      </c>
      <c r="C1062" s="45" t="s">
        <v>141</v>
      </c>
      <c r="D1062" s="45" t="s">
        <v>142</v>
      </c>
      <c r="E1062" s="45" t="s">
        <v>2282</v>
      </c>
      <c r="F1062" s="45" t="s">
        <v>2285</v>
      </c>
      <c r="G1062" s="46" t="n">
        <v>46212</v>
      </c>
      <c r="H1062" s="45" t="s">
        <v>167</v>
      </c>
      <c r="I1062" s="45" t="s">
        <v>182</v>
      </c>
      <c r="J1062" s="45" t="s">
        <v>2286</v>
      </c>
      <c r="K1062" s="45" t="n">
        <v>3.2</v>
      </c>
      <c r="L1062" s="45" t="s">
        <v>263</v>
      </c>
      <c r="M1062" s="45" t="s">
        <v>259</v>
      </c>
      <c r="N1062" s="45" t="s">
        <v>167</v>
      </c>
      <c r="O1062" s="47" t="n">
        <v>46220.6551736111</v>
      </c>
      <c r="P1062" s="47" t="n">
        <v>46220.6573842593</v>
      </c>
    </row>
    <row r="1063" customFormat="false" ht="15" hidden="false" customHeight="false" outlineLevel="0" collapsed="false">
      <c r="A1063" s="45" t="n">
        <v>1268</v>
      </c>
      <c r="B1063" s="46" t="n">
        <v>46220</v>
      </c>
      <c r="C1063" s="45" t="s">
        <v>141</v>
      </c>
      <c r="D1063" s="45" t="s">
        <v>142</v>
      </c>
      <c r="E1063" s="45" t="s">
        <v>284</v>
      </c>
      <c r="F1063" s="45" t="s">
        <v>2287</v>
      </c>
      <c r="G1063" s="46" t="n">
        <v>46212</v>
      </c>
      <c r="H1063" s="45" t="s">
        <v>169</v>
      </c>
      <c r="I1063" s="45"/>
      <c r="J1063" s="45"/>
      <c r="K1063" s="45" t="n">
        <v>0.5</v>
      </c>
      <c r="L1063" s="45" t="s">
        <v>263</v>
      </c>
      <c r="M1063" s="45" t="s">
        <v>259</v>
      </c>
      <c r="N1063" s="45" t="s">
        <v>169</v>
      </c>
      <c r="O1063" s="47" t="n">
        <v>46220.6573958333</v>
      </c>
      <c r="P1063" s="47" t="n">
        <v>46220.6577662037</v>
      </c>
    </row>
    <row r="1064" customFormat="false" ht="15" hidden="false" customHeight="false" outlineLevel="0" collapsed="false">
      <c r="A1064" s="45" t="n">
        <v>1269</v>
      </c>
      <c r="B1064" s="46" t="n">
        <v>46220</v>
      </c>
      <c r="C1064" s="45" t="s">
        <v>141</v>
      </c>
      <c r="D1064" s="45" t="s">
        <v>142</v>
      </c>
      <c r="E1064" s="45" t="s">
        <v>227</v>
      </c>
      <c r="F1064" s="45" t="s">
        <v>2288</v>
      </c>
      <c r="G1064" s="46" t="n">
        <v>46211</v>
      </c>
      <c r="H1064" s="45" t="s">
        <v>167</v>
      </c>
      <c r="I1064" s="45" t="s">
        <v>175</v>
      </c>
      <c r="J1064" s="45" t="s">
        <v>2289</v>
      </c>
      <c r="K1064" s="45" t="n">
        <v>3.3</v>
      </c>
      <c r="L1064" s="45" t="s">
        <v>263</v>
      </c>
      <c r="M1064" s="45" t="s">
        <v>259</v>
      </c>
      <c r="N1064" s="45" t="s">
        <v>167</v>
      </c>
      <c r="O1064" s="47" t="n">
        <v>46220.6580671296</v>
      </c>
      <c r="P1064" s="47" t="n">
        <v>46220.6603356482</v>
      </c>
    </row>
    <row r="1065" customFormat="false" ht="15" hidden="false" customHeight="false" outlineLevel="0" collapsed="false">
      <c r="A1065" s="45" t="n">
        <v>1270</v>
      </c>
      <c r="B1065" s="46" t="n">
        <v>46220</v>
      </c>
      <c r="C1065" s="45" t="s">
        <v>141</v>
      </c>
      <c r="D1065" s="45" t="s">
        <v>142</v>
      </c>
      <c r="E1065" s="45" t="s">
        <v>231</v>
      </c>
      <c r="F1065" s="45" t="s">
        <v>2290</v>
      </c>
      <c r="G1065" s="46" t="n">
        <v>46210</v>
      </c>
      <c r="H1065" s="45" t="s">
        <v>167</v>
      </c>
      <c r="I1065" s="45" t="s">
        <v>175</v>
      </c>
      <c r="J1065" s="45" t="s">
        <v>2291</v>
      </c>
      <c r="K1065" s="45" t="n">
        <v>5.4</v>
      </c>
      <c r="L1065" s="45" t="s">
        <v>263</v>
      </c>
      <c r="M1065" s="45" t="s">
        <v>259</v>
      </c>
      <c r="N1065" s="45" t="s">
        <v>167</v>
      </c>
      <c r="O1065" s="47" t="n">
        <v>46220.6632060185</v>
      </c>
      <c r="P1065" s="47" t="n">
        <v>46220.6669444444</v>
      </c>
    </row>
    <row r="1066" customFormat="false" ht="15" hidden="false" customHeight="false" outlineLevel="0" collapsed="false">
      <c r="A1066" s="45" t="n">
        <v>1271</v>
      </c>
      <c r="B1066" s="46" t="n">
        <v>46220</v>
      </c>
      <c r="C1066" s="45" t="s">
        <v>141</v>
      </c>
      <c r="D1066" s="45" t="s">
        <v>142</v>
      </c>
      <c r="E1066" s="45" t="s">
        <v>227</v>
      </c>
      <c r="F1066" s="45" t="s">
        <v>2292</v>
      </c>
      <c r="G1066" s="46" t="n">
        <v>46210</v>
      </c>
      <c r="H1066" s="45" t="s">
        <v>57</v>
      </c>
      <c r="I1066" s="45" t="s">
        <v>202</v>
      </c>
      <c r="J1066" s="45" t="s">
        <v>2293</v>
      </c>
      <c r="K1066" s="45" t="n">
        <v>6.9</v>
      </c>
      <c r="L1066" s="45" t="s">
        <v>263</v>
      </c>
      <c r="M1066" s="45" t="s">
        <v>259</v>
      </c>
      <c r="N1066" s="45" t="s">
        <v>57</v>
      </c>
      <c r="O1066" s="47" t="n">
        <v>46220.6671759259</v>
      </c>
      <c r="P1066" s="47" t="n">
        <v>46220.6719675926</v>
      </c>
    </row>
    <row r="1067" customFormat="false" ht="15" hidden="false" customHeight="false" outlineLevel="0" collapsed="false">
      <c r="A1067" s="45" t="n">
        <v>1272</v>
      </c>
      <c r="B1067" s="46" t="n">
        <v>46220</v>
      </c>
      <c r="C1067" s="45" t="s">
        <v>141</v>
      </c>
      <c r="D1067" s="45" t="s">
        <v>142</v>
      </c>
      <c r="E1067" s="45" t="s">
        <v>227</v>
      </c>
      <c r="F1067" s="45" t="s">
        <v>2294</v>
      </c>
      <c r="G1067" s="46" t="n">
        <v>46210</v>
      </c>
      <c r="H1067" s="45" t="s">
        <v>169</v>
      </c>
      <c r="I1067" s="45"/>
      <c r="J1067" s="45"/>
      <c r="K1067" s="45" t="n">
        <v>0.5</v>
      </c>
      <c r="L1067" s="45" t="s">
        <v>263</v>
      </c>
      <c r="M1067" s="45" t="s">
        <v>259</v>
      </c>
      <c r="N1067" s="45" t="s">
        <v>169</v>
      </c>
      <c r="O1067" s="47" t="n">
        <v>46220.6728009259</v>
      </c>
      <c r="P1067" s="47" t="n">
        <v>46220.6731365741</v>
      </c>
    </row>
    <row r="1068" customFormat="false" ht="15" hidden="false" customHeight="false" outlineLevel="0" collapsed="false">
      <c r="A1068" s="45" t="n">
        <v>1273</v>
      </c>
      <c r="B1068" s="46" t="n">
        <v>46220</v>
      </c>
      <c r="C1068" s="45" t="s">
        <v>141</v>
      </c>
      <c r="D1068" s="45" t="s">
        <v>142</v>
      </c>
      <c r="E1068" s="45" t="s">
        <v>1704</v>
      </c>
      <c r="F1068" s="45" t="s">
        <v>2295</v>
      </c>
      <c r="G1068" s="46" t="n">
        <v>46210</v>
      </c>
      <c r="H1068" s="45" t="s">
        <v>169</v>
      </c>
      <c r="I1068" s="45"/>
      <c r="J1068" s="45"/>
      <c r="K1068" s="45" t="n">
        <v>0.2</v>
      </c>
      <c r="L1068" s="45" t="s">
        <v>263</v>
      </c>
      <c r="M1068" s="45" t="s">
        <v>259</v>
      </c>
      <c r="N1068" s="45" t="s">
        <v>169</v>
      </c>
      <c r="O1068" s="47" t="n">
        <v>46220.6756018519</v>
      </c>
      <c r="P1068" s="47" t="n">
        <v>46220.675775463</v>
      </c>
    </row>
    <row r="1069" customFormat="false" ht="15" hidden="false" customHeight="false" outlineLevel="0" collapsed="false">
      <c r="A1069" s="45" t="n">
        <v>1274</v>
      </c>
      <c r="B1069" s="46" t="n">
        <v>46220</v>
      </c>
      <c r="C1069" s="45" t="s">
        <v>141</v>
      </c>
      <c r="D1069" s="45" t="s">
        <v>142</v>
      </c>
      <c r="E1069" s="45" t="s">
        <v>284</v>
      </c>
      <c r="F1069" s="45" t="s">
        <v>2296</v>
      </c>
      <c r="G1069" s="46" t="n">
        <v>46210</v>
      </c>
      <c r="H1069" s="45" t="s">
        <v>169</v>
      </c>
      <c r="I1069" s="45"/>
      <c r="J1069" s="45"/>
      <c r="K1069" s="45" t="n">
        <v>1.4</v>
      </c>
      <c r="L1069" s="45" t="s">
        <v>263</v>
      </c>
      <c r="M1069" s="45" t="s">
        <v>259</v>
      </c>
      <c r="N1069" s="45" t="s">
        <v>169</v>
      </c>
      <c r="O1069" s="47" t="n">
        <v>46220.6758101852</v>
      </c>
      <c r="P1069" s="47" t="n">
        <v>46220.6767824074</v>
      </c>
    </row>
    <row r="1070" customFormat="false" ht="15" hidden="false" customHeight="false" outlineLevel="0" collapsed="false">
      <c r="A1070" s="45" t="n">
        <v>1275</v>
      </c>
      <c r="B1070" s="46" t="n">
        <v>46220</v>
      </c>
      <c r="C1070" s="45" t="s">
        <v>141</v>
      </c>
      <c r="D1070" s="45" t="s">
        <v>142</v>
      </c>
      <c r="E1070" s="45" t="s">
        <v>917</v>
      </c>
      <c r="F1070" s="45" t="s">
        <v>2297</v>
      </c>
      <c r="G1070" s="46" t="n">
        <v>46218</v>
      </c>
      <c r="H1070" s="45" t="s">
        <v>57</v>
      </c>
      <c r="I1070" s="45" t="s">
        <v>200</v>
      </c>
      <c r="J1070" s="45" t="s">
        <v>2298</v>
      </c>
      <c r="K1070" s="45" t="n">
        <v>0.8</v>
      </c>
      <c r="L1070" s="45" t="s">
        <v>263</v>
      </c>
      <c r="M1070" s="45" t="s">
        <v>259</v>
      </c>
      <c r="N1070" s="45" t="s">
        <v>57</v>
      </c>
      <c r="O1070" s="47" t="n">
        <v>46220.6784027778</v>
      </c>
      <c r="P1070" s="47" t="n">
        <v>46220.6789814815</v>
      </c>
    </row>
    <row r="1071" customFormat="false" ht="15" hidden="false" customHeight="false" outlineLevel="0" collapsed="false">
      <c r="A1071" s="45" t="n">
        <v>1276</v>
      </c>
      <c r="B1071" s="46" t="n">
        <v>46220</v>
      </c>
      <c r="C1071" s="45" t="s">
        <v>141</v>
      </c>
      <c r="D1071" s="45" t="s">
        <v>142</v>
      </c>
      <c r="E1071" s="45" t="s">
        <v>917</v>
      </c>
      <c r="F1071" s="45" t="s">
        <v>2299</v>
      </c>
      <c r="G1071" s="46" t="n">
        <v>46218</v>
      </c>
      <c r="H1071" s="45" t="s">
        <v>167</v>
      </c>
      <c r="I1071" s="45" t="s">
        <v>175</v>
      </c>
      <c r="J1071" s="45" t="s">
        <v>2298</v>
      </c>
      <c r="K1071" s="45" t="n">
        <v>2.1</v>
      </c>
      <c r="L1071" s="45" t="s">
        <v>263</v>
      </c>
      <c r="M1071" s="45" t="s">
        <v>259</v>
      </c>
      <c r="N1071" s="45" t="s">
        <v>167</v>
      </c>
      <c r="O1071" s="47" t="n">
        <v>46220.6790162037</v>
      </c>
      <c r="P1071" s="47" t="n">
        <v>46220.6804976852</v>
      </c>
    </row>
    <row r="1072" customFormat="false" ht="15" hidden="false" customHeight="false" outlineLevel="0" collapsed="false">
      <c r="A1072" s="45" t="n">
        <v>1277</v>
      </c>
      <c r="B1072" s="46" t="n">
        <v>46220</v>
      </c>
      <c r="C1072" s="45" t="s">
        <v>141</v>
      </c>
      <c r="D1072" s="45" t="s">
        <v>142</v>
      </c>
      <c r="E1072" s="45" t="s">
        <v>1623</v>
      </c>
      <c r="F1072" s="45" t="s">
        <v>2300</v>
      </c>
      <c r="G1072" s="46" t="n">
        <v>46218</v>
      </c>
      <c r="H1072" s="45" t="s">
        <v>167</v>
      </c>
      <c r="I1072" s="45" t="s">
        <v>175</v>
      </c>
      <c r="J1072" s="45" t="s">
        <v>2301</v>
      </c>
      <c r="K1072" s="45" t="n">
        <v>9.9</v>
      </c>
      <c r="L1072" s="45" t="s">
        <v>263</v>
      </c>
      <c r="M1072" s="45" t="s">
        <v>259</v>
      </c>
      <c r="N1072" s="45" t="s">
        <v>167</v>
      </c>
      <c r="O1072" s="47" t="n">
        <v>46220.6806828704</v>
      </c>
      <c r="P1072" s="47" t="n">
        <v>46220.6875578704</v>
      </c>
    </row>
    <row r="1073" customFormat="false" ht="15" hidden="false" customHeight="false" outlineLevel="0" collapsed="false">
      <c r="A1073" s="45" t="n">
        <v>1278</v>
      </c>
      <c r="B1073" s="46" t="n">
        <v>46220</v>
      </c>
      <c r="C1073" s="45" t="s">
        <v>141</v>
      </c>
      <c r="D1073" s="45" t="s">
        <v>142</v>
      </c>
      <c r="E1073" s="45" t="s">
        <v>1704</v>
      </c>
      <c r="F1073" s="45" t="s">
        <v>2302</v>
      </c>
      <c r="G1073" s="46" t="n">
        <v>46218</v>
      </c>
      <c r="H1073" s="45" t="s">
        <v>167</v>
      </c>
      <c r="I1073" s="45" t="s">
        <v>176</v>
      </c>
      <c r="J1073" s="45" t="s">
        <v>2303</v>
      </c>
      <c r="K1073" s="45" t="n">
        <v>3.4</v>
      </c>
      <c r="L1073" s="45" t="s">
        <v>263</v>
      </c>
      <c r="M1073" s="45" t="s">
        <v>259</v>
      </c>
      <c r="N1073" s="45" t="s">
        <v>167</v>
      </c>
      <c r="O1073" s="47" t="n">
        <v>46220.6879513889</v>
      </c>
      <c r="P1073" s="47" t="n">
        <v>46220.6903125</v>
      </c>
    </row>
    <row r="1074" customFormat="false" ht="15" hidden="false" customHeight="false" outlineLevel="0" collapsed="false">
      <c r="A1074" s="45" t="n">
        <v>1279</v>
      </c>
      <c r="B1074" s="46" t="n">
        <v>46220</v>
      </c>
      <c r="C1074" s="45" t="s">
        <v>131</v>
      </c>
      <c r="D1074" s="45" t="s">
        <v>132</v>
      </c>
      <c r="E1074" s="45" t="s">
        <v>2226</v>
      </c>
      <c r="F1074" s="45" t="s">
        <v>2304</v>
      </c>
      <c r="G1074" s="46" t="n">
        <v>46219</v>
      </c>
      <c r="H1074" s="45" t="s">
        <v>167</v>
      </c>
      <c r="I1074" s="45" t="s">
        <v>175</v>
      </c>
      <c r="J1074" s="45" t="s">
        <v>2305</v>
      </c>
      <c r="K1074" s="45" t="n">
        <v>6.3</v>
      </c>
      <c r="L1074" s="45" t="s">
        <v>263</v>
      </c>
      <c r="M1074" s="45" t="s">
        <v>259</v>
      </c>
      <c r="N1074" s="45" t="s">
        <v>167</v>
      </c>
      <c r="O1074" s="47" t="n">
        <v>46220.8022685185</v>
      </c>
      <c r="P1074" s="47" t="n">
        <v>46220.8066319445</v>
      </c>
    </row>
    <row r="1075" customFormat="false" ht="15" hidden="false" customHeight="false" outlineLevel="0" collapsed="false">
      <c r="A1075" s="45" t="n">
        <v>1280</v>
      </c>
      <c r="B1075" s="46" t="n">
        <v>46220</v>
      </c>
      <c r="C1075" s="45" t="s">
        <v>131</v>
      </c>
      <c r="D1075" s="45" t="s">
        <v>132</v>
      </c>
      <c r="E1075" s="45" t="s">
        <v>2306</v>
      </c>
      <c r="F1075" s="45" t="s">
        <v>2307</v>
      </c>
      <c r="G1075" s="46" t="n">
        <v>46219</v>
      </c>
      <c r="H1075" s="45" t="s">
        <v>169</v>
      </c>
      <c r="I1075" s="45"/>
      <c r="J1075" s="45"/>
      <c r="K1075" s="45" t="n">
        <v>8.2</v>
      </c>
      <c r="L1075" s="45" t="s">
        <v>263</v>
      </c>
      <c r="M1075" s="45" t="s">
        <v>259</v>
      </c>
      <c r="N1075" s="45" t="s">
        <v>169</v>
      </c>
      <c r="O1075" s="47" t="n">
        <v>46220.8068287037</v>
      </c>
      <c r="P1075" s="47" t="n">
        <v>46220.8124884259</v>
      </c>
    </row>
    <row r="1076" customFormat="false" ht="15" hidden="false" customHeight="false" outlineLevel="0" collapsed="false">
      <c r="A1076" s="45" t="n">
        <v>1281</v>
      </c>
      <c r="B1076" s="46" t="n">
        <v>46220</v>
      </c>
      <c r="C1076" s="45" t="s">
        <v>131</v>
      </c>
      <c r="D1076" s="45" t="s">
        <v>132</v>
      </c>
      <c r="E1076" s="45" t="s">
        <v>2127</v>
      </c>
      <c r="F1076" s="45" t="s">
        <v>2308</v>
      </c>
      <c r="G1076" s="46" t="n">
        <v>46219</v>
      </c>
      <c r="H1076" s="45" t="s">
        <v>167</v>
      </c>
      <c r="I1076" s="45" t="s">
        <v>175</v>
      </c>
      <c r="J1076" s="45" t="s">
        <v>2309</v>
      </c>
      <c r="K1076" s="45" t="n">
        <v>5.6</v>
      </c>
      <c r="L1076" s="45" t="s">
        <v>263</v>
      </c>
      <c r="M1076" s="45" t="s">
        <v>259</v>
      </c>
      <c r="N1076" s="45" t="s">
        <v>167</v>
      </c>
      <c r="O1076" s="47" t="n">
        <v>46220.8134259259</v>
      </c>
      <c r="P1076" s="47" t="n">
        <v>46220.8173032407</v>
      </c>
    </row>
    <row r="1077" customFormat="false" ht="15" hidden="false" customHeight="false" outlineLevel="0" collapsed="false">
      <c r="A1077" s="45" t="n">
        <v>1284</v>
      </c>
      <c r="B1077" s="46" t="n">
        <v>46220</v>
      </c>
      <c r="C1077" s="45" t="s">
        <v>135</v>
      </c>
      <c r="D1077" s="45" t="s">
        <v>136</v>
      </c>
      <c r="E1077" s="45" t="s">
        <v>226</v>
      </c>
      <c r="F1077" s="45" t="s">
        <v>2310</v>
      </c>
      <c r="G1077" s="46" t="n">
        <v>46219</v>
      </c>
      <c r="H1077" s="45" t="s">
        <v>170</v>
      </c>
      <c r="I1077" s="45" t="s">
        <v>206</v>
      </c>
      <c r="J1077" s="45" t="s">
        <v>2311</v>
      </c>
      <c r="K1077" s="45" t="n">
        <v>29.8</v>
      </c>
      <c r="L1077" s="45" t="s">
        <v>263</v>
      </c>
      <c r="M1077" s="45" t="s">
        <v>259</v>
      </c>
      <c r="N1077" s="45" t="s">
        <v>478</v>
      </c>
      <c r="O1077" s="47" t="n">
        <v>46220.8137847222</v>
      </c>
      <c r="P1077" s="47" t="n">
        <v>46220.8344791667</v>
      </c>
    </row>
    <row r="1078" customFormat="false" ht="15" hidden="false" customHeight="false" outlineLevel="0" collapsed="false">
      <c r="A1078" s="45" t="n">
        <v>1282</v>
      </c>
      <c r="B1078" s="46" t="n">
        <v>46220</v>
      </c>
      <c r="C1078" s="45" t="s">
        <v>131</v>
      </c>
      <c r="D1078" s="45" t="s">
        <v>132</v>
      </c>
      <c r="E1078" s="45" t="s">
        <v>2306</v>
      </c>
      <c r="F1078" s="45" t="s">
        <v>2312</v>
      </c>
      <c r="G1078" s="46" t="n">
        <v>46219</v>
      </c>
      <c r="H1078" s="45" t="s">
        <v>167</v>
      </c>
      <c r="I1078" s="45" t="s">
        <v>175</v>
      </c>
      <c r="J1078" s="45" t="s">
        <v>2313</v>
      </c>
      <c r="K1078" s="45" t="n">
        <v>1.9</v>
      </c>
      <c r="L1078" s="45" t="s">
        <v>263</v>
      </c>
      <c r="M1078" s="45" t="s">
        <v>259</v>
      </c>
      <c r="N1078" s="45" t="s">
        <v>167</v>
      </c>
      <c r="O1078" s="47" t="n">
        <v>46220.8233449074</v>
      </c>
      <c r="P1078" s="47" t="n">
        <v>46220.8246412037</v>
      </c>
    </row>
    <row r="1079" customFormat="false" ht="15" hidden="false" customHeight="false" outlineLevel="0" collapsed="false">
      <c r="A1079" s="45" t="n">
        <v>1283</v>
      </c>
      <c r="B1079" s="46" t="n">
        <v>46220</v>
      </c>
      <c r="C1079" s="45" t="s">
        <v>131</v>
      </c>
      <c r="D1079" s="45" t="s">
        <v>132</v>
      </c>
      <c r="E1079" s="45" t="s">
        <v>2254</v>
      </c>
      <c r="F1079" s="45" t="s">
        <v>2314</v>
      </c>
      <c r="G1079" s="46" t="n">
        <v>46219</v>
      </c>
      <c r="H1079" s="45" t="s">
        <v>169</v>
      </c>
      <c r="I1079" s="45"/>
      <c r="J1079" s="45"/>
      <c r="K1079" s="45" t="n">
        <v>1</v>
      </c>
      <c r="L1079" s="45" t="s">
        <v>263</v>
      </c>
      <c r="M1079" s="45" t="s">
        <v>259</v>
      </c>
      <c r="N1079" s="45" t="s">
        <v>169</v>
      </c>
      <c r="O1079" s="47" t="n">
        <v>46220.8260532407</v>
      </c>
      <c r="P1079" s="47" t="n">
        <v>46220.826724537</v>
      </c>
    </row>
    <row r="1080" customFormat="false" ht="15" hidden="false" customHeight="false" outlineLevel="0" collapsed="false">
      <c r="A1080" s="45" t="n">
        <v>1285</v>
      </c>
      <c r="B1080" s="46" t="n">
        <v>46220</v>
      </c>
      <c r="C1080" s="45" t="s">
        <v>131</v>
      </c>
      <c r="D1080" s="45" t="s">
        <v>132</v>
      </c>
      <c r="E1080" s="45" t="s">
        <v>2306</v>
      </c>
      <c r="F1080" s="45" t="s">
        <v>2315</v>
      </c>
      <c r="G1080" s="46" t="n">
        <v>46219</v>
      </c>
      <c r="H1080" s="45" t="s">
        <v>167</v>
      </c>
      <c r="I1080" s="45" t="s">
        <v>175</v>
      </c>
      <c r="J1080" s="45" t="s">
        <v>2316</v>
      </c>
      <c r="K1080" s="45" t="n">
        <v>12.9</v>
      </c>
      <c r="L1080" s="45" t="s">
        <v>263</v>
      </c>
      <c r="M1080" s="45" t="s">
        <v>259</v>
      </c>
      <c r="N1080" s="45" t="s">
        <v>167</v>
      </c>
      <c r="O1080" s="47" t="n">
        <v>46220.8276851852</v>
      </c>
      <c r="P1080" s="47" t="n">
        <v>46220.8366435185</v>
      </c>
    </row>
    <row r="1081" customFormat="false" ht="15" hidden="false" customHeight="false" outlineLevel="0" collapsed="false">
      <c r="A1081" s="45" t="n">
        <v>1287</v>
      </c>
      <c r="B1081" s="46" t="n">
        <v>46220</v>
      </c>
      <c r="C1081" s="45" t="s">
        <v>135</v>
      </c>
      <c r="D1081" s="45" t="s">
        <v>136</v>
      </c>
      <c r="E1081" s="45" t="s">
        <v>226</v>
      </c>
      <c r="F1081" s="45" t="s">
        <v>2317</v>
      </c>
      <c r="G1081" s="46" t="n">
        <v>46219</v>
      </c>
      <c r="H1081" s="45" t="s">
        <v>167</v>
      </c>
      <c r="I1081" s="45" t="s">
        <v>175</v>
      </c>
      <c r="J1081" s="45" t="s">
        <v>2318</v>
      </c>
      <c r="K1081" s="45" t="n">
        <v>51.6</v>
      </c>
      <c r="L1081" s="45" t="s">
        <v>259</v>
      </c>
      <c r="M1081" s="45" t="s">
        <v>259</v>
      </c>
      <c r="N1081" s="45" t="s">
        <v>167</v>
      </c>
      <c r="O1081" s="47" t="n">
        <v>46220.8351273148</v>
      </c>
      <c r="P1081" s="47" t="n">
        <v>46220.8709837963</v>
      </c>
    </row>
    <row r="1082" customFormat="false" ht="15" hidden="false" customHeight="false" outlineLevel="0" collapsed="false">
      <c r="A1082" s="45" t="n">
        <v>1286</v>
      </c>
      <c r="B1082" s="46" t="n">
        <v>46220</v>
      </c>
      <c r="C1082" s="45" t="s">
        <v>131</v>
      </c>
      <c r="D1082" s="45" t="s">
        <v>132</v>
      </c>
      <c r="E1082" s="45" t="s">
        <v>2319</v>
      </c>
      <c r="F1082" s="45" t="s">
        <v>2320</v>
      </c>
      <c r="G1082" s="46" t="n">
        <v>46219</v>
      </c>
      <c r="H1082" s="45" t="s">
        <v>167</v>
      </c>
      <c r="I1082" s="45" t="s">
        <v>175</v>
      </c>
      <c r="J1082" s="45" t="s">
        <v>2321</v>
      </c>
      <c r="K1082" s="45" t="n">
        <v>8.9</v>
      </c>
      <c r="L1082" s="45" t="s">
        <v>263</v>
      </c>
      <c r="M1082" s="45" t="s">
        <v>263</v>
      </c>
      <c r="N1082" s="45" t="s">
        <v>167</v>
      </c>
      <c r="O1082" s="47" t="n">
        <v>46220.8515972222</v>
      </c>
      <c r="P1082" s="47" t="n">
        <v>46220.8578125</v>
      </c>
    </row>
    <row r="1083" customFormat="false" ht="15" hidden="false" customHeight="false" outlineLevel="0" collapsed="false">
      <c r="A1083" s="45" t="n">
        <v>1288</v>
      </c>
      <c r="B1083" s="46" t="n">
        <v>46220</v>
      </c>
      <c r="C1083" s="45" t="s">
        <v>131</v>
      </c>
      <c r="D1083" s="45" t="s">
        <v>132</v>
      </c>
      <c r="E1083" s="45" t="s">
        <v>2223</v>
      </c>
      <c r="F1083" s="45" t="s">
        <v>2322</v>
      </c>
      <c r="G1083" s="46" t="n">
        <v>46219</v>
      </c>
      <c r="H1083" s="45" t="s">
        <v>167</v>
      </c>
      <c r="I1083" s="45" t="s">
        <v>175</v>
      </c>
      <c r="J1083" s="45" t="s">
        <v>2323</v>
      </c>
      <c r="K1083" s="45" t="n">
        <v>38.1</v>
      </c>
      <c r="L1083" s="45" t="s">
        <v>263</v>
      </c>
      <c r="M1083" s="45" t="s">
        <v>259</v>
      </c>
      <c r="N1083" s="45" t="s">
        <v>167</v>
      </c>
      <c r="O1083" s="47" t="n">
        <v>46220.8580208333</v>
      </c>
      <c r="P1083" s="47" t="n">
        <v>46220.8844791667</v>
      </c>
    </row>
    <row r="1084" customFormat="false" ht="15" hidden="false" customHeight="false" outlineLevel="0" collapsed="false">
      <c r="A1084" s="45" t="n">
        <v>1290</v>
      </c>
      <c r="B1084" s="46" t="n">
        <v>46220</v>
      </c>
      <c r="C1084" s="45" t="s">
        <v>135</v>
      </c>
      <c r="D1084" s="45" t="s">
        <v>136</v>
      </c>
      <c r="E1084" s="45" t="s">
        <v>492</v>
      </c>
      <c r="F1084" s="45" t="s">
        <v>2317</v>
      </c>
      <c r="G1084" s="46" t="n">
        <v>46218</v>
      </c>
      <c r="H1084" s="45" t="s">
        <v>167</v>
      </c>
      <c r="I1084" s="45" t="s">
        <v>175</v>
      </c>
      <c r="J1084" s="45" t="s">
        <v>2324</v>
      </c>
      <c r="K1084" s="45" t="n">
        <v>29.1</v>
      </c>
      <c r="L1084" s="45" t="s">
        <v>259</v>
      </c>
      <c r="M1084" s="45" t="s">
        <v>259</v>
      </c>
      <c r="N1084" s="45" t="s">
        <v>167</v>
      </c>
      <c r="O1084" s="47" t="n">
        <v>46220.8711805556</v>
      </c>
      <c r="P1084" s="47" t="n">
        <v>46220.891412037</v>
      </c>
    </row>
    <row r="1085" customFormat="false" ht="15" hidden="false" customHeight="false" outlineLevel="0" collapsed="false">
      <c r="A1085" s="45" t="n">
        <v>1289</v>
      </c>
      <c r="B1085" s="46" t="n">
        <v>46220</v>
      </c>
      <c r="C1085" s="45" t="s">
        <v>131</v>
      </c>
      <c r="D1085" s="45" t="s">
        <v>132</v>
      </c>
      <c r="E1085" s="45" t="s">
        <v>2127</v>
      </c>
      <c r="F1085" s="45" t="s">
        <v>2325</v>
      </c>
      <c r="G1085" s="46" t="n">
        <v>46219</v>
      </c>
      <c r="H1085" s="45" t="s">
        <v>168</v>
      </c>
      <c r="I1085" s="45" t="s">
        <v>192</v>
      </c>
      <c r="J1085" s="45" t="s">
        <v>2326</v>
      </c>
      <c r="K1085" s="45" t="n">
        <v>6</v>
      </c>
      <c r="L1085" s="45" t="s">
        <v>263</v>
      </c>
      <c r="M1085" s="45" t="s">
        <v>259</v>
      </c>
      <c r="N1085" s="45" t="s">
        <v>264</v>
      </c>
      <c r="O1085" s="47" t="n">
        <v>46220.8845138889</v>
      </c>
      <c r="P1085" s="47" t="n">
        <v>46220.8886805556</v>
      </c>
    </row>
    <row r="1086" customFormat="false" ht="15" hidden="false" customHeight="false" outlineLevel="0" collapsed="false">
      <c r="A1086" s="45" t="n">
        <v>1291</v>
      </c>
      <c r="B1086" s="46" t="n">
        <v>46220</v>
      </c>
      <c r="C1086" s="45" t="s">
        <v>131</v>
      </c>
      <c r="D1086" s="45" t="s">
        <v>132</v>
      </c>
      <c r="E1086" s="45" t="s">
        <v>2226</v>
      </c>
      <c r="F1086" s="45" t="s">
        <v>2327</v>
      </c>
      <c r="G1086" s="46" t="n">
        <v>46219</v>
      </c>
      <c r="H1086" s="45" t="s">
        <v>168</v>
      </c>
      <c r="I1086" s="45" t="s">
        <v>192</v>
      </c>
      <c r="J1086" s="45" t="s">
        <v>2328</v>
      </c>
      <c r="K1086" s="45" t="n">
        <v>1.4</v>
      </c>
      <c r="L1086" s="45" t="s">
        <v>263</v>
      </c>
      <c r="M1086" s="45" t="s">
        <v>259</v>
      </c>
      <c r="N1086" s="45" t="s">
        <v>264</v>
      </c>
      <c r="O1086" s="47" t="n">
        <v>46220.8929861111</v>
      </c>
      <c r="P1086" s="47" t="n">
        <v>46220.8939699074</v>
      </c>
    </row>
    <row r="1087" customFormat="false" ht="15" hidden="false" customHeight="false" outlineLevel="0" collapsed="false">
      <c r="A1087" s="45" t="n">
        <v>1292</v>
      </c>
      <c r="B1087" s="46" t="n">
        <v>46220</v>
      </c>
      <c r="C1087" s="45" t="s">
        <v>135</v>
      </c>
      <c r="D1087" s="45" t="s">
        <v>136</v>
      </c>
      <c r="E1087" s="45" t="s">
        <v>239</v>
      </c>
      <c r="F1087" s="45" t="s">
        <v>2329</v>
      </c>
      <c r="G1087" s="46" t="n">
        <v>46218</v>
      </c>
      <c r="H1087" s="45" t="s">
        <v>167</v>
      </c>
      <c r="I1087" s="45" t="s">
        <v>175</v>
      </c>
      <c r="J1087" s="45" t="s">
        <v>2330</v>
      </c>
      <c r="K1087" s="45" t="n">
        <v>66.8</v>
      </c>
      <c r="L1087" s="45" t="s">
        <v>263</v>
      </c>
      <c r="M1087" s="45" t="s">
        <v>259</v>
      </c>
      <c r="N1087" s="45" t="s">
        <v>167</v>
      </c>
      <c r="O1087" s="47" t="n">
        <v>46220.9097685185</v>
      </c>
      <c r="P1087" s="47" t="n">
        <v>46220.9561689815</v>
      </c>
    </row>
    <row r="1088" customFormat="false" ht="15" hidden="false" customHeight="false" outlineLevel="0" collapsed="false">
      <c r="A1088" s="45" t="n">
        <v>1293</v>
      </c>
      <c r="B1088" s="46" t="n">
        <v>46220</v>
      </c>
      <c r="C1088" s="45" t="s">
        <v>135</v>
      </c>
      <c r="D1088" s="45" t="s">
        <v>136</v>
      </c>
      <c r="E1088" s="45" t="s">
        <v>218</v>
      </c>
      <c r="F1088" s="45" t="s">
        <v>2331</v>
      </c>
      <c r="G1088" s="46" t="n">
        <v>46218</v>
      </c>
      <c r="H1088" s="45" t="s">
        <v>169</v>
      </c>
      <c r="I1088" s="45"/>
      <c r="J1088" s="45"/>
      <c r="K1088" s="45" t="n">
        <v>46.9</v>
      </c>
      <c r="L1088" s="45" t="s">
        <v>263</v>
      </c>
      <c r="M1088" s="45" t="s">
        <v>259</v>
      </c>
      <c r="N1088" s="45" t="s">
        <v>169</v>
      </c>
      <c r="O1088" s="47" t="n">
        <v>46220.9561921296</v>
      </c>
      <c r="P1088" s="47" t="n">
        <v>46220.9887615741</v>
      </c>
    </row>
    <row r="1089" customFormat="false" ht="15" hidden="false" customHeight="false" outlineLevel="0" collapsed="false">
      <c r="A1089" s="45" t="n">
        <v>1294</v>
      </c>
      <c r="B1089" s="46" t="n">
        <v>46221</v>
      </c>
      <c r="C1089" s="45" t="s">
        <v>135</v>
      </c>
      <c r="D1089" s="45" t="s">
        <v>136</v>
      </c>
      <c r="E1089" s="45" t="s">
        <v>577</v>
      </c>
      <c r="F1089" s="45" t="s">
        <v>2332</v>
      </c>
      <c r="G1089" s="46" t="n">
        <v>46218</v>
      </c>
      <c r="H1089" s="45" t="s">
        <v>167</v>
      </c>
      <c r="I1089" s="45" t="s">
        <v>175</v>
      </c>
      <c r="J1089" s="45" t="s">
        <v>1440</v>
      </c>
      <c r="K1089" s="45" t="n">
        <v>7.6</v>
      </c>
      <c r="L1089" s="45" t="s">
        <v>263</v>
      </c>
      <c r="M1089" s="45" t="s">
        <v>259</v>
      </c>
      <c r="N1089" s="45" t="s">
        <v>167</v>
      </c>
      <c r="O1089" s="47" t="n">
        <v>46221.0686574074</v>
      </c>
      <c r="P1089" s="47" t="n">
        <v>46221.0739351852</v>
      </c>
    </row>
    <row r="1090" customFormat="false" ht="15" hidden="false" customHeight="false" outlineLevel="0" collapsed="false">
      <c r="A1090" s="45" t="n">
        <v>1295</v>
      </c>
      <c r="B1090" s="46" t="n">
        <v>46221</v>
      </c>
      <c r="C1090" s="45" t="s">
        <v>135</v>
      </c>
      <c r="D1090" s="45" t="s">
        <v>136</v>
      </c>
      <c r="E1090" s="45" t="s">
        <v>236</v>
      </c>
      <c r="F1090" s="45" t="s">
        <v>2333</v>
      </c>
      <c r="G1090" s="46" t="n">
        <v>46218</v>
      </c>
      <c r="H1090" s="45" t="s">
        <v>167</v>
      </c>
      <c r="I1090" s="45" t="s">
        <v>175</v>
      </c>
      <c r="J1090" s="45" t="s">
        <v>2334</v>
      </c>
      <c r="K1090" s="45" t="n">
        <v>1.1</v>
      </c>
      <c r="L1090" s="45" t="s">
        <v>263</v>
      </c>
      <c r="M1090" s="45" t="s">
        <v>259</v>
      </c>
      <c r="N1090" s="45" t="s">
        <v>167</v>
      </c>
      <c r="O1090" s="47" t="n">
        <v>46221.0779282407</v>
      </c>
      <c r="P1090" s="47" t="n">
        <v>46221.0786574074</v>
      </c>
    </row>
    <row r="1091" customFormat="false" ht="15" hidden="false" customHeight="false" outlineLevel="0" collapsed="false">
      <c r="A1091" s="45" t="n">
        <v>1296</v>
      </c>
      <c r="B1091" s="46" t="n">
        <v>46221</v>
      </c>
      <c r="C1091" s="45" t="s">
        <v>135</v>
      </c>
      <c r="D1091" s="45" t="s">
        <v>136</v>
      </c>
      <c r="E1091" s="45" t="s">
        <v>408</v>
      </c>
      <c r="F1091" s="45" t="s">
        <v>2335</v>
      </c>
      <c r="G1091" s="46" t="n">
        <v>46218</v>
      </c>
      <c r="H1091" s="45" t="s">
        <v>168</v>
      </c>
      <c r="I1091" s="45" t="s">
        <v>191</v>
      </c>
      <c r="J1091" s="45" t="s">
        <v>2336</v>
      </c>
      <c r="K1091" s="45" t="n">
        <v>2.3</v>
      </c>
      <c r="L1091" s="45" t="s">
        <v>263</v>
      </c>
      <c r="M1091" s="45" t="s">
        <v>259</v>
      </c>
      <c r="N1091" s="45" t="s">
        <v>264</v>
      </c>
      <c r="O1091" s="47" t="n">
        <v>46221.0790277778</v>
      </c>
      <c r="P1091" s="47" t="n">
        <v>46221.0806481482</v>
      </c>
    </row>
    <row r="1092" customFormat="false" ht="15" hidden="false" customHeight="false" outlineLevel="0" collapsed="false">
      <c r="A1092" s="45" t="n">
        <v>1297</v>
      </c>
      <c r="B1092" s="46" t="n">
        <v>46221</v>
      </c>
      <c r="C1092" s="45" t="s">
        <v>135</v>
      </c>
      <c r="D1092" s="45" t="s">
        <v>136</v>
      </c>
      <c r="E1092" s="45" t="s">
        <v>226</v>
      </c>
      <c r="F1092" s="45" t="s">
        <v>2337</v>
      </c>
      <c r="G1092" s="46" t="n">
        <v>46216</v>
      </c>
      <c r="H1092" s="45" t="s">
        <v>167</v>
      </c>
      <c r="I1092" s="45" t="s">
        <v>175</v>
      </c>
      <c r="J1092" s="45" t="s">
        <v>2338</v>
      </c>
      <c r="K1092" s="45" t="n">
        <v>0.7</v>
      </c>
      <c r="L1092" s="45" t="s">
        <v>259</v>
      </c>
      <c r="M1092" s="45" t="s">
        <v>259</v>
      </c>
      <c r="N1092" s="45" t="s">
        <v>167</v>
      </c>
      <c r="O1092" s="47" t="n">
        <v>46221.0807407407</v>
      </c>
      <c r="P1092" s="47" t="n">
        <v>46221.0811921296</v>
      </c>
    </row>
    <row r="1093" customFormat="false" ht="15" hidden="false" customHeight="false" outlineLevel="0" collapsed="false">
      <c r="A1093" s="45" t="n">
        <v>1298</v>
      </c>
      <c r="B1093" s="46" t="n">
        <v>46221</v>
      </c>
      <c r="C1093" s="45" t="s">
        <v>135</v>
      </c>
      <c r="D1093" s="45" t="s">
        <v>136</v>
      </c>
      <c r="E1093" s="45" t="s">
        <v>1833</v>
      </c>
      <c r="F1093" s="45" t="s">
        <v>2339</v>
      </c>
      <c r="G1093" s="46" t="n">
        <v>46217</v>
      </c>
      <c r="H1093" s="45" t="s">
        <v>167</v>
      </c>
      <c r="I1093" s="45" t="s">
        <v>175</v>
      </c>
      <c r="J1093" s="45" t="s">
        <v>2340</v>
      </c>
      <c r="K1093" s="45" t="n">
        <v>2.2</v>
      </c>
      <c r="L1093" s="45" t="s">
        <v>263</v>
      </c>
      <c r="M1093" s="45" t="s">
        <v>259</v>
      </c>
      <c r="N1093" s="45" t="s">
        <v>167</v>
      </c>
      <c r="O1093" s="47" t="n">
        <v>46221.0813078704</v>
      </c>
      <c r="P1093" s="47" t="n">
        <v>46221.0828240741</v>
      </c>
    </row>
    <row r="1094" customFormat="false" ht="15" hidden="false" customHeight="false" outlineLevel="0" collapsed="false">
      <c r="A1094" s="45" t="n">
        <v>1299</v>
      </c>
      <c r="B1094" s="46" t="n">
        <v>46221</v>
      </c>
      <c r="C1094" s="45" t="s">
        <v>135</v>
      </c>
      <c r="D1094" s="45" t="s">
        <v>136</v>
      </c>
      <c r="E1094" s="45" t="s">
        <v>408</v>
      </c>
      <c r="F1094" s="45" t="s">
        <v>2341</v>
      </c>
      <c r="G1094" s="46" t="n">
        <v>46216</v>
      </c>
      <c r="H1094" s="45" t="s">
        <v>169</v>
      </c>
      <c r="I1094" s="45"/>
      <c r="J1094" s="45"/>
      <c r="K1094" s="45" t="n">
        <v>0.3</v>
      </c>
      <c r="L1094" s="45" t="s">
        <v>263</v>
      </c>
      <c r="M1094" s="45" t="s">
        <v>259</v>
      </c>
      <c r="N1094" s="45" t="s">
        <v>169</v>
      </c>
      <c r="O1094" s="47" t="n">
        <v>46221.082974537</v>
      </c>
      <c r="P1094" s="47" t="n">
        <v>46221.0831597222</v>
      </c>
    </row>
    <row r="1095" customFormat="false" ht="15" hidden="false" customHeight="false" outlineLevel="0" collapsed="false">
      <c r="A1095" s="45" t="n">
        <v>1300</v>
      </c>
      <c r="B1095" s="46" t="n">
        <v>46221</v>
      </c>
      <c r="C1095" s="45" t="s">
        <v>135</v>
      </c>
      <c r="D1095" s="45" t="s">
        <v>136</v>
      </c>
      <c r="E1095" s="45" t="s">
        <v>226</v>
      </c>
      <c r="F1095" s="45" t="s">
        <v>2337</v>
      </c>
      <c r="G1095" s="46" t="n">
        <v>46216</v>
      </c>
      <c r="H1095" s="45" t="s">
        <v>169</v>
      </c>
      <c r="I1095" s="45"/>
      <c r="J1095" s="45"/>
      <c r="K1095" s="45" t="n">
        <v>0.2</v>
      </c>
      <c r="L1095" s="45" t="s">
        <v>259</v>
      </c>
      <c r="M1095" s="45" t="s">
        <v>259</v>
      </c>
      <c r="N1095" s="45" t="s">
        <v>169</v>
      </c>
      <c r="O1095" s="47" t="n">
        <v>46221.0832523148</v>
      </c>
      <c r="P1095" s="47" t="n">
        <v>46221.0833680556</v>
      </c>
    </row>
    <row r="1096" customFormat="false" ht="15" hidden="false" customHeight="false" outlineLevel="0" collapsed="false">
      <c r="A1096" s="45" t="n">
        <v>1301</v>
      </c>
      <c r="B1096" s="46" t="n">
        <v>46221</v>
      </c>
      <c r="C1096" s="45" t="s">
        <v>135</v>
      </c>
      <c r="D1096" s="45" t="s">
        <v>136</v>
      </c>
      <c r="E1096" s="45" t="s">
        <v>226</v>
      </c>
      <c r="F1096" s="45" t="s">
        <v>2337</v>
      </c>
      <c r="G1096" s="46" t="n">
        <v>46216</v>
      </c>
      <c r="H1096" s="45" t="s">
        <v>169</v>
      </c>
      <c r="I1096" s="45"/>
      <c r="J1096" s="45"/>
      <c r="K1096" s="45" t="n">
        <v>0.2</v>
      </c>
      <c r="L1096" s="45" t="s">
        <v>259</v>
      </c>
      <c r="M1096" s="45" t="s">
        <v>259</v>
      </c>
      <c r="N1096" s="45" t="s">
        <v>169</v>
      </c>
      <c r="O1096" s="47" t="n">
        <v>46221.0856944445</v>
      </c>
      <c r="P1096" s="47" t="n">
        <v>46221.0858564815</v>
      </c>
    </row>
    <row r="1097" customFormat="false" ht="15" hidden="false" customHeight="false" outlineLevel="0" collapsed="false">
      <c r="A1097" s="45" t="n">
        <v>1302</v>
      </c>
      <c r="B1097" s="46" t="n">
        <v>46221</v>
      </c>
      <c r="C1097" s="45" t="s">
        <v>143</v>
      </c>
      <c r="D1097" s="45" t="s">
        <v>144</v>
      </c>
      <c r="E1097" s="45" t="s">
        <v>228</v>
      </c>
      <c r="F1097" s="45" t="s">
        <v>2342</v>
      </c>
      <c r="G1097" s="46" t="n">
        <v>46219</v>
      </c>
      <c r="H1097" s="45" t="s">
        <v>167</v>
      </c>
      <c r="I1097" s="45" t="s">
        <v>175</v>
      </c>
      <c r="J1097" s="45" t="s">
        <v>2343</v>
      </c>
      <c r="K1097" s="45" t="n">
        <v>2.4</v>
      </c>
      <c r="L1097" s="45" t="s">
        <v>259</v>
      </c>
      <c r="M1097" s="45" t="s">
        <v>259</v>
      </c>
      <c r="N1097" s="45" t="s">
        <v>167</v>
      </c>
      <c r="O1097" s="47" t="n">
        <v>46221.1471990741</v>
      </c>
      <c r="P1097" s="47" t="n">
        <v>46221.1488657407</v>
      </c>
    </row>
    <row r="1098" customFormat="false" ht="15" hidden="false" customHeight="false" outlineLevel="0" collapsed="false">
      <c r="A1098" s="45" t="n">
        <v>1303</v>
      </c>
      <c r="B1098" s="46" t="n">
        <v>46221</v>
      </c>
      <c r="C1098" s="45" t="s">
        <v>143</v>
      </c>
      <c r="D1098" s="45" t="s">
        <v>144</v>
      </c>
      <c r="E1098" s="45" t="s">
        <v>228</v>
      </c>
      <c r="F1098" s="45" t="s">
        <v>2342</v>
      </c>
      <c r="G1098" s="46" t="n">
        <v>46219</v>
      </c>
      <c r="H1098" s="45" t="s">
        <v>167</v>
      </c>
      <c r="I1098" s="45" t="s">
        <v>175</v>
      </c>
      <c r="J1098" s="45" t="s">
        <v>2344</v>
      </c>
      <c r="K1098" s="45" t="n">
        <v>9.5</v>
      </c>
      <c r="L1098" s="45" t="s">
        <v>259</v>
      </c>
      <c r="M1098" s="45" t="s">
        <v>259</v>
      </c>
      <c r="N1098" s="45" t="s">
        <v>167</v>
      </c>
      <c r="O1098" s="47" t="n">
        <v>46221.148900463</v>
      </c>
      <c r="P1098" s="47" t="n">
        <v>46221.1555208333</v>
      </c>
    </row>
    <row r="1099" customFormat="false" ht="15" hidden="false" customHeight="false" outlineLevel="0" collapsed="false">
      <c r="A1099" s="45" t="n">
        <v>1304</v>
      </c>
      <c r="B1099" s="46" t="n">
        <v>46221</v>
      </c>
      <c r="C1099" s="45" t="s">
        <v>143</v>
      </c>
      <c r="D1099" s="45" t="s">
        <v>144</v>
      </c>
      <c r="E1099" s="45" t="s">
        <v>223</v>
      </c>
      <c r="F1099" s="45" t="s">
        <v>2345</v>
      </c>
      <c r="G1099" s="46" t="n">
        <v>46219</v>
      </c>
      <c r="H1099" s="45" t="s">
        <v>167</v>
      </c>
      <c r="I1099" s="45" t="s">
        <v>175</v>
      </c>
      <c r="J1099" s="45" t="s">
        <v>2346</v>
      </c>
      <c r="K1099" s="45" t="n">
        <v>8.2</v>
      </c>
      <c r="L1099" s="45" t="s">
        <v>263</v>
      </c>
      <c r="M1099" s="45" t="s">
        <v>259</v>
      </c>
      <c r="N1099" s="45" t="s">
        <v>167</v>
      </c>
      <c r="O1099" s="47" t="n">
        <v>46221.1562731482</v>
      </c>
      <c r="P1099" s="47" t="n">
        <v>46221.1619675926</v>
      </c>
    </row>
    <row r="1100" customFormat="false" ht="15" hidden="false" customHeight="false" outlineLevel="0" collapsed="false">
      <c r="A1100" s="45" t="n">
        <v>1305</v>
      </c>
      <c r="B1100" s="46" t="n">
        <v>46221</v>
      </c>
      <c r="C1100" s="45" t="s">
        <v>143</v>
      </c>
      <c r="D1100" s="45" t="s">
        <v>144</v>
      </c>
      <c r="E1100" s="45" t="s">
        <v>232</v>
      </c>
      <c r="F1100" s="45" t="s">
        <v>2347</v>
      </c>
      <c r="G1100" s="46" t="n">
        <v>46219</v>
      </c>
      <c r="H1100" s="45" t="s">
        <v>167</v>
      </c>
      <c r="I1100" s="45" t="s">
        <v>175</v>
      </c>
      <c r="J1100" s="45" t="s">
        <v>2348</v>
      </c>
      <c r="K1100" s="45" t="n">
        <v>4.8</v>
      </c>
      <c r="L1100" s="45" t="s">
        <v>263</v>
      </c>
      <c r="M1100" s="45" t="s">
        <v>259</v>
      </c>
      <c r="N1100" s="45" t="s">
        <v>167</v>
      </c>
      <c r="O1100" s="47" t="n">
        <v>46221.162349537</v>
      </c>
      <c r="P1100" s="47" t="n">
        <v>46221.1656481482</v>
      </c>
    </row>
    <row r="1101" customFormat="false" ht="15" hidden="false" customHeight="false" outlineLevel="0" collapsed="false">
      <c r="A1101" s="45" t="n">
        <v>1306</v>
      </c>
      <c r="B1101" s="46" t="n">
        <v>46221</v>
      </c>
      <c r="C1101" s="45" t="s">
        <v>143</v>
      </c>
      <c r="D1101" s="45" t="s">
        <v>144</v>
      </c>
      <c r="E1101" s="45" t="s">
        <v>1697</v>
      </c>
      <c r="F1101" s="45" t="s">
        <v>2349</v>
      </c>
      <c r="G1101" s="46" t="n">
        <v>46219</v>
      </c>
      <c r="H1101" s="45" t="s">
        <v>167</v>
      </c>
      <c r="I1101" s="45" t="s">
        <v>175</v>
      </c>
      <c r="J1101" s="45" t="s">
        <v>2350</v>
      </c>
      <c r="K1101" s="45" t="n">
        <v>9.3</v>
      </c>
      <c r="L1101" s="45" t="s">
        <v>263</v>
      </c>
      <c r="M1101" s="45" t="s">
        <v>259</v>
      </c>
      <c r="N1101" s="45" t="s">
        <v>167</v>
      </c>
      <c r="O1101" s="47" t="n">
        <v>46221.1656828704</v>
      </c>
      <c r="P1101" s="47" t="n">
        <v>46221.1721296296</v>
      </c>
    </row>
    <row r="1102" customFormat="false" ht="15" hidden="false" customHeight="false" outlineLevel="0" collapsed="false">
      <c r="A1102" s="45" t="n">
        <v>1332</v>
      </c>
      <c r="B1102" s="46" t="n">
        <v>46221</v>
      </c>
      <c r="C1102" s="45" t="s">
        <v>143</v>
      </c>
      <c r="D1102" s="45" t="s">
        <v>144</v>
      </c>
      <c r="E1102" s="45" t="s">
        <v>2351</v>
      </c>
      <c r="F1102" s="45" t="s">
        <v>2352</v>
      </c>
      <c r="G1102" s="46" t="n">
        <v>46220</v>
      </c>
      <c r="H1102" s="45" t="s">
        <v>167</v>
      </c>
      <c r="I1102" s="45" t="s">
        <v>175</v>
      </c>
      <c r="J1102" s="45" t="s">
        <v>2353</v>
      </c>
      <c r="K1102" s="45" t="n">
        <v>4185.4</v>
      </c>
      <c r="L1102" s="45" t="s">
        <v>263</v>
      </c>
      <c r="M1102" s="45" t="s">
        <v>263</v>
      </c>
      <c r="N1102" s="45" t="s">
        <v>167</v>
      </c>
      <c r="O1102" s="47" t="n">
        <v>46221.1721990741</v>
      </c>
      <c r="P1102" s="47" t="n">
        <v>46224.0787615741</v>
      </c>
    </row>
    <row r="1103" customFormat="false" ht="15" hidden="false" customHeight="false" outlineLevel="0" collapsed="false">
      <c r="A1103" s="45" t="n">
        <v>1307</v>
      </c>
      <c r="B1103" s="46" t="n">
        <v>46223</v>
      </c>
      <c r="C1103" s="45" t="s">
        <v>141</v>
      </c>
      <c r="D1103" s="45" t="s">
        <v>142</v>
      </c>
      <c r="E1103" s="45" t="s">
        <v>231</v>
      </c>
      <c r="F1103" s="45" t="s">
        <v>2354</v>
      </c>
      <c r="G1103" s="46" t="n">
        <v>46220</v>
      </c>
      <c r="H1103" s="45" t="s">
        <v>167</v>
      </c>
      <c r="I1103" s="45" t="s">
        <v>175</v>
      </c>
      <c r="J1103" s="45" t="s">
        <v>2355</v>
      </c>
      <c r="K1103" s="45" t="n">
        <v>266.5</v>
      </c>
      <c r="L1103" s="45" t="s">
        <v>263</v>
      </c>
      <c r="M1103" s="45" t="s">
        <v>259</v>
      </c>
      <c r="N1103" s="45" t="s">
        <v>167</v>
      </c>
      <c r="O1103" s="47" t="n">
        <v>46223.064375</v>
      </c>
      <c r="P1103" s="47" t="n">
        <v>46223.2494560185</v>
      </c>
    </row>
    <row r="1104" customFormat="false" ht="15" hidden="false" customHeight="false" outlineLevel="0" collapsed="false">
      <c r="A1104" s="45" t="n">
        <v>1308</v>
      </c>
      <c r="B1104" s="46" t="n">
        <v>46223</v>
      </c>
      <c r="C1104" s="45" t="s">
        <v>141</v>
      </c>
      <c r="D1104" s="45" t="s">
        <v>142</v>
      </c>
      <c r="E1104" s="45" t="s">
        <v>2356</v>
      </c>
      <c r="F1104" s="45" t="s">
        <v>2357</v>
      </c>
      <c r="G1104" s="46" t="n">
        <v>46220</v>
      </c>
      <c r="H1104" s="45" t="s">
        <v>167</v>
      </c>
      <c r="I1104" s="45" t="s">
        <v>176</v>
      </c>
      <c r="J1104" s="45" t="s">
        <v>2358</v>
      </c>
      <c r="K1104" s="45" t="n">
        <v>22</v>
      </c>
      <c r="L1104" s="45" t="s">
        <v>263</v>
      </c>
      <c r="M1104" s="45" t="s">
        <v>259</v>
      </c>
      <c r="N1104" s="45" t="s">
        <v>167</v>
      </c>
      <c r="O1104" s="47" t="n">
        <v>46223.2495023148</v>
      </c>
      <c r="P1104" s="47" t="n">
        <v>46223.2647916667</v>
      </c>
    </row>
    <row r="1105" customFormat="false" ht="15" hidden="false" customHeight="false" outlineLevel="0" collapsed="false">
      <c r="A1105" s="45" t="n">
        <v>1309</v>
      </c>
      <c r="B1105" s="46" t="n">
        <v>46223</v>
      </c>
      <c r="C1105" s="45" t="s">
        <v>141</v>
      </c>
      <c r="D1105" s="45" t="s">
        <v>142</v>
      </c>
      <c r="E1105" s="45" t="s">
        <v>2356</v>
      </c>
      <c r="F1105" s="45" t="s">
        <v>2359</v>
      </c>
      <c r="G1105" s="46" t="n">
        <v>46216</v>
      </c>
      <c r="H1105" s="45" t="s">
        <v>167</v>
      </c>
      <c r="I1105" s="45" t="s">
        <v>176</v>
      </c>
      <c r="J1105" s="45" t="s">
        <v>2360</v>
      </c>
      <c r="K1105" s="45" t="n">
        <v>2</v>
      </c>
      <c r="L1105" s="45" t="s">
        <v>263</v>
      </c>
      <c r="M1105" s="45" t="s">
        <v>259</v>
      </c>
      <c r="N1105" s="45" t="s">
        <v>167</v>
      </c>
      <c r="O1105" s="47" t="n">
        <v>46223.2648032407</v>
      </c>
      <c r="P1105" s="47" t="n">
        <v>46223.2662268519</v>
      </c>
    </row>
    <row r="1106" customFormat="false" ht="15" hidden="false" customHeight="false" outlineLevel="0" collapsed="false">
      <c r="A1106" s="45" t="n">
        <v>1310</v>
      </c>
      <c r="B1106" s="46" t="n">
        <v>46223</v>
      </c>
      <c r="C1106" s="45" t="s">
        <v>137</v>
      </c>
      <c r="D1106" s="45" t="s">
        <v>138</v>
      </c>
      <c r="E1106" s="45" t="s">
        <v>1616</v>
      </c>
      <c r="F1106" s="45" t="s">
        <v>2361</v>
      </c>
      <c r="G1106" s="46" t="n">
        <v>46220</v>
      </c>
      <c r="H1106" s="45" t="s">
        <v>167</v>
      </c>
      <c r="I1106" s="45" t="s">
        <v>177</v>
      </c>
      <c r="J1106" s="45" t="s">
        <v>2362</v>
      </c>
      <c r="K1106" s="45" t="n">
        <v>1.9</v>
      </c>
      <c r="L1106" s="45" t="s">
        <v>263</v>
      </c>
      <c r="M1106" s="45" t="s">
        <v>259</v>
      </c>
      <c r="N1106" s="45" t="s">
        <v>167</v>
      </c>
      <c r="O1106" s="47" t="n">
        <v>46223.6455208333</v>
      </c>
      <c r="P1106" s="47" t="n">
        <v>46223.646875</v>
      </c>
    </row>
    <row r="1107" customFormat="false" ht="15" hidden="false" customHeight="false" outlineLevel="0" collapsed="false">
      <c r="A1107" s="45" t="n">
        <v>1311</v>
      </c>
      <c r="B1107" s="46" t="n">
        <v>46223</v>
      </c>
      <c r="C1107" s="45" t="s">
        <v>137</v>
      </c>
      <c r="D1107" s="45" t="s">
        <v>138</v>
      </c>
      <c r="E1107" s="45" t="s">
        <v>496</v>
      </c>
      <c r="F1107" s="45" t="s">
        <v>2363</v>
      </c>
      <c r="G1107" s="46" t="n">
        <v>46217</v>
      </c>
      <c r="H1107" s="45" t="s">
        <v>57</v>
      </c>
      <c r="I1107" s="45" t="s">
        <v>201</v>
      </c>
      <c r="J1107" s="45" t="s">
        <v>445</v>
      </c>
      <c r="K1107" s="45" t="n">
        <v>0.3</v>
      </c>
      <c r="L1107" s="45" t="s">
        <v>263</v>
      </c>
      <c r="M1107" s="45" t="s">
        <v>259</v>
      </c>
      <c r="N1107" s="45" t="s">
        <v>57</v>
      </c>
      <c r="O1107" s="47" t="n">
        <v>46223.6469444444</v>
      </c>
      <c r="P1107" s="47" t="n">
        <v>46223.6471875</v>
      </c>
    </row>
    <row r="1108" customFormat="false" ht="15" hidden="false" customHeight="false" outlineLevel="0" collapsed="false">
      <c r="A1108" s="45" t="n">
        <v>1312</v>
      </c>
      <c r="B1108" s="46" t="n">
        <v>46223</v>
      </c>
      <c r="C1108" s="45" t="s">
        <v>137</v>
      </c>
      <c r="D1108" s="45" t="s">
        <v>138</v>
      </c>
      <c r="E1108" s="45" t="s">
        <v>875</v>
      </c>
      <c r="F1108" s="45" t="s">
        <v>2364</v>
      </c>
      <c r="G1108" s="46" t="n">
        <v>46222</v>
      </c>
      <c r="H1108" s="45" t="s">
        <v>167</v>
      </c>
      <c r="I1108" s="45" t="s">
        <v>175</v>
      </c>
      <c r="J1108" s="45" t="s">
        <v>1260</v>
      </c>
      <c r="K1108" s="45" t="n">
        <v>0.3</v>
      </c>
      <c r="L1108" s="45" t="s">
        <v>263</v>
      </c>
      <c r="M1108" s="45" t="s">
        <v>259</v>
      </c>
      <c r="N1108" s="45" t="s">
        <v>167</v>
      </c>
      <c r="O1108" s="47" t="n">
        <v>46223.6472453704</v>
      </c>
      <c r="P1108" s="47" t="n">
        <v>46223.6474421296</v>
      </c>
    </row>
    <row r="1109" customFormat="false" ht="15" hidden="false" customHeight="false" outlineLevel="0" collapsed="false">
      <c r="A1109" s="45" t="n">
        <v>1313</v>
      </c>
      <c r="B1109" s="46" t="n">
        <v>46223</v>
      </c>
      <c r="C1109" s="45" t="s">
        <v>137</v>
      </c>
      <c r="D1109" s="45" t="s">
        <v>138</v>
      </c>
      <c r="E1109" s="45" t="s">
        <v>875</v>
      </c>
      <c r="F1109" s="45" t="s">
        <v>2365</v>
      </c>
      <c r="G1109" s="46" t="n">
        <v>46219</v>
      </c>
      <c r="H1109" s="45" t="s">
        <v>167</v>
      </c>
      <c r="I1109" s="45" t="s">
        <v>175</v>
      </c>
      <c r="J1109" s="45" t="s">
        <v>1260</v>
      </c>
      <c r="K1109" s="45" t="n">
        <v>0.4</v>
      </c>
      <c r="L1109" s="45" t="s">
        <v>263</v>
      </c>
      <c r="M1109" s="45" t="s">
        <v>259</v>
      </c>
      <c r="N1109" s="45" t="s">
        <v>167</v>
      </c>
      <c r="O1109" s="47" t="n">
        <v>46223.6475</v>
      </c>
      <c r="P1109" s="47" t="n">
        <v>46223.6477546296</v>
      </c>
    </row>
    <row r="1110" customFormat="false" ht="15" hidden="false" customHeight="false" outlineLevel="0" collapsed="false">
      <c r="A1110" s="45" t="n">
        <v>1314</v>
      </c>
      <c r="B1110" s="46" t="n">
        <v>46223</v>
      </c>
      <c r="C1110" s="45" t="s">
        <v>137</v>
      </c>
      <c r="D1110" s="45" t="s">
        <v>138</v>
      </c>
      <c r="E1110" s="45" t="s">
        <v>309</v>
      </c>
      <c r="F1110" s="45" t="s">
        <v>2366</v>
      </c>
      <c r="G1110" s="46" t="n">
        <v>46220</v>
      </c>
      <c r="H1110" s="45" t="s">
        <v>168</v>
      </c>
      <c r="I1110" s="45" t="s">
        <v>192</v>
      </c>
      <c r="J1110" s="45" t="s">
        <v>2367</v>
      </c>
      <c r="K1110" s="45" t="n">
        <v>0.3</v>
      </c>
      <c r="L1110" s="45" t="s">
        <v>263</v>
      </c>
      <c r="M1110" s="45" t="s">
        <v>259</v>
      </c>
      <c r="N1110" s="45" t="s">
        <v>264</v>
      </c>
      <c r="O1110" s="47" t="n">
        <v>46223.6478472222</v>
      </c>
      <c r="P1110" s="47" t="n">
        <v>46223.6480671296</v>
      </c>
    </row>
    <row r="1111" customFormat="false" ht="15" hidden="false" customHeight="false" outlineLevel="0" collapsed="false">
      <c r="A1111" s="45" t="n">
        <v>1315</v>
      </c>
      <c r="B1111" s="46" t="n">
        <v>46223</v>
      </c>
      <c r="C1111" s="45" t="s">
        <v>137</v>
      </c>
      <c r="D1111" s="45" t="s">
        <v>138</v>
      </c>
      <c r="E1111" s="45" t="s">
        <v>235</v>
      </c>
      <c r="F1111" s="45" t="s">
        <v>2368</v>
      </c>
      <c r="G1111" s="46" t="n">
        <v>46222</v>
      </c>
      <c r="H1111" s="45" t="s">
        <v>167</v>
      </c>
      <c r="I1111" s="45" t="s">
        <v>175</v>
      </c>
      <c r="J1111" s="45" t="s">
        <v>2369</v>
      </c>
      <c r="K1111" s="45" t="n">
        <v>0.3</v>
      </c>
      <c r="L1111" s="45" t="s">
        <v>263</v>
      </c>
      <c r="M1111" s="45" t="s">
        <v>259</v>
      </c>
      <c r="N1111" s="45" t="s">
        <v>167</v>
      </c>
      <c r="O1111" s="47" t="n">
        <v>46223.6481365741</v>
      </c>
      <c r="P1111" s="47" t="n">
        <v>46223.6483680556</v>
      </c>
    </row>
    <row r="1112" customFormat="false" ht="15" hidden="false" customHeight="false" outlineLevel="0" collapsed="false">
      <c r="A1112" s="45" t="n">
        <v>1316</v>
      </c>
      <c r="B1112" s="46" t="n">
        <v>46223</v>
      </c>
      <c r="C1112" s="45" t="s">
        <v>137</v>
      </c>
      <c r="D1112" s="45" t="s">
        <v>138</v>
      </c>
      <c r="E1112" s="45" t="s">
        <v>235</v>
      </c>
      <c r="F1112" s="45" t="s">
        <v>2370</v>
      </c>
      <c r="G1112" s="46" t="n">
        <v>46217</v>
      </c>
      <c r="H1112" s="45" t="s">
        <v>167</v>
      </c>
      <c r="I1112" s="45" t="s">
        <v>175</v>
      </c>
      <c r="J1112" s="45" t="s">
        <v>1260</v>
      </c>
      <c r="K1112" s="45" t="n">
        <v>0.3</v>
      </c>
      <c r="L1112" s="45" t="s">
        <v>263</v>
      </c>
      <c r="M1112" s="45" t="s">
        <v>259</v>
      </c>
      <c r="N1112" s="45" t="s">
        <v>167</v>
      </c>
      <c r="O1112" s="47" t="n">
        <v>46223.6484259259</v>
      </c>
      <c r="P1112" s="47" t="n">
        <v>46223.6486574074</v>
      </c>
    </row>
    <row r="1113" customFormat="false" ht="15" hidden="false" customHeight="false" outlineLevel="0" collapsed="false">
      <c r="A1113" s="45" t="n">
        <v>1317</v>
      </c>
      <c r="B1113" s="46" t="n">
        <v>46223</v>
      </c>
      <c r="C1113" s="45" t="s">
        <v>137</v>
      </c>
      <c r="D1113" s="45" t="s">
        <v>138</v>
      </c>
      <c r="E1113" s="45" t="s">
        <v>449</v>
      </c>
      <c r="F1113" s="45" t="s">
        <v>2371</v>
      </c>
      <c r="G1113" s="46" t="n">
        <v>46220</v>
      </c>
      <c r="H1113" s="45" t="s">
        <v>168</v>
      </c>
      <c r="I1113" s="45" t="s">
        <v>191</v>
      </c>
      <c r="J1113" s="45" t="s">
        <v>2372</v>
      </c>
      <c r="K1113" s="45" t="n">
        <v>0.5</v>
      </c>
      <c r="L1113" s="45" t="s">
        <v>263</v>
      </c>
      <c r="M1113" s="45" t="s">
        <v>259</v>
      </c>
      <c r="N1113" s="45" t="s">
        <v>264</v>
      </c>
      <c r="O1113" s="47" t="n">
        <v>46223.6486921296</v>
      </c>
      <c r="P1113" s="47" t="n">
        <v>46223.6490393519</v>
      </c>
    </row>
    <row r="1114" customFormat="false" ht="15" hidden="false" customHeight="false" outlineLevel="0" collapsed="false">
      <c r="A1114" s="45" t="n">
        <v>1318</v>
      </c>
      <c r="B1114" s="46" t="n">
        <v>46223</v>
      </c>
      <c r="C1114" s="45" t="s">
        <v>137</v>
      </c>
      <c r="D1114" s="45" t="s">
        <v>138</v>
      </c>
      <c r="E1114" s="45" t="s">
        <v>229</v>
      </c>
      <c r="F1114" s="45" t="s">
        <v>2373</v>
      </c>
      <c r="G1114" s="46" t="n">
        <v>46218</v>
      </c>
      <c r="H1114" s="45" t="s">
        <v>170</v>
      </c>
      <c r="I1114" s="45" t="s">
        <v>207</v>
      </c>
      <c r="J1114" s="45" t="s">
        <v>445</v>
      </c>
      <c r="K1114" s="45" t="n">
        <v>1.6</v>
      </c>
      <c r="L1114" s="45" t="s">
        <v>263</v>
      </c>
      <c r="M1114" s="45" t="s">
        <v>259</v>
      </c>
      <c r="N1114" s="45" t="s">
        <v>478</v>
      </c>
      <c r="O1114" s="47" t="n">
        <v>46223.6490625</v>
      </c>
      <c r="P1114" s="47" t="n">
        <v>46223.6501851852</v>
      </c>
    </row>
    <row r="1115" customFormat="false" ht="15" hidden="false" customHeight="false" outlineLevel="0" collapsed="false">
      <c r="A1115" s="45" t="n">
        <v>1319</v>
      </c>
      <c r="B1115" s="46" t="n">
        <v>46223</v>
      </c>
      <c r="C1115" s="45" t="s">
        <v>137</v>
      </c>
      <c r="D1115" s="45" t="s">
        <v>138</v>
      </c>
      <c r="E1115" s="45" t="s">
        <v>229</v>
      </c>
      <c r="F1115" s="45" t="s">
        <v>2374</v>
      </c>
      <c r="G1115" s="46" t="n">
        <v>46220</v>
      </c>
      <c r="H1115" s="45" t="s">
        <v>167</v>
      </c>
      <c r="I1115" s="45" t="s">
        <v>176</v>
      </c>
      <c r="J1115" s="45" t="s">
        <v>2375</v>
      </c>
      <c r="K1115" s="45" t="n">
        <v>0.4</v>
      </c>
      <c r="L1115" s="45" t="s">
        <v>263</v>
      </c>
      <c r="M1115" s="45" t="s">
        <v>259</v>
      </c>
      <c r="N1115" s="45" t="s">
        <v>167</v>
      </c>
      <c r="O1115" s="47" t="n">
        <v>46223.6502199074</v>
      </c>
      <c r="P1115" s="47" t="n">
        <v>46223.6505092593</v>
      </c>
    </row>
    <row r="1116" customFormat="false" ht="15" hidden="false" customHeight="false" outlineLevel="0" collapsed="false">
      <c r="A1116" s="45" t="n">
        <v>1320</v>
      </c>
      <c r="B1116" s="46" t="n">
        <v>46223</v>
      </c>
      <c r="C1116" s="45" t="s">
        <v>137</v>
      </c>
      <c r="D1116" s="45" t="s">
        <v>138</v>
      </c>
      <c r="E1116" s="45" t="s">
        <v>1688</v>
      </c>
      <c r="F1116" s="45" t="s">
        <v>2376</v>
      </c>
      <c r="G1116" s="46" t="n">
        <v>46220</v>
      </c>
      <c r="H1116" s="45" t="s">
        <v>167</v>
      </c>
      <c r="I1116" s="45" t="s">
        <v>175</v>
      </c>
      <c r="J1116" s="45" t="s">
        <v>1242</v>
      </c>
      <c r="K1116" s="45" t="n">
        <v>0.4</v>
      </c>
      <c r="L1116" s="45" t="s">
        <v>263</v>
      </c>
      <c r="M1116" s="45" t="s">
        <v>259</v>
      </c>
      <c r="N1116" s="45" t="s">
        <v>167</v>
      </c>
      <c r="O1116" s="47" t="n">
        <v>46223.6505324074</v>
      </c>
      <c r="P1116" s="47" t="n">
        <v>46223.6508101852</v>
      </c>
    </row>
    <row r="1117" customFormat="false" ht="15" hidden="false" customHeight="false" outlineLevel="0" collapsed="false">
      <c r="A1117" s="45" t="n">
        <v>1321</v>
      </c>
      <c r="B1117" s="46" t="n">
        <v>46223</v>
      </c>
      <c r="C1117" s="45" t="s">
        <v>137</v>
      </c>
      <c r="D1117" s="45" t="s">
        <v>138</v>
      </c>
      <c r="E1117" s="45" t="s">
        <v>1616</v>
      </c>
      <c r="F1117" s="45" t="s">
        <v>2377</v>
      </c>
      <c r="G1117" s="46" t="n">
        <v>46219</v>
      </c>
      <c r="H1117" s="45" t="s">
        <v>167</v>
      </c>
      <c r="I1117" s="45" t="s">
        <v>175</v>
      </c>
      <c r="J1117" s="45" t="s">
        <v>1242</v>
      </c>
      <c r="K1117" s="45" t="n">
        <v>0.4</v>
      </c>
      <c r="L1117" s="45" t="s">
        <v>263</v>
      </c>
      <c r="M1117" s="45" t="s">
        <v>259</v>
      </c>
      <c r="N1117" s="45" t="s">
        <v>167</v>
      </c>
      <c r="O1117" s="47" t="n">
        <v>46223.6508796296</v>
      </c>
      <c r="P1117" s="47" t="n">
        <v>46223.6511574074</v>
      </c>
    </row>
    <row r="1118" customFormat="false" ht="15" hidden="false" customHeight="false" outlineLevel="0" collapsed="false">
      <c r="A1118" s="45" t="n">
        <v>1322</v>
      </c>
      <c r="B1118" s="46" t="n">
        <v>46223</v>
      </c>
      <c r="C1118" s="45" t="s">
        <v>137</v>
      </c>
      <c r="D1118" s="45" t="s">
        <v>138</v>
      </c>
      <c r="E1118" s="45" t="s">
        <v>1616</v>
      </c>
      <c r="F1118" s="45" t="s">
        <v>2378</v>
      </c>
      <c r="G1118" s="46" t="n">
        <v>46219</v>
      </c>
      <c r="H1118" s="45" t="s">
        <v>167</v>
      </c>
      <c r="I1118" s="45" t="s">
        <v>175</v>
      </c>
      <c r="J1118" s="45" t="s">
        <v>1242</v>
      </c>
      <c r="K1118" s="45" t="n">
        <v>0.4</v>
      </c>
      <c r="L1118" s="45" t="s">
        <v>263</v>
      </c>
      <c r="M1118" s="45" t="s">
        <v>259</v>
      </c>
      <c r="N1118" s="45" t="s">
        <v>167</v>
      </c>
      <c r="O1118" s="47" t="n">
        <v>46223.6511689815</v>
      </c>
      <c r="P1118" s="47" t="n">
        <v>46223.6514699074</v>
      </c>
    </row>
    <row r="1119" customFormat="false" ht="15" hidden="false" customHeight="false" outlineLevel="0" collapsed="false">
      <c r="A1119" s="45" t="n">
        <v>1323</v>
      </c>
      <c r="B1119" s="46" t="n">
        <v>46223</v>
      </c>
      <c r="C1119" s="45" t="s">
        <v>137</v>
      </c>
      <c r="D1119" s="45" t="s">
        <v>138</v>
      </c>
      <c r="E1119" s="45" t="s">
        <v>1732</v>
      </c>
      <c r="F1119" s="45" t="s">
        <v>2379</v>
      </c>
      <c r="G1119" s="46" t="n">
        <v>46220</v>
      </c>
      <c r="H1119" s="45" t="s">
        <v>168</v>
      </c>
      <c r="I1119" s="45" t="s">
        <v>195</v>
      </c>
      <c r="J1119" s="45" t="s">
        <v>2380</v>
      </c>
      <c r="K1119" s="45" t="n">
        <v>0.5</v>
      </c>
      <c r="L1119" s="45" t="s">
        <v>263</v>
      </c>
      <c r="M1119" s="45" t="s">
        <v>259</v>
      </c>
      <c r="N1119" s="45" t="s">
        <v>264</v>
      </c>
      <c r="O1119" s="47" t="n">
        <v>46223.6515509259</v>
      </c>
      <c r="P1119" s="47" t="n">
        <v>46223.6518634259</v>
      </c>
    </row>
    <row r="1120" customFormat="false" ht="15" hidden="false" customHeight="false" outlineLevel="0" collapsed="false">
      <c r="A1120" s="45" t="n">
        <v>1324</v>
      </c>
      <c r="B1120" s="46" t="n">
        <v>46223</v>
      </c>
      <c r="C1120" s="45" t="s">
        <v>137</v>
      </c>
      <c r="D1120" s="45" t="s">
        <v>138</v>
      </c>
      <c r="E1120" s="45" t="s">
        <v>219</v>
      </c>
      <c r="F1120" s="45" t="s">
        <v>2381</v>
      </c>
      <c r="G1120" s="46" t="n">
        <v>46216</v>
      </c>
      <c r="H1120" s="45" t="s">
        <v>167</v>
      </c>
      <c r="I1120" s="45" t="s">
        <v>175</v>
      </c>
      <c r="J1120" s="45" t="s">
        <v>2382</v>
      </c>
      <c r="K1120" s="45" t="n">
        <v>0.3</v>
      </c>
      <c r="L1120" s="45" t="s">
        <v>263</v>
      </c>
      <c r="M1120" s="45" t="s">
        <v>259</v>
      </c>
      <c r="N1120" s="45" t="s">
        <v>167</v>
      </c>
      <c r="O1120" s="47" t="n">
        <v>46223.6519328704</v>
      </c>
      <c r="P1120" s="47" t="n">
        <v>46223.6521296296</v>
      </c>
    </row>
    <row r="1121" customFormat="false" ht="15" hidden="false" customHeight="false" outlineLevel="0" collapsed="false">
      <c r="A1121" s="45" t="n">
        <v>1325</v>
      </c>
      <c r="B1121" s="46" t="n">
        <v>46223</v>
      </c>
      <c r="C1121" s="45" t="s">
        <v>137</v>
      </c>
      <c r="D1121" s="45" t="s">
        <v>138</v>
      </c>
      <c r="E1121" s="45" t="s">
        <v>1688</v>
      </c>
      <c r="F1121" s="45" t="s">
        <v>2383</v>
      </c>
      <c r="G1121" s="46" t="n">
        <v>46219</v>
      </c>
      <c r="H1121" s="45" t="s">
        <v>167</v>
      </c>
      <c r="I1121" s="45" t="s">
        <v>175</v>
      </c>
      <c r="J1121" s="45" t="s">
        <v>2384</v>
      </c>
      <c r="K1121" s="45" t="n">
        <v>0.3</v>
      </c>
      <c r="L1121" s="45" t="s">
        <v>263</v>
      </c>
      <c r="M1121" s="45" t="s">
        <v>259</v>
      </c>
      <c r="N1121" s="45" t="s">
        <v>167</v>
      </c>
      <c r="O1121" s="47" t="n">
        <v>46223.6521759259</v>
      </c>
      <c r="P1121" s="47" t="n">
        <v>46223.6524074074</v>
      </c>
    </row>
    <row r="1122" customFormat="false" ht="15" hidden="false" customHeight="false" outlineLevel="0" collapsed="false">
      <c r="A1122" s="45" t="n">
        <v>1326</v>
      </c>
      <c r="B1122" s="46" t="n">
        <v>46223</v>
      </c>
      <c r="C1122" s="45" t="s">
        <v>137</v>
      </c>
      <c r="D1122" s="45" t="s">
        <v>138</v>
      </c>
      <c r="E1122" s="45" t="s">
        <v>1688</v>
      </c>
      <c r="F1122" s="45" t="s">
        <v>2385</v>
      </c>
      <c r="G1122" s="46" t="n">
        <v>46205</v>
      </c>
      <c r="H1122" s="45" t="s">
        <v>167</v>
      </c>
      <c r="I1122" s="45" t="s">
        <v>175</v>
      </c>
      <c r="J1122" s="45" t="s">
        <v>1242</v>
      </c>
      <c r="K1122" s="45" t="n">
        <v>0.2</v>
      </c>
      <c r="L1122" s="45" t="s">
        <v>263</v>
      </c>
      <c r="M1122" s="45" t="s">
        <v>259</v>
      </c>
      <c r="N1122" s="45" t="s">
        <v>167</v>
      </c>
      <c r="O1122" s="47" t="n">
        <v>46223.6524305556</v>
      </c>
      <c r="P1122" s="47" t="n">
        <v>46223.6526041667</v>
      </c>
    </row>
    <row r="1123" customFormat="false" ht="15" hidden="false" customHeight="false" outlineLevel="0" collapsed="false">
      <c r="A1123" s="45" t="n">
        <v>1327</v>
      </c>
      <c r="B1123" s="46" t="n">
        <v>46223</v>
      </c>
      <c r="C1123" s="45" t="s">
        <v>141</v>
      </c>
      <c r="D1123" s="45" t="s">
        <v>142</v>
      </c>
      <c r="E1123" s="45" t="s">
        <v>683</v>
      </c>
      <c r="F1123" s="45" t="s">
        <v>2386</v>
      </c>
      <c r="G1123" s="46" t="n">
        <v>46219</v>
      </c>
      <c r="H1123" s="45" t="s">
        <v>169</v>
      </c>
      <c r="I1123" s="45"/>
      <c r="J1123" s="45"/>
      <c r="K1123" s="45" t="n">
        <v>0.1</v>
      </c>
      <c r="L1123" s="45" t="s">
        <v>263</v>
      </c>
      <c r="M1123" s="45" t="s">
        <v>259</v>
      </c>
      <c r="N1123" s="45" t="s">
        <v>169</v>
      </c>
      <c r="O1123" s="47" t="n">
        <v>46223.8929050926</v>
      </c>
      <c r="P1123" s="47" t="n">
        <v>46223.8930092593</v>
      </c>
    </row>
    <row r="1124" customFormat="false" ht="15" hidden="false" customHeight="false" outlineLevel="0" collapsed="false">
      <c r="A1124" s="45" t="n">
        <v>1328</v>
      </c>
      <c r="B1124" s="46" t="n">
        <v>46223</v>
      </c>
      <c r="C1124" s="45" t="s">
        <v>141</v>
      </c>
      <c r="D1124" s="45" t="s">
        <v>142</v>
      </c>
      <c r="E1124" s="45" t="s">
        <v>1623</v>
      </c>
      <c r="F1124" s="45" t="s">
        <v>2387</v>
      </c>
      <c r="G1124" s="46" t="n">
        <v>46220</v>
      </c>
      <c r="H1124" s="45" t="s">
        <v>167</v>
      </c>
      <c r="I1124" s="45" t="s">
        <v>176</v>
      </c>
      <c r="J1124" s="45" t="s">
        <v>2388</v>
      </c>
      <c r="K1124" s="45" t="n">
        <v>15.7</v>
      </c>
      <c r="L1124" s="45" t="s">
        <v>263</v>
      </c>
      <c r="M1124" s="45" t="s">
        <v>259</v>
      </c>
      <c r="N1124" s="45" t="s">
        <v>167</v>
      </c>
      <c r="O1124" s="47" t="n">
        <v>46223.8930439815</v>
      </c>
      <c r="P1124" s="47" t="n">
        <v>46223.903912037</v>
      </c>
    </row>
    <row r="1125" customFormat="false" ht="15" hidden="false" customHeight="false" outlineLevel="0" collapsed="false">
      <c r="A1125" s="45" t="n">
        <v>1329</v>
      </c>
      <c r="B1125" s="46" t="n">
        <v>46223</v>
      </c>
      <c r="C1125" s="45" t="s">
        <v>141</v>
      </c>
      <c r="D1125" s="45" t="s">
        <v>142</v>
      </c>
      <c r="E1125" s="45" t="s">
        <v>1027</v>
      </c>
      <c r="F1125" s="45" t="s">
        <v>2389</v>
      </c>
      <c r="G1125" s="46" t="n">
        <v>46220</v>
      </c>
      <c r="H1125" s="45" t="s">
        <v>57</v>
      </c>
      <c r="I1125" s="45" t="s">
        <v>203</v>
      </c>
      <c r="J1125" s="45" t="s">
        <v>2390</v>
      </c>
      <c r="K1125" s="45" t="n">
        <v>125.5</v>
      </c>
      <c r="L1125" s="45" t="s">
        <v>263</v>
      </c>
      <c r="M1125" s="45" t="s">
        <v>259</v>
      </c>
      <c r="N1125" s="45" t="s">
        <v>57</v>
      </c>
      <c r="O1125" s="47" t="n">
        <v>46223.9293865741</v>
      </c>
      <c r="P1125" s="47" t="n">
        <v>46224.0165740741</v>
      </c>
    </row>
    <row r="1126" customFormat="false" ht="15" hidden="false" customHeight="false" outlineLevel="0" collapsed="false">
      <c r="A1126" s="45" t="n">
        <v>1330</v>
      </c>
      <c r="B1126" s="46" t="n">
        <v>46223</v>
      </c>
      <c r="C1126" s="45" t="s">
        <v>135</v>
      </c>
      <c r="D1126" s="45" t="s">
        <v>136</v>
      </c>
      <c r="E1126" s="45" t="s">
        <v>236</v>
      </c>
      <c r="F1126" s="45" t="s">
        <v>2391</v>
      </c>
      <c r="G1126" s="46" t="n">
        <v>46223</v>
      </c>
      <c r="H1126" s="45" t="s">
        <v>169</v>
      </c>
      <c r="I1126" s="45"/>
      <c r="J1126" s="45"/>
      <c r="K1126" s="45" t="n">
        <v>24.9</v>
      </c>
      <c r="L1126" s="45" t="s">
        <v>259</v>
      </c>
      <c r="M1126" s="45" t="s">
        <v>259</v>
      </c>
      <c r="N1126" s="45" t="s">
        <v>169</v>
      </c>
      <c r="O1126" s="47" t="n">
        <v>46223.9999884259</v>
      </c>
      <c r="P1126" s="47" t="n">
        <v>46224.0173148148</v>
      </c>
    </row>
    <row r="1127" customFormat="false" ht="15" hidden="false" customHeight="false" outlineLevel="0" collapsed="false">
      <c r="A1127" s="45" t="n">
        <v>1331</v>
      </c>
      <c r="B1127" s="46" t="n">
        <v>46224</v>
      </c>
      <c r="C1127" s="45" t="s">
        <v>141</v>
      </c>
      <c r="D1127" s="45" t="s">
        <v>142</v>
      </c>
      <c r="E1127" s="45" t="s">
        <v>543</v>
      </c>
      <c r="F1127" s="45" t="s">
        <v>2392</v>
      </c>
      <c r="G1127" s="46" t="n">
        <v>46220</v>
      </c>
      <c r="H1127" s="45" t="s">
        <v>169</v>
      </c>
      <c r="I1127" s="45"/>
      <c r="J1127" s="45"/>
      <c r="K1127" s="45" t="n">
        <v>7.7</v>
      </c>
      <c r="L1127" s="45" t="s">
        <v>263</v>
      </c>
      <c r="M1127" s="45" t="s">
        <v>259</v>
      </c>
      <c r="N1127" s="45" t="s">
        <v>169</v>
      </c>
      <c r="O1127" s="47" t="n">
        <v>46224.0169097222</v>
      </c>
      <c r="P1127" s="47" t="n">
        <v>46224.0222685185</v>
      </c>
    </row>
    <row r="1128" customFormat="false" ht="15" hidden="false" customHeight="false" outlineLevel="0" collapsed="false">
      <c r="A1128" s="45" t="n">
        <v>1333</v>
      </c>
      <c r="B1128" s="46" t="n">
        <v>46224</v>
      </c>
      <c r="C1128" s="45" t="s">
        <v>143</v>
      </c>
      <c r="D1128" s="45" t="s">
        <v>144</v>
      </c>
      <c r="E1128" s="45" t="s">
        <v>224</v>
      </c>
      <c r="F1128" s="45" t="s">
        <v>2393</v>
      </c>
      <c r="G1128" s="46" t="n">
        <v>46220</v>
      </c>
      <c r="H1128" s="45" t="s">
        <v>167</v>
      </c>
      <c r="I1128" s="45" t="s">
        <v>175</v>
      </c>
      <c r="J1128" s="45" t="s">
        <v>2394</v>
      </c>
      <c r="K1128" s="45" t="n">
        <v>0.9</v>
      </c>
      <c r="L1128" s="45" t="s">
        <v>263</v>
      </c>
      <c r="M1128" s="45" t="s">
        <v>259</v>
      </c>
      <c r="N1128" s="45" t="s">
        <v>167</v>
      </c>
      <c r="O1128" s="47" t="n">
        <v>46224.2226967593</v>
      </c>
      <c r="P1128" s="47" t="n">
        <v>46224.2233449074</v>
      </c>
    </row>
    <row r="1129" customFormat="false" ht="15" hidden="false" customHeight="false" outlineLevel="0" collapsed="false">
      <c r="A1129" s="45" t="n">
        <v>1334</v>
      </c>
      <c r="B1129" s="46" t="n">
        <v>46224</v>
      </c>
      <c r="C1129" s="45" t="s">
        <v>143</v>
      </c>
      <c r="D1129" s="45" t="s">
        <v>144</v>
      </c>
      <c r="E1129" s="45" t="s">
        <v>220</v>
      </c>
      <c r="F1129" s="45" t="s">
        <v>2395</v>
      </c>
      <c r="G1129" s="46" t="n">
        <v>46220</v>
      </c>
      <c r="H1129" s="45" t="s">
        <v>167</v>
      </c>
      <c r="I1129" s="45" t="s">
        <v>175</v>
      </c>
      <c r="J1129" s="45" t="s">
        <v>2396</v>
      </c>
      <c r="K1129" s="45" t="n">
        <v>15</v>
      </c>
      <c r="L1129" s="45" t="s">
        <v>263</v>
      </c>
      <c r="M1129" s="45" t="s">
        <v>259</v>
      </c>
      <c r="N1129" s="45" t="s">
        <v>167</v>
      </c>
      <c r="O1129" s="47" t="n">
        <v>46224.2234027778</v>
      </c>
      <c r="P1129" s="47" t="n">
        <v>46224.2337962963</v>
      </c>
    </row>
    <row r="1130" customFormat="false" ht="15" hidden="false" customHeight="false" outlineLevel="0" collapsed="false">
      <c r="A1130" s="45" t="n">
        <v>1335</v>
      </c>
      <c r="B1130" s="46" t="n">
        <v>46224</v>
      </c>
      <c r="C1130" s="45" t="s">
        <v>143</v>
      </c>
      <c r="D1130" s="45" t="s">
        <v>144</v>
      </c>
      <c r="E1130" s="45" t="s">
        <v>220</v>
      </c>
      <c r="F1130" s="45" t="s">
        <v>2397</v>
      </c>
      <c r="G1130" s="46" t="n">
        <v>46220</v>
      </c>
      <c r="H1130" s="45" t="s">
        <v>167</v>
      </c>
      <c r="I1130" s="45" t="s">
        <v>175</v>
      </c>
      <c r="J1130" s="45" t="s">
        <v>2398</v>
      </c>
      <c r="K1130" s="45" t="n">
        <v>14</v>
      </c>
      <c r="L1130" s="45" t="s">
        <v>263</v>
      </c>
      <c r="M1130" s="45" t="s">
        <v>259</v>
      </c>
      <c r="N1130" s="45" t="s">
        <v>167</v>
      </c>
      <c r="O1130" s="47" t="n">
        <v>46224.2338888889</v>
      </c>
      <c r="P1130" s="47" t="n">
        <v>46224.243599537</v>
      </c>
    </row>
    <row r="1131" customFormat="false" ht="15" hidden="false" customHeight="false" outlineLevel="0" collapsed="false">
      <c r="A1131" s="45" t="n">
        <v>1336</v>
      </c>
      <c r="B1131" s="46" t="n">
        <v>46224</v>
      </c>
      <c r="C1131" s="45" t="s">
        <v>143</v>
      </c>
      <c r="D1131" s="45" t="s">
        <v>144</v>
      </c>
      <c r="E1131" s="45" t="s">
        <v>223</v>
      </c>
      <c r="F1131" s="45" t="s">
        <v>2399</v>
      </c>
      <c r="G1131" s="46" t="n">
        <v>46220</v>
      </c>
      <c r="H1131" s="45" t="s">
        <v>167</v>
      </c>
      <c r="I1131" s="45" t="s">
        <v>175</v>
      </c>
      <c r="J1131" s="45" t="s">
        <v>2400</v>
      </c>
      <c r="K1131" s="45" t="n">
        <v>40.3</v>
      </c>
      <c r="L1131" s="45" t="s">
        <v>263</v>
      </c>
      <c r="M1131" s="45" t="s">
        <v>259</v>
      </c>
      <c r="N1131" s="45" t="s">
        <v>167</v>
      </c>
      <c r="O1131" s="47" t="n">
        <v>46224.2442361111</v>
      </c>
      <c r="P1131" s="47" t="n">
        <v>46224.2722222222</v>
      </c>
    </row>
    <row r="1132" customFormat="false" ht="15" hidden="false" customHeight="false" outlineLevel="0" collapsed="false">
      <c r="A1132" s="45" t="n">
        <v>1337</v>
      </c>
      <c r="B1132" s="46" t="n">
        <v>46224</v>
      </c>
      <c r="C1132" s="45" t="s">
        <v>143</v>
      </c>
      <c r="D1132" s="45" t="s">
        <v>144</v>
      </c>
      <c r="E1132" s="45" t="s">
        <v>230</v>
      </c>
      <c r="F1132" s="45" t="s">
        <v>2401</v>
      </c>
      <c r="G1132" s="46" t="n">
        <v>46220</v>
      </c>
      <c r="H1132" s="45" t="s">
        <v>167</v>
      </c>
      <c r="I1132" s="45" t="s">
        <v>175</v>
      </c>
      <c r="J1132" s="45" t="s">
        <v>2402</v>
      </c>
      <c r="K1132" s="45" t="n">
        <v>6.3</v>
      </c>
      <c r="L1132" s="45" t="s">
        <v>263</v>
      </c>
      <c r="M1132" s="45" t="s">
        <v>259</v>
      </c>
      <c r="N1132" s="45" t="s">
        <v>167</v>
      </c>
      <c r="O1132" s="47" t="n">
        <v>46224.2722453704</v>
      </c>
      <c r="P1132" s="47" t="n">
        <v>46224.2766203704</v>
      </c>
    </row>
    <row r="1133" customFormat="false" ht="15" hidden="false" customHeight="false" outlineLevel="0" collapsed="false">
      <c r="A1133" s="45" t="n">
        <v>1338</v>
      </c>
      <c r="B1133" s="46" t="n">
        <v>46224</v>
      </c>
      <c r="C1133" s="45" t="s">
        <v>143</v>
      </c>
      <c r="D1133" s="45" t="s">
        <v>144</v>
      </c>
      <c r="E1133" s="45" t="s">
        <v>224</v>
      </c>
      <c r="F1133" s="45" t="s">
        <v>2403</v>
      </c>
      <c r="G1133" s="46" t="n">
        <v>46220</v>
      </c>
      <c r="H1133" s="45" t="s">
        <v>167</v>
      </c>
      <c r="I1133" s="45" t="s">
        <v>175</v>
      </c>
      <c r="J1133" s="45" t="s">
        <v>2404</v>
      </c>
      <c r="K1133" s="45" t="n">
        <v>2.5</v>
      </c>
      <c r="L1133" s="45" t="s">
        <v>263</v>
      </c>
      <c r="M1133" s="45" t="s">
        <v>259</v>
      </c>
      <c r="N1133" s="45" t="s">
        <v>167</v>
      </c>
      <c r="O1133" s="47" t="n">
        <v>46224.2766550926</v>
      </c>
      <c r="P1133" s="47" t="n">
        <v>46224.2784143519</v>
      </c>
    </row>
    <row r="1134" customFormat="false" ht="15" hidden="false" customHeight="false" outlineLevel="0" collapsed="false">
      <c r="A1134" s="45" t="n">
        <v>1339</v>
      </c>
      <c r="B1134" s="46" t="n">
        <v>46224</v>
      </c>
      <c r="C1134" s="45" t="s">
        <v>143</v>
      </c>
      <c r="D1134" s="45" t="s">
        <v>144</v>
      </c>
      <c r="E1134" s="45" t="s">
        <v>1613</v>
      </c>
      <c r="F1134" s="45" t="s">
        <v>2405</v>
      </c>
      <c r="G1134" s="46" t="n">
        <v>46220</v>
      </c>
      <c r="H1134" s="45" t="s">
        <v>167</v>
      </c>
      <c r="I1134" s="45" t="s">
        <v>175</v>
      </c>
      <c r="J1134" s="45" t="s">
        <v>2406</v>
      </c>
      <c r="K1134" s="45" t="n">
        <v>13.9</v>
      </c>
      <c r="L1134" s="45" t="s">
        <v>263</v>
      </c>
      <c r="M1134" s="45" t="s">
        <v>259</v>
      </c>
      <c r="N1134" s="45" t="s">
        <v>167</v>
      </c>
      <c r="O1134" s="47" t="n">
        <v>46224.2784722222</v>
      </c>
      <c r="P1134" s="47" t="n">
        <v>46224.2881018519</v>
      </c>
    </row>
    <row r="1135" customFormat="false" ht="15" hidden="false" customHeight="false" outlineLevel="0" collapsed="false">
      <c r="A1135" s="45" t="n">
        <v>1340</v>
      </c>
      <c r="B1135" s="46" t="n">
        <v>46224</v>
      </c>
      <c r="C1135" s="45" t="s">
        <v>143</v>
      </c>
      <c r="D1135" s="45" t="s">
        <v>144</v>
      </c>
      <c r="E1135" s="45" t="s">
        <v>228</v>
      </c>
      <c r="F1135" s="45" t="s">
        <v>2407</v>
      </c>
      <c r="G1135" s="46" t="n">
        <v>46221</v>
      </c>
      <c r="H1135" s="45" t="s">
        <v>167</v>
      </c>
      <c r="I1135" s="45" t="s">
        <v>175</v>
      </c>
      <c r="J1135" s="45" t="s">
        <v>2408</v>
      </c>
      <c r="K1135" s="45" t="n">
        <v>5</v>
      </c>
      <c r="L1135" s="45" t="s">
        <v>259</v>
      </c>
      <c r="M1135" s="45" t="s">
        <v>259</v>
      </c>
      <c r="N1135" s="45" t="s">
        <v>167</v>
      </c>
      <c r="O1135" s="47" t="n">
        <v>46224.2881365741</v>
      </c>
      <c r="P1135" s="47" t="n">
        <v>46224.2915740741</v>
      </c>
    </row>
    <row r="1136" customFormat="false" ht="15" hidden="false" customHeight="false" outlineLevel="0" collapsed="false">
      <c r="A1136" s="45" t="n">
        <v>1351</v>
      </c>
      <c r="B1136" s="46" t="n">
        <v>46224</v>
      </c>
      <c r="C1136" s="45" t="s">
        <v>143</v>
      </c>
      <c r="D1136" s="45" t="s">
        <v>144</v>
      </c>
      <c r="E1136" s="45" t="s">
        <v>228</v>
      </c>
      <c r="F1136" s="45" t="s">
        <v>2407</v>
      </c>
      <c r="G1136" s="46" t="n">
        <v>46221</v>
      </c>
      <c r="H1136" s="45" t="s">
        <v>167</v>
      </c>
      <c r="I1136" s="45" t="s">
        <v>175</v>
      </c>
      <c r="J1136" s="45" t="s">
        <v>2409</v>
      </c>
      <c r="K1136" s="45" t="n">
        <v>1301.8</v>
      </c>
      <c r="L1136" s="45" t="s">
        <v>259</v>
      </c>
      <c r="M1136" s="45" t="s">
        <v>259</v>
      </c>
      <c r="N1136" s="45" t="s">
        <v>167</v>
      </c>
      <c r="O1136" s="47" t="n">
        <v>46224.2916666667</v>
      </c>
      <c r="P1136" s="47" t="n">
        <v>46225.1956597222</v>
      </c>
    </row>
    <row r="1137" customFormat="false" ht="15" hidden="false" customHeight="false" outlineLevel="0" collapsed="false">
      <c r="A1137" s="45" t="n">
        <v>1341</v>
      </c>
      <c r="B1137" s="46" t="n">
        <v>46224</v>
      </c>
      <c r="C1137" s="45" t="s">
        <v>131</v>
      </c>
      <c r="D1137" s="45" t="s">
        <v>132</v>
      </c>
      <c r="E1137" s="45" t="s">
        <v>222</v>
      </c>
      <c r="F1137" s="45" t="s">
        <v>2410</v>
      </c>
      <c r="G1137" s="46" t="n">
        <v>46222</v>
      </c>
      <c r="H1137" s="45" t="s">
        <v>167</v>
      </c>
      <c r="I1137" s="45" t="s">
        <v>177</v>
      </c>
      <c r="J1137" s="45" t="s">
        <v>2411</v>
      </c>
      <c r="K1137" s="45" t="n">
        <v>2.6</v>
      </c>
      <c r="L1137" s="45" t="s">
        <v>263</v>
      </c>
      <c r="M1137" s="45" t="s">
        <v>259</v>
      </c>
      <c r="N1137" s="45" t="s">
        <v>167</v>
      </c>
      <c r="O1137" s="47" t="n">
        <v>46224.7101041667</v>
      </c>
      <c r="P1137" s="47" t="n">
        <v>46224.7118865741</v>
      </c>
    </row>
    <row r="1138" customFormat="false" ht="15" hidden="false" customHeight="false" outlineLevel="0" collapsed="false">
      <c r="A1138" s="45" t="n">
        <v>1342</v>
      </c>
      <c r="B1138" s="46" t="n">
        <v>46224</v>
      </c>
      <c r="C1138" s="45" t="s">
        <v>131</v>
      </c>
      <c r="D1138" s="45" t="s">
        <v>132</v>
      </c>
      <c r="E1138" s="45" t="s">
        <v>222</v>
      </c>
      <c r="F1138" s="45" t="s">
        <v>2412</v>
      </c>
      <c r="G1138" s="46" t="n">
        <v>46223</v>
      </c>
      <c r="H1138" s="45" t="s">
        <v>167</v>
      </c>
      <c r="I1138" s="45" t="s">
        <v>177</v>
      </c>
      <c r="J1138" s="45" t="s">
        <v>2413</v>
      </c>
      <c r="K1138" s="45" t="n">
        <v>15.8</v>
      </c>
      <c r="L1138" s="45" t="s">
        <v>263</v>
      </c>
      <c r="M1138" s="45" t="s">
        <v>259</v>
      </c>
      <c r="N1138" s="45" t="s">
        <v>167</v>
      </c>
      <c r="O1138" s="47" t="n">
        <v>46224.7136805556</v>
      </c>
      <c r="P1138" s="47" t="n">
        <v>46224.7246527778</v>
      </c>
    </row>
    <row r="1139" customFormat="false" ht="15" hidden="false" customHeight="false" outlineLevel="0" collapsed="false">
      <c r="A1139" s="45" t="n">
        <v>1343</v>
      </c>
      <c r="B1139" s="46" t="n">
        <v>46224</v>
      </c>
      <c r="C1139" s="45" t="s">
        <v>131</v>
      </c>
      <c r="D1139" s="45" t="s">
        <v>132</v>
      </c>
      <c r="E1139" s="45" t="s">
        <v>2226</v>
      </c>
      <c r="F1139" s="45" t="s">
        <v>2414</v>
      </c>
      <c r="G1139" s="46" t="n">
        <v>46220</v>
      </c>
      <c r="H1139" s="45" t="s">
        <v>57</v>
      </c>
      <c r="I1139" s="45" t="s">
        <v>202</v>
      </c>
      <c r="J1139" s="45" t="s">
        <v>2415</v>
      </c>
      <c r="K1139" s="45" t="n">
        <v>6.4</v>
      </c>
      <c r="L1139" s="45" t="s">
        <v>263</v>
      </c>
      <c r="M1139" s="45" t="s">
        <v>259</v>
      </c>
      <c r="N1139" s="45" t="s">
        <v>57</v>
      </c>
      <c r="O1139" s="47" t="n">
        <v>46224.7274305556</v>
      </c>
      <c r="P1139" s="47" t="n">
        <v>46224.7318981482</v>
      </c>
    </row>
    <row r="1140" customFormat="false" ht="15" hidden="false" customHeight="false" outlineLevel="0" collapsed="false">
      <c r="A1140" s="45" t="n">
        <v>1344</v>
      </c>
      <c r="B1140" s="46" t="n">
        <v>46224</v>
      </c>
      <c r="C1140" s="45" t="s">
        <v>131</v>
      </c>
      <c r="D1140" s="45" t="s">
        <v>132</v>
      </c>
      <c r="E1140" s="45" t="s">
        <v>2416</v>
      </c>
      <c r="F1140" s="45" t="s">
        <v>2417</v>
      </c>
      <c r="G1140" s="46" t="n">
        <v>46220</v>
      </c>
      <c r="H1140" s="45" t="s">
        <v>167</v>
      </c>
      <c r="I1140" s="45" t="s">
        <v>175</v>
      </c>
      <c r="J1140" s="45" t="s">
        <v>2418</v>
      </c>
      <c r="K1140" s="45" t="n">
        <v>1.5</v>
      </c>
      <c r="L1140" s="45" t="s">
        <v>263</v>
      </c>
      <c r="M1140" s="45" t="s">
        <v>259</v>
      </c>
      <c r="N1140" s="45" t="s">
        <v>167</v>
      </c>
      <c r="O1140" s="47" t="n">
        <v>46224.7321527778</v>
      </c>
      <c r="P1140" s="47" t="n">
        <v>46224.7331712963</v>
      </c>
    </row>
    <row r="1141" customFormat="false" ht="15" hidden="false" customHeight="false" outlineLevel="0" collapsed="false">
      <c r="A1141" s="45" t="n">
        <v>1345</v>
      </c>
      <c r="B1141" s="46" t="n">
        <v>46224</v>
      </c>
      <c r="C1141" s="45" t="s">
        <v>131</v>
      </c>
      <c r="D1141" s="45" t="s">
        <v>132</v>
      </c>
      <c r="E1141" s="45" t="s">
        <v>2223</v>
      </c>
      <c r="F1141" s="45" t="s">
        <v>2419</v>
      </c>
      <c r="G1141" s="46" t="n">
        <v>46220</v>
      </c>
      <c r="H1141" s="45" t="s">
        <v>168</v>
      </c>
      <c r="I1141" s="45" t="s">
        <v>191</v>
      </c>
      <c r="J1141" s="45" t="s">
        <v>2420</v>
      </c>
      <c r="K1141" s="45" t="n">
        <v>6.7</v>
      </c>
      <c r="L1141" s="45" t="s">
        <v>263</v>
      </c>
      <c r="M1141" s="45" t="s">
        <v>259</v>
      </c>
      <c r="N1141" s="45" t="s">
        <v>264</v>
      </c>
      <c r="O1141" s="47" t="n">
        <v>46224.7386226852</v>
      </c>
      <c r="P1141" s="47" t="n">
        <v>46224.7432523148</v>
      </c>
    </row>
    <row r="1142" customFormat="false" ht="15" hidden="false" customHeight="false" outlineLevel="0" collapsed="false">
      <c r="A1142" s="45" t="n">
        <v>1346</v>
      </c>
      <c r="B1142" s="46" t="n">
        <v>46225</v>
      </c>
      <c r="C1142" s="45" t="s">
        <v>135</v>
      </c>
      <c r="D1142" s="45" t="s">
        <v>136</v>
      </c>
      <c r="E1142" s="45" t="s">
        <v>239</v>
      </c>
      <c r="F1142" s="45" t="s">
        <v>2421</v>
      </c>
      <c r="G1142" s="46" t="n">
        <v>46223</v>
      </c>
      <c r="H1142" s="45" t="s">
        <v>168</v>
      </c>
      <c r="I1142" s="45" t="s">
        <v>191</v>
      </c>
      <c r="J1142" s="45" t="s">
        <v>2422</v>
      </c>
      <c r="K1142" s="45" t="n">
        <v>0.9</v>
      </c>
      <c r="L1142" s="45" t="s">
        <v>263</v>
      </c>
      <c r="M1142" s="45" t="s">
        <v>259</v>
      </c>
      <c r="N1142" s="45" t="s">
        <v>264</v>
      </c>
      <c r="O1142" s="47" t="n">
        <v>46225.0649305556</v>
      </c>
      <c r="P1142" s="47" t="n">
        <v>46225.0655555556</v>
      </c>
    </row>
    <row r="1143" customFormat="false" ht="15" hidden="false" customHeight="false" outlineLevel="0" collapsed="false">
      <c r="A1143" s="45" t="n">
        <v>1347</v>
      </c>
      <c r="B1143" s="46" t="n">
        <v>46225</v>
      </c>
      <c r="C1143" s="45" t="s">
        <v>135</v>
      </c>
      <c r="D1143" s="45" t="s">
        <v>136</v>
      </c>
      <c r="E1143" s="45" t="s">
        <v>226</v>
      </c>
      <c r="F1143" s="45" t="s">
        <v>2423</v>
      </c>
      <c r="G1143" s="46" t="n">
        <v>46223</v>
      </c>
      <c r="H1143" s="45" t="s">
        <v>168</v>
      </c>
      <c r="I1143" s="45" t="s">
        <v>191</v>
      </c>
      <c r="J1143" s="45" t="s">
        <v>2424</v>
      </c>
      <c r="K1143" s="45" t="n">
        <v>8.3</v>
      </c>
      <c r="L1143" s="45" t="s">
        <v>263</v>
      </c>
      <c r="M1143" s="45" t="s">
        <v>259</v>
      </c>
      <c r="N1143" s="45" t="s">
        <v>264</v>
      </c>
      <c r="O1143" s="47" t="n">
        <v>46225.0656018519</v>
      </c>
      <c r="P1143" s="47" t="n">
        <v>46225.0713541667</v>
      </c>
    </row>
    <row r="1144" customFormat="false" ht="15" hidden="false" customHeight="false" outlineLevel="0" collapsed="false">
      <c r="A1144" s="45" t="n">
        <v>1348</v>
      </c>
      <c r="B1144" s="46" t="n">
        <v>46225</v>
      </c>
      <c r="C1144" s="45" t="s">
        <v>135</v>
      </c>
      <c r="D1144" s="45" t="s">
        <v>136</v>
      </c>
      <c r="E1144" s="45" t="s">
        <v>238</v>
      </c>
      <c r="F1144" s="45" t="s">
        <v>2425</v>
      </c>
      <c r="G1144" s="46" t="n">
        <v>46223</v>
      </c>
      <c r="H1144" s="45" t="s">
        <v>167</v>
      </c>
      <c r="I1144" s="45" t="s">
        <v>175</v>
      </c>
      <c r="J1144" s="45" t="s">
        <v>2426</v>
      </c>
      <c r="K1144" s="45" t="n">
        <v>6.1</v>
      </c>
      <c r="L1144" s="45" t="s">
        <v>263</v>
      </c>
      <c r="M1144" s="45" t="s">
        <v>259</v>
      </c>
      <c r="N1144" s="45" t="s">
        <v>167</v>
      </c>
      <c r="O1144" s="47" t="n">
        <v>46225.0775925926</v>
      </c>
      <c r="P1144" s="47" t="n">
        <v>46225.0818402778</v>
      </c>
    </row>
    <row r="1145" customFormat="false" ht="15" hidden="false" customHeight="false" outlineLevel="0" collapsed="false">
      <c r="A1145" s="45" t="n">
        <v>1349</v>
      </c>
      <c r="B1145" s="46" t="n">
        <v>46225</v>
      </c>
      <c r="C1145" s="45" t="s">
        <v>135</v>
      </c>
      <c r="D1145" s="45" t="s">
        <v>136</v>
      </c>
      <c r="E1145" s="45" t="s">
        <v>236</v>
      </c>
      <c r="F1145" s="45" t="s">
        <v>2391</v>
      </c>
      <c r="G1145" s="46" t="n">
        <v>46224</v>
      </c>
      <c r="H1145" s="45" t="s">
        <v>168</v>
      </c>
      <c r="I1145" s="45" t="s">
        <v>192</v>
      </c>
      <c r="J1145" s="45" t="s">
        <v>2427</v>
      </c>
      <c r="K1145" s="45" t="n">
        <v>7.2</v>
      </c>
      <c r="L1145" s="45" t="s">
        <v>259</v>
      </c>
      <c r="M1145" s="45" t="s">
        <v>259</v>
      </c>
      <c r="N1145" s="45" t="s">
        <v>264</v>
      </c>
      <c r="O1145" s="47" t="n">
        <v>46225.0819097222</v>
      </c>
      <c r="P1145" s="47" t="n">
        <v>46225.0869444445</v>
      </c>
    </row>
    <row r="1146" customFormat="false" ht="15" hidden="false" customHeight="false" outlineLevel="0" collapsed="false">
      <c r="A1146" s="45" t="n">
        <v>1350</v>
      </c>
      <c r="B1146" s="46" t="n">
        <v>46225</v>
      </c>
      <c r="C1146" s="45" t="s">
        <v>141</v>
      </c>
      <c r="D1146" s="45" t="s">
        <v>142</v>
      </c>
      <c r="E1146" s="45" t="s">
        <v>2282</v>
      </c>
      <c r="F1146" s="45" t="s">
        <v>2428</v>
      </c>
      <c r="G1146" s="46" t="n">
        <v>46222</v>
      </c>
      <c r="H1146" s="45" t="s">
        <v>167</v>
      </c>
      <c r="I1146" s="45" t="s">
        <v>175</v>
      </c>
      <c r="J1146" s="45" t="s">
        <v>2429</v>
      </c>
      <c r="K1146" s="45" t="n">
        <v>0.8</v>
      </c>
      <c r="L1146" s="45" t="s">
        <v>263</v>
      </c>
      <c r="M1146" s="45" t="s">
        <v>259</v>
      </c>
      <c r="N1146" s="45" t="s">
        <v>167</v>
      </c>
      <c r="O1146" s="47" t="n">
        <v>46225.1652314815</v>
      </c>
      <c r="P1146" s="47" t="n">
        <v>46225.1657638889</v>
      </c>
    </row>
    <row r="1147" customFormat="false" ht="15" hidden="false" customHeight="false" outlineLevel="0" collapsed="false">
      <c r="A1147" s="45" t="n">
        <v>1352</v>
      </c>
      <c r="B1147" s="46" t="n">
        <v>46225</v>
      </c>
      <c r="C1147" s="45" t="s">
        <v>143</v>
      </c>
      <c r="D1147" s="45" t="s">
        <v>144</v>
      </c>
      <c r="E1147" s="45" t="s">
        <v>220</v>
      </c>
      <c r="F1147" s="45" t="s">
        <v>2430</v>
      </c>
      <c r="G1147" s="46" t="n">
        <v>46222</v>
      </c>
      <c r="H1147" s="45" t="s">
        <v>167</v>
      </c>
      <c r="I1147" s="45" t="s">
        <v>175</v>
      </c>
      <c r="J1147" s="45" t="s">
        <v>2431</v>
      </c>
      <c r="K1147" s="45" t="n">
        <v>36.6</v>
      </c>
      <c r="L1147" s="45" t="s">
        <v>263</v>
      </c>
      <c r="M1147" s="45" t="s">
        <v>259</v>
      </c>
      <c r="N1147" s="45" t="s">
        <v>167</v>
      </c>
      <c r="O1147" s="47" t="n">
        <v>46225.1957638889</v>
      </c>
      <c r="P1147" s="47" t="n">
        <v>46225.2212037037</v>
      </c>
    </row>
    <row r="1148" customFormat="false" ht="15" hidden="false" customHeight="false" outlineLevel="0" collapsed="false">
      <c r="A1148" s="45" t="n">
        <v>1353</v>
      </c>
      <c r="B1148" s="46" t="n">
        <v>46225</v>
      </c>
      <c r="C1148" s="45" t="s">
        <v>143</v>
      </c>
      <c r="D1148" s="45" t="s">
        <v>144</v>
      </c>
      <c r="E1148" s="45" t="s">
        <v>225</v>
      </c>
      <c r="F1148" s="45" t="s">
        <v>2432</v>
      </c>
      <c r="G1148" s="46" t="n">
        <v>46222</v>
      </c>
      <c r="H1148" s="45" t="s">
        <v>167</v>
      </c>
      <c r="I1148" s="45" t="s">
        <v>175</v>
      </c>
      <c r="J1148" s="45" t="s">
        <v>2433</v>
      </c>
      <c r="K1148" s="45" t="n">
        <v>12.7</v>
      </c>
      <c r="L1148" s="45" t="s">
        <v>263</v>
      </c>
      <c r="M1148" s="45" t="s">
        <v>259</v>
      </c>
      <c r="N1148" s="45" t="s">
        <v>167</v>
      </c>
      <c r="O1148" s="47" t="n">
        <v>46225.2212384259</v>
      </c>
      <c r="P1148" s="47" t="n">
        <v>46225.2300694444</v>
      </c>
    </row>
    <row r="1149" customFormat="false" ht="15" hidden="false" customHeight="false" outlineLevel="0" collapsed="false">
      <c r="A1149" s="45" t="n">
        <v>1354</v>
      </c>
      <c r="B1149" s="46" t="n">
        <v>46225</v>
      </c>
      <c r="C1149" s="45" t="s">
        <v>143</v>
      </c>
      <c r="D1149" s="45" t="s">
        <v>144</v>
      </c>
      <c r="E1149" s="45" t="s">
        <v>223</v>
      </c>
      <c r="F1149" s="45" t="s">
        <v>2434</v>
      </c>
      <c r="G1149" s="46" t="n">
        <v>46222</v>
      </c>
      <c r="H1149" s="45" t="s">
        <v>167</v>
      </c>
      <c r="I1149" s="45" t="s">
        <v>175</v>
      </c>
      <c r="J1149" s="45" t="s">
        <v>2435</v>
      </c>
      <c r="K1149" s="45" t="n">
        <v>4</v>
      </c>
      <c r="L1149" s="45" t="s">
        <v>263</v>
      </c>
      <c r="M1149" s="45" t="s">
        <v>259</v>
      </c>
      <c r="N1149" s="45" t="s">
        <v>167</v>
      </c>
      <c r="O1149" s="47" t="n">
        <v>46225.2361458333</v>
      </c>
      <c r="P1149" s="47" t="n">
        <v>46225.2389236111</v>
      </c>
    </row>
    <row r="1150" customFormat="false" ht="15" hidden="false" customHeight="false" outlineLevel="0" collapsed="false">
      <c r="A1150" s="45" t="n">
        <v>1355</v>
      </c>
      <c r="B1150" s="46" t="n">
        <v>46225</v>
      </c>
      <c r="C1150" s="45" t="s">
        <v>143</v>
      </c>
      <c r="D1150" s="45" t="s">
        <v>144</v>
      </c>
      <c r="E1150" s="45" t="s">
        <v>224</v>
      </c>
      <c r="F1150" s="45" t="s">
        <v>2436</v>
      </c>
      <c r="G1150" s="46" t="n">
        <v>46223</v>
      </c>
      <c r="H1150" s="45" t="s">
        <v>167</v>
      </c>
      <c r="I1150" s="45" t="s">
        <v>175</v>
      </c>
      <c r="J1150" s="45" t="s">
        <v>2437</v>
      </c>
      <c r="K1150" s="45" t="n">
        <v>48.3</v>
      </c>
      <c r="L1150" s="45" t="s">
        <v>263</v>
      </c>
      <c r="M1150" s="45" t="s">
        <v>259</v>
      </c>
      <c r="N1150" s="45" t="s">
        <v>167</v>
      </c>
      <c r="O1150" s="47" t="n">
        <v>46225.2389930556</v>
      </c>
      <c r="P1150" s="47" t="n">
        <v>46225.2725347222</v>
      </c>
    </row>
    <row r="1151" customFormat="false" ht="15" hidden="false" customHeight="false" outlineLevel="0" collapsed="false">
      <c r="A1151" s="45" t="n">
        <v>1356</v>
      </c>
      <c r="B1151" s="46" t="n">
        <v>46225</v>
      </c>
      <c r="C1151" s="45" t="s">
        <v>143</v>
      </c>
      <c r="D1151" s="45" t="s">
        <v>144</v>
      </c>
      <c r="E1151" s="45" t="s">
        <v>223</v>
      </c>
      <c r="F1151" s="45" t="s">
        <v>2438</v>
      </c>
      <c r="G1151" s="46" t="n">
        <v>46223</v>
      </c>
      <c r="H1151" s="45" t="s">
        <v>167</v>
      </c>
      <c r="I1151" s="45" t="s">
        <v>175</v>
      </c>
      <c r="J1151" s="45" t="s">
        <v>2439</v>
      </c>
      <c r="K1151" s="45" t="n">
        <v>3.4</v>
      </c>
      <c r="L1151" s="45" t="s">
        <v>263</v>
      </c>
      <c r="M1151" s="45" t="s">
        <v>259</v>
      </c>
      <c r="N1151" s="45" t="s">
        <v>167</v>
      </c>
      <c r="O1151" s="47" t="n">
        <v>46225.2725810185</v>
      </c>
      <c r="P1151" s="47" t="n">
        <v>46225.2749421296</v>
      </c>
    </row>
    <row r="1152" customFormat="false" ht="15" hidden="false" customHeight="false" outlineLevel="0" collapsed="false">
      <c r="A1152" s="45" t="n">
        <v>1357</v>
      </c>
      <c r="B1152" s="46" t="n">
        <v>46225</v>
      </c>
      <c r="C1152" s="45" t="s">
        <v>143</v>
      </c>
      <c r="D1152" s="45" t="s">
        <v>144</v>
      </c>
      <c r="E1152" s="45" t="s">
        <v>223</v>
      </c>
      <c r="F1152" s="45" t="s">
        <v>2440</v>
      </c>
      <c r="G1152" s="46" t="n">
        <v>46223</v>
      </c>
      <c r="H1152" s="45" t="s">
        <v>168</v>
      </c>
      <c r="I1152" s="45" t="s">
        <v>191</v>
      </c>
      <c r="J1152" s="45" t="s">
        <v>2441</v>
      </c>
      <c r="K1152" s="45" t="n">
        <v>4.2</v>
      </c>
      <c r="L1152" s="45" t="s">
        <v>263</v>
      </c>
      <c r="M1152" s="45" t="s">
        <v>259</v>
      </c>
      <c r="N1152" s="45" t="s">
        <v>264</v>
      </c>
      <c r="O1152" s="47" t="n">
        <v>46225.2762615741</v>
      </c>
      <c r="P1152" s="47" t="n">
        <v>46225.2791782407</v>
      </c>
    </row>
    <row r="1153" customFormat="false" ht="15" hidden="false" customHeight="false" outlineLevel="0" collapsed="false">
      <c r="A1153" s="45" t="n">
        <v>1358</v>
      </c>
      <c r="B1153" s="46" t="n">
        <v>46225</v>
      </c>
      <c r="C1153" s="45" t="s">
        <v>143</v>
      </c>
      <c r="D1153" s="45" t="s">
        <v>144</v>
      </c>
      <c r="E1153" s="45" t="s">
        <v>223</v>
      </c>
      <c r="F1153" s="45" t="s">
        <v>2442</v>
      </c>
      <c r="G1153" s="46" t="n">
        <v>46223</v>
      </c>
      <c r="H1153" s="45" t="s">
        <v>167</v>
      </c>
      <c r="I1153" s="45" t="s">
        <v>175</v>
      </c>
      <c r="J1153" s="45" t="s">
        <v>2443</v>
      </c>
      <c r="K1153" s="45" t="n">
        <v>5.4</v>
      </c>
      <c r="L1153" s="45" t="s">
        <v>263</v>
      </c>
      <c r="M1153" s="45" t="s">
        <v>259</v>
      </c>
      <c r="N1153" s="45" t="s">
        <v>167</v>
      </c>
      <c r="O1153" s="47" t="n">
        <v>46225.2792708333</v>
      </c>
      <c r="P1153" s="47" t="n">
        <v>46225.2830208333</v>
      </c>
    </row>
    <row r="1154" customFormat="false" ht="15" hidden="false" customHeight="false" outlineLevel="0" collapsed="false">
      <c r="A1154" s="45" t="n">
        <v>1359</v>
      </c>
      <c r="B1154" s="46" t="n">
        <v>46225</v>
      </c>
      <c r="C1154" s="45" t="s">
        <v>143</v>
      </c>
      <c r="D1154" s="45" t="s">
        <v>144</v>
      </c>
      <c r="E1154" s="45" t="s">
        <v>225</v>
      </c>
      <c r="F1154" s="45" t="s">
        <v>2444</v>
      </c>
      <c r="G1154" s="46" t="n">
        <v>46223</v>
      </c>
      <c r="H1154" s="45" t="s">
        <v>169</v>
      </c>
      <c r="I1154" s="45"/>
      <c r="J1154" s="45"/>
      <c r="K1154" s="45" t="n">
        <v>2.9</v>
      </c>
      <c r="L1154" s="45" t="s">
        <v>263</v>
      </c>
      <c r="M1154" s="45" t="s">
        <v>259</v>
      </c>
      <c r="N1154" s="45" t="s">
        <v>169</v>
      </c>
      <c r="O1154" s="47" t="n">
        <v>46225.2830555556</v>
      </c>
      <c r="P1154" s="47" t="n">
        <v>46225.2850462963</v>
      </c>
    </row>
    <row r="1155" customFormat="false" ht="15" hidden="false" customHeight="false" outlineLevel="0" collapsed="false">
      <c r="A1155" s="45" t="n">
        <v>1360</v>
      </c>
      <c r="B1155" s="46" t="n">
        <v>46225</v>
      </c>
      <c r="C1155" s="45" t="s">
        <v>143</v>
      </c>
      <c r="D1155" s="45" t="s">
        <v>144</v>
      </c>
      <c r="E1155" s="45" t="s">
        <v>228</v>
      </c>
      <c r="F1155" s="45" t="s">
        <v>2445</v>
      </c>
      <c r="G1155" s="46" t="n">
        <v>46223</v>
      </c>
      <c r="H1155" s="45" t="s">
        <v>167</v>
      </c>
      <c r="I1155" s="45" t="s">
        <v>175</v>
      </c>
      <c r="J1155" s="45" t="s">
        <v>2446</v>
      </c>
      <c r="K1155" s="45" t="n">
        <v>9.1</v>
      </c>
      <c r="L1155" s="45" t="s">
        <v>263</v>
      </c>
      <c r="M1155" s="45" t="s">
        <v>259</v>
      </c>
      <c r="N1155" s="45" t="s">
        <v>167</v>
      </c>
      <c r="O1155" s="47" t="n">
        <v>46225.2850694444</v>
      </c>
      <c r="P1155" s="47" t="n">
        <v>46225.291412037</v>
      </c>
    </row>
    <row r="1156" customFormat="false" ht="15" hidden="false" customHeight="false" outlineLevel="0" collapsed="false">
      <c r="A1156" s="45" t="n">
        <v>1361</v>
      </c>
      <c r="B1156" s="46" t="n">
        <v>46225</v>
      </c>
      <c r="C1156" s="45" t="s">
        <v>143</v>
      </c>
      <c r="D1156" s="45" t="s">
        <v>144</v>
      </c>
      <c r="E1156" s="45" t="s">
        <v>225</v>
      </c>
      <c r="F1156" s="45" t="s">
        <v>2447</v>
      </c>
      <c r="G1156" s="46" t="n">
        <v>46223</v>
      </c>
      <c r="H1156" s="45" t="s">
        <v>167</v>
      </c>
      <c r="I1156" s="45" t="s">
        <v>175</v>
      </c>
      <c r="J1156" s="45" t="s">
        <v>2448</v>
      </c>
      <c r="K1156" s="45" t="n">
        <v>3.1</v>
      </c>
      <c r="L1156" s="45" t="s">
        <v>263</v>
      </c>
      <c r="M1156" s="45" t="s">
        <v>259</v>
      </c>
      <c r="N1156" s="45" t="s">
        <v>167</v>
      </c>
      <c r="O1156" s="47" t="n">
        <v>46225.2915740741</v>
      </c>
      <c r="P1156" s="47" t="n">
        <v>46225.2937152778</v>
      </c>
    </row>
    <row r="1157" customFormat="false" ht="15" hidden="false" customHeight="false" outlineLevel="0" collapsed="false">
      <c r="A1157" s="45" t="n">
        <v>1362</v>
      </c>
      <c r="B1157" s="46" t="n">
        <v>46225</v>
      </c>
      <c r="C1157" s="45" t="s">
        <v>143</v>
      </c>
      <c r="D1157" s="45" t="s">
        <v>144</v>
      </c>
      <c r="E1157" s="45" t="s">
        <v>228</v>
      </c>
      <c r="F1157" s="45" t="s">
        <v>2449</v>
      </c>
      <c r="G1157" s="46" t="n">
        <v>46223</v>
      </c>
      <c r="H1157" s="45" t="s">
        <v>169</v>
      </c>
      <c r="I1157" s="45"/>
      <c r="J1157" s="45"/>
      <c r="K1157" s="45" t="n">
        <v>1.7</v>
      </c>
      <c r="L1157" s="45" t="s">
        <v>263</v>
      </c>
      <c r="M1157" s="45" t="s">
        <v>259</v>
      </c>
      <c r="N1157" s="45" t="s">
        <v>169</v>
      </c>
      <c r="O1157" s="47" t="n">
        <v>46225.2937731482</v>
      </c>
      <c r="P1157" s="47" t="n">
        <v>46225.2949652778</v>
      </c>
    </row>
    <row r="1158" customFormat="false" ht="15" hidden="false" customHeight="false" outlineLevel="0" collapsed="false">
      <c r="A1158" s="45" t="n">
        <v>1363</v>
      </c>
      <c r="B1158" s="46" t="n">
        <v>46225</v>
      </c>
      <c r="C1158" s="45" t="s">
        <v>131</v>
      </c>
      <c r="D1158" s="45" t="s">
        <v>132</v>
      </c>
      <c r="E1158" s="45" t="s">
        <v>222</v>
      </c>
      <c r="F1158" s="45" t="s">
        <v>2410</v>
      </c>
      <c r="G1158" s="46" t="n">
        <v>46222</v>
      </c>
      <c r="H1158" s="45" t="s">
        <v>167</v>
      </c>
      <c r="I1158" s="45" t="s">
        <v>177</v>
      </c>
      <c r="J1158" s="45" t="s">
        <v>2450</v>
      </c>
      <c r="K1158" s="45" t="n">
        <v>2</v>
      </c>
      <c r="L1158" s="45" t="s">
        <v>263</v>
      </c>
      <c r="M1158" s="45" t="s">
        <v>259</v>
      </c>
      <c r="N1158" s="45" t="s">
        <v>167</v>
      </c>
      <c r="O1158" s="47" t="n">
        <v>46225.6585185185</v>
      </c>
      <c r="P1158" s="47" t="n">
        <v>46225.6599189815</v>
      </c>
    </row>
    <row r="1159" customFormat="false" ht="15" hidden="false" customHeight="false" outlineLevel="0" collapsed="false">
      <c r="A1159" s="45" t="n">
        <v>1364</v>
      </c>
      <c r="B1159" s="46" t="n">
        <v>46225</v>
      </c>
      <c r="C1159" s="45" t="s">
        <v>131</v>
      </c>
      <c r="D1159" s="45" t="s">
        <v>132</v>
      </c>
      <c r="E1159" s="45" t="s">
        <v>487</v>
      </c>
      <c r="F1159" s="45" t="s">
        <v>2451</v>
      </c>
      <c r="G1159" s="46" t="n">
        <v>46224</v>
      </c>
      <c r="H1159" s="45" t="s">
        <v>168</v>
      </c>
      <c r="I1159" s="45" t="s">
        <v>191</v>
      </c>
      <c r="J1159" s="45" t="s">
        <v>2452</v>
      </c>
      <c r="K1159" s="45" t="n">
        <v>1.4</v>
      </c>
      <c r="L1159" s="45" t="s">
        <v>263</v>
      </c>
      <c r="M1159" s="45" t="s">
        <v>259</v>
      </c>
      <c r="N1159" s="45" t="s">
        <v>264</v>
      </c>
      <c r="O1159" s="47" t="n">
        <v>46225.6651851852</v>
      </c>
      <c r="P1159" s="47" t="n">
        <v>46225.6661689815</v>
      </c>
    </row>
    <row r="1160" customFormat="false" ht="15" hidden="false" customHeight="false" outlineLevel="0" collapsed="false">
      <c r="A1160" s="45" t="n">
        <v>1365</v>
      </c>
      <c r="B1160" s="46" t="n">
        <v>46225</v>
      </c>
      <c r="C1160" s="45" t="s">
        <v>131</v>
      </c>
      <c r="D1160" s="45" t="s">
        <v>132</v>
      </c>
      <c r="E1160" s="45" t="s">
        <v>2416</v>
      </c>
      <c r="F1160" s="45" t="s">
        <v>2453</v>
      </c>
      <c r="G1160" s="46" t="n">
        <v>46222</v>
      </c>
      <c r="H1160" s="45" t="s">
        <v>167</v>
      </c>
      <c r="I1160" s="45" t="s">
        <v>182</v>
      </c>
      <c r="J1160" s="45" t="s">
        <v>2454</v>
      </c>
      <c r="K1160" s="45" t="n">
        <v>2.7</v>
      </c>
      <c r="L1160" s="45" t="s">
        <v>263</v>
      </c>
      <c r="M1160" s="45" t="s">
        <v>259</v>
      </c>
      <c r="N1160" s="45" t="s">
        <v>167</v>
      </c>
      <c r="O1160" s="47" t="n">
        <v>46225.6680092593</v>
      </c>
      <c r="P1160" s="47" t="n">
        <v>46225.6698842593</v>
      </c>
    </row>
    <row r="1161" customFormat="false" ht="15" hidden="false" customHeight="false" outlineLevel="0" collapsed="false">
      <c r="A1161" s="45" t="n">
        <v>1366</v>
      </c>
      <c r="B1161" s="46" t="n">
        <v>46225</v>
      </c>
      <c r="C1161" s="45" t="s">
        <v>131</v>
      </c>
      <c r="D1161" s="45" t="s">
        <v>132</v>
      </c>
      <c r="E1161" s="45" t="s">
        <v>2416</v>
      </c>
      <c r="F1161" s="45" t="s">
        <v>2455</v>
      </c>
      <c r="G1161" s="46" t="n">
        <v>46223</v>
      </c>
      <c r="H1161" s="45" t="s">
        <v>167</v>
      </c>
      <c r="I1161" s="45" t="s">
        <v>175</v>
      </c>
      <c r="J1161" s="45" t="s">
        <v>2456</v>
      </c>
      <c r="K1161" s="45" t="n">
        <v>1.6</v>
      </c>
      <c r="L1161" s="45" t="s">
        <v>263</v>
      </c>
      <c r="M1161" s="45" t="s">
        <v>259</v>
      </c>
      <c r="N1161" s="45" t="s">
        <v>167</v>
      </c>
      <c r="O1161" s="47" t="n">
        <v>46225.6722569445</v>
      </c>
      <c r="P1161" s="47" t="n">
        <v>46225.6733449074</v>
      </c>
    </row>
    <row r="1162" customFormat="false" ht="15" hidden="false" customHeight="false" outlineLevel="0" collapsed="false">
      <c r="A1162" s="45" t="n">
        <v>1367</v>
      </c>
      <c r="B1162" s="46" t="n">
        <v>46226</v>
      </c>
      <c r="C1162" s="45" t="s">
        <v>133</v>
      </c>
      <c r="D1162" s="45" t="s">
        <v>134</v>
      </c>
      <c r="E1162" s="45" t="s">
        <v>2457</v>
      </c>
      <c r="F1162" s="45" t="s">
        <v>2458</v>
      </c>
      <c r="G1162" s="46" t="n">
        <v>46225</v>
      </c>
      <c r="H1162" s="45" t="s">
        <v>167</v>
      </c>
      <c r="I1162" s="45" t="s">
        <v>175</v>
      </c>
      <c r="J1162" s="45" t="s">
        <v>2459</v>
      </c>
      <c r="K1162" s="45" t="n">
        <v>111.9</v>
      </c>
      <c r="L1162" s="45" t="s">
        <v>263</v>
      </c>
      <c r="M1162" s="45" t="s">
        <v>259</v>
      </c>
      <c r="N1162" s="45" t="s">
        <v>167</v>
      </c>
      <c r="O1162" s="47" t="n">
        <v>46226.03625</v>
      </c>
      <c r="P1162" s="47" t="n">
        <v>46226.1139467593</v>
      </c>
    </row>
    <row r="1163" customFormat="false" ht="15" hidden="false" customHeight="false" outlineLevel="0" collapsed="false">
      <c r="A1163" s="45" t="n">
        <v>1368</v>
      </c>
      <c r="B1163" s="46" t="n">
        <v>46226</v>
      </c>
      <c r="C1163" s="45" t="s">
        <v>133</v>
      </c>
      <c r="D1163" s="45" t="s">
        <v>134</v>
      </c>
      <c r="E1163" s="45" t="s">
        <v>1930</v>
      </c>
      <c r="F1163" s="45" t="s">
        <v>2460</v>
      </c>
      <c r="G1163" s="46" t="n">
        <v>46225</v>
      </c>
      <c r="H1163" s="45" t="s">
        <v>57</v>
      </c>
      <c r="I1163" s="45" t="s">
        <v>200</v>
      </c>
      <c r="J1163" s="45" t="s">
        <v>2461</v>
      </c>
      <c r="K1163" s="45" t="n">
        <v>9.9</v>
      </c>
      <c r="L1163" s="45" t="s">
        <v>263</v>
      </c>
      <c r="M1163" s="45" t="s">
        <v>259</v>
      </c>
      <c r="N1163" s="45" t="s">
        <v>57</v>
      </c>
      <c r="O1163" s="47" t="n">
        <v>46226.1139814815</v>
      </c>
      <c r="P1163" s="47" t="n">
        <v>46226.1208333333</v>
      </c>
    </row>
    <row r="1164" customFormat="false" ht="15" hidden="false" customHeight="false" outlineLevel="0" collapsed="false">
      <c r="A1164" s="45" t="n">
        <v>1369</v>
      </c>
      <c r="B1164" s="46" t="n">
        <v>46226</v>
      </c>
      <c r="C1164" s="45" t="s">
        <v>133</v>
      </c>
      <c r="D1164" s="45" t="s">
        <v>134</v>
      </c>
      <c r="E1164" s="45" t="s">
        <v>2462</v>
      </c>
      <c r="F1164" s="45" t="s">
        <v>2463</v>
      </c>
      <c r="G1164" s="46" t="n">
        <v>46225</v>
      </c>
      <c r="H1164" s="45" t="s">
        <v>167</v>
      </c>
      <c r="I1164" s="45" t="s">
        <v>176</v>
      </c>
      <c r="J1164" s="45" t="s">
        <v>2464</v>
      </c>
      <c r="K1164" s="45" t="n">
        <v>15.3</v>
      </c>
      <c r="L1164" s="45" t="s">
        <v>263</v>
      </c>
      <c r="M1164" s="45" t="s">
        <v>259</v>
      </c>
      <c r="N1164" s="45" t="s">
        <v>167</v>
      </c>
      <c r="O1164" s="47" t="n">
        <v>46226.1208912037</v>
      </c>
      <c r="P1164" s="47" t="n">
        <v>46226.1314930556</v>
      </c>
    </row>
    <row r="1165" customFormat="false" ht="15" hidden="false" customHeight="false" outlineLevel="0" collapsed="false">
      <c r="A1165" s="45" t="n">
        <v>1370</v>
      </c>
      <c r="B1165" s="46" t="n">
        <v>46226</v>
      </c>
      <c r="C1165" s="45" t="s">
        <v>133</v>
      </c>
      <c r="D1165" s="45" t="s">
        <v>134</v>
      </c>
      <c r="E1165" s="45" t="s">
        <v>2465</v>
      </c>
      <c r="F1165" s="45" t="s">
        <v>2466</v>
      </c>
      <c r="G1165" s="46" t="n">
        <v>46225</v>
      </c>
      <c r="H1165" s="45" t="s">
        <v>167</v>
      </c>
      <c r="I1165" s="45" t="s">
        <v>175</v>
      </c>
      <c r="J1165" s="45" t="s">
        <v>2467</v>
      </c>
      <c r="K1165" s="45" t="n">
        <v>15.9</v>
      </c>
      <c r="L1165" s="45" t="s">
        <v>263</v>
      </c>
      <c r="M1165" s="45" t="s">
        <v>259</v>
      </c>
      <c r="N1165" s="45" t="s">
        <v>167</v>
      </c>
      <c r="O1165" s="47" t="n">
        <v>46226.1315162037</v>
      </c>
      <c r="P1165" s="47" t="n">
        <v>46226.1425347222</v>
      </c>
    </row>
    <row r="1166" customFormat="false" ht="15" hidden="false" customHeight="false" outlineLevel="0" collapsed="false">
      <c r="A1166" s="45" t="n">
        <v>1371</v>
      </c>
      <c r="B1166" s="46" t="n">
        <v>46226</v>
      </c>
      <c r="C1166" s="45" t="s">
        <v>149</v>
      </c>
      <c r="D1166" s="45" t="s">
        <v>150</v>
      </c>
      <c r="E1166" s="45" t="s">
        <v>2468</v>
      </c>
      <c r="F1166" s="45" t="s">
        <v>2469</v>
      </c>
      <c r="G1166" s="46" t="n">
        <v>46225</v>
      </c>
      <c r="H1166" s="45" t="s">
        <v>167</v>
      </c>
      <c r="I1166" s="45" t="s">
        <v>176</v>
      </c>
      <c r="J1166" s="45" t="s">
        <v>2470</v>
      </c>
      <c r="K1166" s="45" t="n">
        <v>54</v>
      </c>
      <c r="L1166" s="45" t="s">
        <v>263</v>
      </c>
      <c r="M1166" s="45" t="s">
        <v>259</v>
      </c>
      <c r="N1166" s="45" t="s">
        <v>167</v>
      </c>
      <c r="O1166" s="47" t="n">
        <v>46226.6494675926</v>
      </c>
      <c r="P1166" s="47" t="n">
        <v>46226.6869444445</v>
      </c>
    </row>
    <row r="1167" customFormat="false" ht="15" hidden="false" customHeight="false" outlineLevel="0" collapsed="false">
      <c r="A1167" s="45" t="n">
        <v>1372</v>
      </c>
      <c r="B1167" s="46" t="n">
        <v>46226</v>
      </c>
      <c r="C1167" s="45" t="s">
        <v>131</v>
      </c>
      <c r="D1167" s="45" t="s">
        <v>132</v>
      </c>
      <c r="E1167" s="45" t="s">
        <v>240</v>
      </c>
      <c r="F1167" s="45" t="s">
        <v>2471</v>
      </c>
      <c r="G1167" s="46" t="n">
        <v>46225</v>
      </c>
      <c r="H1167" s="45" t="s">
        <v>167</v>
      </c>
      <c r="I1167" s="45" t="s">
        <v>177</v>
      </c>
      <c r="J1167" s="45" t="s">
        <v>2472</v>
      </c>
      <c r="K1167" s="45" t="n">
        <v>7</v>
      </c>
      <c r="L1167" s="45" t="s">
        <v>263</v>
      </c>
      <c r="M1167" s="45" t="s">
        <v>259</v>
      </c>
      <c r="N1167" s="45" t="s">
        <v>167</v>
      </c>
      <c r="O1167" s="47" t="n">
        <v>46226.8622800926</v>
      </c>
      <c r="P1167" s="47" t="n">
        <v>46226.8671643519</v>
      </c>
    </row>
    <row r="1168" customFormat="false" ht="15" hidden="false" customHeight="false" outlineLevel="0" collapsed="false">
      <c r="A1168" s="45" t="n">
        <v>1373</v>
      </c>
      <c r="B1168" s="46" t="n">
        <v>46226</v>
      </c>
      <c r="C1168" s="45" t="s">
        <v>131</v>
      </c>
      <c r="D1168" s="45" t="s">
        <v>132</v>
      </c>
      <c r="E1168" s="45" t="s">
        <v>487</v>
      </c>
      <c r="F1168" s="45" t="s">
        <v>2473</v>
      </c>
      <c r="G1168" s="46" t="n">
        <v>46225</v>
      </c>
      <c r="H1168" s="45" t="s">
        <v>168</v>
      </c>
      <c r="I1168" s="45" t="s">
        <v>192</v>
      </c>
      <c r="J1168" s="45" t="s">
        <v>2474</v>
      </c>
      <c r="K1168" s="45" t="n">
        <v>1.2</v>
      </c>
      <c r="L1168" s="45" t="s">
        <v>263</v>
      </c>
      <c r="M1168" s="45" t="s">
        <v>259</v>
      </c>
      <c r="N1168" s="45" t="s">
        <v>264</v>
      </c>
      <c r="O1168" s="47" t="n">
        <v>46226.8744560185</v>
      </c>
      <c r="P1168" s="47" t="n">
        <v>46226.8752662037</v>
      </c>
    </row>
    <row r="1169" customFormat="false" ht="15" hidden="false" customHeight="false" outlineLevel="0" collapsed="false">
      <c r="A1169" s="45" t="n">
        <v>1374</v>
      </c>
      <c r="B1169" s="46" t="n">
        <v>46226</v>
      </c>
      <c r="C1169" s="45" t="s">
        <v>131</v>
      </c>
      <c r="D1169" s="45" t="s">
        <v>132</v>
      </c>
      <c r="E1169" s="45" t="s">
        <v>2223</v>
      </c>
      <c r="F1169" s="45" t="s">
        <v>2475</v>
      </c>
      <c r="G1169" s="46" t="n">
        <v>46225</v>
      </c>
      <c r="H1169" s="45" t="s">
        <v>167</v>
      </c>
      <c r="I1169" s="45" t="s">
        <v>175</v>
      </c>
      <c r="J1169" s="45" t="s">
        <v>2476</v>
      </c>
      <c r="K1169" s="45" t="n">
        <v>2.4</v>
      </c>
      <c r="L1169" s="45" t="s">
        <v>263</v>
      </c>
      <c r="M1169" s="45" t="s">
        <v>259</v>
      </c>
      <c r="N1169" s="45" t="s">
        <v>167</v>
      </c>
      <c r="O1169" s="47" t="n">
        <v>46226.8796990741</v>
      </c>
      <c r="P1169" s="47" t="n">
        <v>46226.8813773148</v>
      </c>
    </row>
    <row r="1170" customFormat="false" ht="15" hidden="false" customHeight="false" outlineLevel="0" collapsed="false">
      <c r="A1170" s="45" t="n">
        <v>1375</v>
      </c>
      <c r="B1170" s="46" t="n">
        <v>46226</v>
      </c>
      <c r="C1170" s="45" t="s">
        <v>131</v>
      </c>
      <c r="D1170" s="45" t="s">
        <v>132</v>
      </c>
      <c r="E1170" s="45" t="s">
        <v>240</v>
      </c>
      <c r="F1170" s="45" t="s">
        <v>2477</v>
      </c>
      <c r="G1170" s="46" t="n">
        <v>46225</v>
      </c>
      <c r="H1170" s="45" t="s">
        <v>169</v>
      </c>
      <c r="I1170" s="45"/>
      <c r="J1170" s="45"/>
      <c r="K1170" s="45" t="n">
        <v>0.4</v>
      </c>
      <c r="L1170" s="45" t="s">
        <v>263</v>
      </c>
      <c r="M1170" s="45" t="s">
        <v>259</v>
      </c>
      <c r="N1170" s="45" t="s">
        <v>169</v>
      </c>
      <c r="O1170" s="47" t="n">
        <v>46226.882337963</v>
      </c>
      <c r="P1170" s="47" t="n">
        <v>46226.8826273148</v>
      </c>
    </row>
    <row r="1171" customFormat="false" ht="15" hidden="false" customHeight="false" outlineLevel="0" collapsed="false">
      <c r="A1171" s="45" t="n">
        <v>1376</v>
      </c>
      <c r="B1171" s="46" t="n">
        <v>46227</v>
      </c>
      <c r="C1171" s="45" t="s">
        <v>131</v>
      </c>
      <c r="D1171" s="45" t="s">
        <v>132</v>
      </c>
      <c r="E1171" s="45" t="s">
        <v>2143</v>
      </c>
      <c r="F1171" s="45" t="s">
        <v>2478</v>
      </c>
      <c r="G1171" s="46" t="n">
        <v>46226</v>
      </c>
      <c r="H1171" s="45" t="s">
        <v>167</v>
      </c>
      <c r="I1171" s="45" t="s">
        <v>175</v>
      </c>
      <c r="J1171" s="45" t="s">
        <v>2479</v>
      </c>
      <c r="K1171" s="45" t="n">
        <v>7.8</v>
      </c>
      <c r="L1171" s="45" t="s">
        <v>263</v>
      </c>
      <c r="M1171" s="45" t="s">
        <v>259</v>
      </c>
      <c r="N1171" s="45" t="s">
        <v>167</v>
      </c>
      <c r="O1171" s="47" t="n">
        <v>46227.9149537037</v>
      </c>
      <c r="P1171" s="47" t="n">
        <v>46227.9203819444</v>
      </c>
    </row>
    <row r="1172" customFormat="false" ht="15" hidden="false" customHeight="false" outlineLevel="0" collapsed="false">
      <c r="A1172" s="45" t="n">
        <v>1377</v>
      </c>
      <c r="B1172" s="46" t="n">
        <v>46227</v>
      </c>
      <c r="C1172" s="45" t="s">
        <v>131</v>
      </c>
      <c r="D1172" s="45" t="s">
        <v>132</v>
      </c>
      <c r="E1172" s="45" t="s">
        <v>2143</v>
      </c>
      <c r="F1172" s="45" t="s">
        <v>2480</v>
      </c>
      <c r="G1172" s="46" t="n">
        <v>46226</v>
      </c>
      <c r="H1172" s="45" t="s">
        <v>167</v>
      </c>
      <c r="I1172" s="45" t="s">
        <v>175</v>
      </c>
      <c r="J1172" s="45" t="s">
        <v>2481</v>
      </c>
      <c r="K1172" s="45" t="n">
        <v>1.5</v>
      </c>
      <c r="L1172" s="45" t="s">
        <v>263</v>
      </c>
      <c r="M1172" s="45" t="s">
        <v>259</v>
      </c>
      <c r="N1172" s="45" t="s">
        <v>167</v>
      </c>
      <c r="O1172" s="47" t="n">
        <v>46227.9226851852</v>
      </c>
      <c r="P1172" s="47" t="n">
        <v>46227.9237384259</v>
      </c>
    </row>
    <row r="1173" customFormat="false" ht="15" hidden="false" customHeight="false" outlineLevel="0" collapsed="false">
      <c r="A1173" s="45" t="n">
        <v>1378</v>
      </c>
      <c r="B1173" s="46" t="n">
        <v>46228</v>
      </c>
      <c r="C1173" s="45" t="s">
        <v>131</v>
      </c>
      <c r="D1173" s="45" t="s">
        <v>132</v>
      </c>
      <c r="E1173" s="45" t="s">
        <v>2122</v>
      </c>
      <c r="F1173" s="45" t="s">
        <v>2482</v>
      </c>
      <c r="G1173" s="46" t="n">
        <v>46226</v>
      </c>
      <c r="H1173" s="45" t="s">
        <v>167</v>
      </c>
      <c r="I1173" s="45" t="s">
        <v>175</v>
      </c>
      <c r="J1173" s="45" t="s">
        <v>2483</v>
      </c>
      <c r="K1173" s="45" t="n">
        <v>11.9</v>
      </c>
      <c r="L1173" s="45" t="s">
        <v>263</v>
      </c>
      <c r="M1173" s="45" t="s">
        <v>259</v>
      </c>
      <c r="N1173" s="45" t="s">
        <v>167</v>
      </c>
      <c r="O1173" s="47" t="n">
        <v>46228.0059837963</v>
      </c>
      <c r="P1173" s="47" t="n">
        <v>46228.0142708333</v>
      </c>
    </row>
    <row r="1174" customFormat="false" ht="15" hidden="false" customHeight="false" outlineLevel="0" collapsed="false">
      <c r="A1174" s="45" t="n">
        <v>1379</v>
      </c>
      <c r="B1174" s="46" t="n">
        <v>46228</v>
      </c>
      <c r="C1174" s="45" t="s">
        <v>131</v>
      </c>
      <c r="D1174" s="45" t="s">
        <v>132</v>
      </c>
      <c r="E1174" s="45" t="s">
        <v>487</v>
      </c>
      <c r="F1174" s="45" t="s">
        <v>2484</v>
      </c>
      <c r="G1174" s="46" t="n">
        <v>46226</v>
      </c>
      <c r="H1174" s="45" t="s">
        <v>167</v>
      </c>
      <c r="I1174" s="45" t="s">
        <v>176</v>
      </c>
      <c r="J1174" s="45" t="s">
        <v>2485</v>
      </c>
      <c r="K1174" s="45" t="n">
        <v>2.2</v>
      </c>
      <c r="L1174" s="45" t="s">
        <v>263</v>
      </c>
      <c r="M1174" s="45" t="s">
        <v>259</v>
      </c>
      <c r="N1174" s="45" t="s">
        <v>167</v>
      </c>
      <c r="O1174" s="47" t="n">
        <v>46228.0153356482</v>
      </c>
      <c r="P1174" s="47" t="n">
        <v>46228.0168981482</v>
      </c>
    </row>
    <row r="1175" customFormat="false" ht="15" hidden="false" customHeight="false" outlineLevel="0" collapsed="false">
      <c r="A1175" s="45" t="n">
        <v>1380</v>
      </c>
      <c r="B1175" s="46" t="n">
        <v>46228</v>
      </c>
      <c r="C1175" s="45" t="s">
        <v>131</v>
      </c>
      <c r="D1175" s="45" t="s">
        <v>132</v>
      </c>
      <c r="E1175" s="45" t="s">
        <v>242</v>
      </c>
      <c r="F1175" s="45" t="s">
        <v>2486</v>
      </c>
      <c r="G1175" s="46" t="n">
        <v>46227</v>
      </c>
      <c r="H1175" s="45" t="s">
        <v>167</v>
      </c>
      <c r="I1175" s="45" t="s">
        <v>175</v>
      </c>
      <c r="J1175" s="45" t="s">
        <v>2487</v>
      </c>
      <c r="K1175" s="45" t="n">
        <v>15.7</v>
      </c>
      <c r="L1175" s="45" t="s">
        <v>263</v>
      </c>
      <c r="M1175" s="45" t="s">
        <v>259</v>
      </c>
      <c r="N1175" s="45" t="s">
        <v>167</v>
      </c>
      <c r="O1175" s="47" t="n">
        <v>46228.6805555556</v>
      </c>
      <c r="P1175" s="47" t="n">
        <v>46228.6914236111</v>
      </c>
    </row>
    <row r="1176" customFormat="false" ht="15" hidden="false" customHeight="false" outlineLevel="0" collapsed="false">
      <c r="A1176" s="45" t="n">
        <v>1381</v>
      </c>
      <c r="B1176" s="46" t="n">
        <v>46228</v>
      </c>
      <c r="C1176" s="45" t="s">
        <v>131</v>
      </c>
      <c r="D1176" s="45" t="s">
        <v>132</v>
      </c>
      <c r="E1176" s="45" t="s">
        <v>2226</v>
      </c>
      <c r="F1176" s="45" t="s">
        <v>2488</v>
      </c>
      <c r="G1176" s="46" t="n">
        <v>46227</v>
      </c>
      <c r="H1176" s="45" t="s">
        <v>167</v>
      </c>
      <c r="I1176" s="45" t="s">
        <v>175</v>
      </c>
      <c r="J1176" s="45" t="s">
        <v>2489</v>
      </c>
      <c r="K1176" s="45" t="n">
        <v>80.9</v>
      </c>
      <c r="L1176" s="45" t="s">
        <v>263</v>
      </c>
      <c r="M1176" s="45" t="s">
        <v>259</v>
      </c>
      <c r="N1176" s="45" t="s">
        <v>167</v>
      </c>
      <c r="O1176" s="47" t="n">
        <v>46228.7114699074</v>
      </c>
      <c r="P1176" s="47" t="n">
        <v>46228.7676273148</v>
      </c>
    </row>
    <row r="1177" customFormat="false" ht="15" hidden="false" customHeight="false" outlineLevel="0" collapsed="false">
      <c r="A1177" s="45" t="n">
        <v>1382</v>
      </c>
      <c r="B1177" s="46" t="n">
        <v>46229</v>
      </c>
      <c r="C1177" s="45" t="s">
        <v>141</v>
      </c>
      <c r="D1177" s="45" t="s">
        <v>142</v>
      </c>
      <c r="E1177" s="45" t="s">
        <v>224</v>
      </c>
      <c r="F1177" s="45" t="s">
        <v>2490</v>
      </c>
      <c r="G1177" s="46" t="n">
        <v>46225</v>
      </c>
      <c r="H1177" s="45" t="s">
        <v>167</v>
      </c>
      <c r="I1177" s="45" t="s">
        <v>176</v>
      </c>
      <c r="J1177" s="45" t="s">
        <v>2491</v>
      </c>
      <c r="K1177" s="45" t="n">
        <v>127.4</v>
      </c>
      <c r="L1177" s="45" t="s">
        <v>263</v>
      </c>
      <c r="M1177" s="45" t="s">
        <v>259</v>
      </c>
      <c r="N1177" s="45" t="s">
        <v>167</v>
      </c>
      <c r="O1177" s="47" t="n">
        <v>46229.1739351852</v>
      </c>
      <c r="P1177" s="47" t="n">
        <v>46229.2624189815</v>
      </c>
    </row>
    <row r="1178" customFormat="false" ht="15" hidden="false" customHeight="false" outlineLevel="0" collapsed="false">
      <c r="A1178" s="45" t="n">
        <v>1383</v>
      </c>
      <c r="B1178" s="46" t="n">
        <v>46229</v>
      </c>
      <c r="C1178" s="45" t="s">
        <v>141</v>
      </c>
      <c r="D1178" s="45" t="s">
        <v>142</v>
      </c>
      <c r="E1178" s="45" t="s">
        <v>1027</v>
      </c>
      <c r="F1178" s="45" t="s">
        <v>2492</v>
      </c>
      <c r="G1178" s="46" t="n">
        <v>46227</v>
      </c>
      <c r="H1178" s="45" t="s">
        <v>167</v>
      </c>
      <c r="I1178" s="45" t="s">
        <v>175</v>
      </c>
      <c r="J1178" s="45" t="s">
        <v>2493</v>
      </c>
      <c r="K1178" s="45" t="n">
        <v>11.3</v>
      </c>
      <c r="L1178" s="45" t="s">
        <v>263</v>
      </c>
      <c r="M1178" s="45" t="s">
        <v>259</v>
      </c>
      <c r="N1178" s="45" t="s">
        <v>167</v>
      </c>
      <c r="O1178" s="47" t="n">
        <v>46229.2632638889</v>
      </c>
      <c r="P1178" s="47" t="n">
        <v>46229.2711111111</v>
      </c>
    </row>
    <row r="1179" customFormat="false" ht="15" hidden="false" customHeight="false" outlineLevel="0" collapsed="false">
      <c r="A1179" s="45" t="n">
        <v>1384</v>
      </c>
      <c r="B1179" s="46" t="n">
        <v>46229</v>
      </c>
      <c r="C1179" s="45" t="s">
        <v>141</v>
      </c>
      <c r="D1179" s="45" t="s">
        <v>142</v>
      </c>
      <c r="E1179" s="45" t="s">
        <v>227</v>
      </c>
      <c r="F1179" s="45" t="s">
        <v>2494</v>
      </c>
      <c r="G1179" s="46" t="n">
        <v>46225</v>
      </c>
      <c r="H1179" s="45" t="s">
        <v>168</v>
      </c>
      <c r="I1179" s="45" t="s">
        <v>193</v>
      </c>
      <c r="J1179" s="45" t="s">
        <v>2495</v>
      </c>
      <c r="K1179" s="45" t="n">
        <v>1.4</v>
      </c>
      <c r="L1179" s="45" t="s">
        <v>263</v>
      </c>
      <c r="M1179" s="45" t="s">
        <v>259</v>
      </c>
      <c r="N1179" s="45" t="s">
        <v>264</v>
      </c>
      <c r="O1179" s="47" t="n">
        <v>46229.2771064815</v>
      </c>
      <c r="P1179" s="47" t="n">
        <v>46229.2781134259</v>
      </c>
    </row>
    <row r="1180" customFormat="false" ht="15" hidden="false" customHeight="false" outlineLevel="0" collapsed="false">
      <c r="A1180" s="45" t="n">
        <v>1385</v>
      </c>
      <c r="B1180" s="46" t="n">
        <v>46229</v>
      </c>
      <c r="C1180" s="45" t="s">
        <v>141</v>
      </c>
      <c r="D1180" s="45" t="s">
        <v>142</v>
      </c>
      <c r="E1180" s="45" t="s">
        <v>2496</v>
      </c>
      <c r="F1180" s="45" t="s">
        <v>2497</v>
      </c>
      <c r="G1180" s="46" t="n">
        <v>46226</v>
      </c>
      <c r="H1180" s="45" t="s">
        <v>168</v>
      </c>
      <c r="I1180" s="45" t="s">
        <v>191</v>
      </c>
      <c r="J1180" s="45" t="s">
        <v>2498</v>
      </c>
      <c r="K1180" s="45" t="n">
        <v>11.9</v>
      </c>
      <c r="L1180" s="45" t="s">
        <v>263</v>
      </c>
      <c r="M1180" s="45" t="s">
        <v>263</v>
      </c>
      <c r="N1180" s="45" t="s">
        <v>264</v>
      </c>
      <c r="O1180" s="47" t="n">
        <v>46229.2787615741</v>
      </c>
      <c r="P1180" s="47" t="n">
        <v>46229.287037037</v>
      </c>
    </row>
    <row r="1181" customFormat="false" ht="15" hidden="false" customHeight="false" outlineLevel="0" collapsed="false">
      <c r="A1181" s="45" t="n">
        <v>1386</v>
      </c>
      <c r="B1181" s="46" t="n">
        <v>46229</v>
      </c>
      <c r="C1181" s="45" t="s">
        <v>135</v>
      </c>
      <c r="D1181" s="45" t="s">
        <v>136</v>
      </c>
      <c r="E1181" s="45" t="s">
        <v>239</v>
      </c>
      <c r="F1181" s="45" t="s">
        <v>2499</v>
      </c>
      <c r="G1181" s="46" t="n">
        <v>46228</v>
      </c>
      <c r="H1181" s="45" t="s">
        <v>167</v>
      </c>
      <c r="I1181" s="45" t="s">
        <v>175</v>
      </c>
      <c r="J1181" s="45" t="s">
        <v>2500</v>
      </c>
      <c r="K1181" s="45" t="n">
        <v>195.1</v>
      </c>
      <c r="L1181" s="45" t="s">
        <v>263</v>
      </c>
      <c r="M1181" s="45" t="s">
        <v>259</v>
      </c>
      <c r="N1181" s="45" t="s">
        <v>167</v>
      </c>
      <c r="O1181" s="47" t="n">
        <v>46229.9087615741</v>
      </c>
      <c r="P1181" s="47" t="n">
        <v>46230.044212963</v>
      </c>
    </row>
    <row r="1182" customFormat="false" ht="15" hidden="false" customHeight="false" outlineLevel="0" collapsed="false">
      <c r="A1182" s="45" t="n">
        <v>1387</v>
      </c>
      <c r="B1182" s="46" t="n">
        <v>46230</v>
      </c>
      <c r="C1182" s="45" t="s">
        <v>135</v>
      </c>
      <c r="D1182" s="45" t="s">
        <v>136</v>
      </c>
      <c r="E1182" s="45" t="s">
        <v>239</v>
      </c>
      <c r="F1182" s="45" t="s">
        <v>2501</v>
      </c>
      <c r="G1182" s="46" t="n">
        <v>46228</v>
      </c>
      <c r="H1182" s="45" t="s">
        <v>168</v>
      </c>
      <c r="I1182" s="45" t="s">
        <v>194</v>
      </c>
      <c r="J1182" s="45" t="s">
        <v>2027</v>
      </c>
      <c r="K1182" s="45" t="n">
        <v>0.8</v>
      </c>
      <c r="L1182" s="45" t="s">
        <v>263</v>
      </c>
      <c r="M1182" s="45" t="s">
        <v>259</v>
      </c>
      <c r="N1182" s="45" t="s">
        <v>264</v>
      </c>
      <c r="O1182" s="47" t="n">
        <v>46230.0450578704</v>
      </c>
      <c r="P1182" s="47" t="n">
        <v>46230.0456018519</v>
      </c>
    </row>
    <row r="1183" customFormat="false" ht="15" hidden="false" customHeight="false" outlineLevel="0" collapsed="false">
      <c r="A1183" s="45" t="n">
        <v>1388</v>
      </c>
      <c r="B1183" s="46" t="n">
        <v>46230</v>
      </c>
      <c r="C1183" s="45" t="s">
        <v>135</v>
      </c>
      <c r="D1183" s="45" t="s">
        <v>136</v>
      </c>
      <c r="E1183" s="45" t="s">
        <v>226</v>
      </c>
      <c r="F1183" s="45" t="s">
        <v>2502</v>
      </c>
      <c r="G1183" s="46" t="n">
        <v>46228</v>
      </c>
      <c r="H1183" s="45" t="s">
        <v>167</v>
      </c>
      <c r="I1183" s="45" t="s">
        <v>175</v>
      </c>
      <c r="J1183" s="45" t="s">
        <v>2503</v>
      </c>
      <c r="K1183" s="45" t="n">
        <v>5.4</v>
      </c>
      <c r="L1183" s="45" t="s">
        <v>263</v>
      </c>
      <c r="M1183" s="45" t="s">
        <v>259</v>
      </c>
      <c r="N1183" s="45" t="s">
        <v>167</v>
      </c>
      <c r="O1183" s="47" t="n">
        <v>46230.0783796296</v>
      </c>
      <c r="P1183" s="47" t="n">
        <v>46230.0821527778</v>
      </c>
    </row>
    <row r="1184" customFormat="false" ht="15" hidden="false" customHeight="false" outlineLevel="0" collapsed="false">
      <c r="A1184" s="45" t="n">
        <v>1389</v>
      </c>
      <c r="B1184" s="46" t="n">
        <v>46230</v>
      </c>
      <c r="C1184" s="45" t="s">
        <v>135</v>
      </c>
      <c r="D1184" s="45" t="s">
        <v>136</v>
      </c>
      <c r="E1184" s="45" t="s">
        <v>226</v>
      </c>
      <c r="F1184" s="45" t="s">
        <v>2504</v>
      </c>
      <c r="G1184" s="46" t="n">
        <v>46228</v>
      </c>
      <c r="H1184" s="45" t="s">
        <v>167</v>
      </c>
      <c r="I1184" s="45" t="s">
        <v>175</v>
      </c>
      <c r="J1184" s="45" t="s">
        <v>2505</v>
      </c>
      <c r="K1184" s="45" t="n">
        <v>0.9</v>
      </c>
      <c r="L1184" s="45" t="s">
        <v>263</v>
      </c>
      <c r="M1184" s="45" t="s">
        <v>259</v>
      </c>
      <c r="N1184" s="45" t="s">
        <v>167</v>
      </c>
      <c r="O1184" s="47" t="n">
        <v>46230.0826157407</v>
      </c>
      <c r="P1184" s="47" t="n">
        <v>46230.0832175926</v>
      </c>
    </row>
    <row r="1185" customFormat="false" ht="15" hidden="false" customHeight="false" outlineLevel="0" collapsed="false">
      <c r="A1185" s="45" t="n">
        <v>1390</v>
      </c>
      <c r="B1185" s="46" t="n">
        <v>46230</v>
      </c>
      <c r="C1185" s="45" t="s">
        <v>135</v>
      </c>
      <c r="D1185" s="45" t="s">
        <v>136</v>
      </c>
      <c r="E1185" s="45" t="s">
        <v>1833</v>
      </c>
      <c r="F1185" s="45" t="s">
        <v>2506</v>
      </c>
      <c r="G1185" s="46" t="n">
        <v>46228</v>
      </c>
      <c r="H1185" s="45" t="s">
        <v>167</v>
      </c>
      <c r="I1185" s="45" t="s">
        <v>178</v>
      </c>
      <c r="J1185" s="45" t="s">
        <v>2507</v>
      </c>
      <c r="K1185" s="45" t="n">
        <v>6.5</v>
      </c>
      <c r="L1185" s="45" t="s">
        <v>263</v>
      </c>
      <c r="M1185" s="45" t="s">
        <v>259</v>
      </c>
      <c r="N1185" s="45" t="s">
        <v>167</v>
      </c>
      <c r="O1185" s="47" t="n">
        <v>46230.0847685185</v>
      </c>
      <c r="P1185" s="47" t="n">
        <v>46230.0893171296</v>
      </c>
    </row>
    <row r="1186" customFormat="false" ht="15" hidden="false" customHeight="false" outlineLevel="0" collapsed="false">
      <c r="A1186" s="45" t="n">
        <v>1391</v>
      </c>
      <c r="B1186" s="46" t="n">
        <v>46231</v>
      </c>
      <c r="C1186" s="45" t="s">
        <v>131</v>
      </c>
      <c r="D1186" s="45" t="s">
        <v>132</v>
      </c>
      <c r="E1186" s="45" t="s">
        <v>2508</v>
      </c>
      <c r="F1186" s="45" t="s">
        <v>2509</v>
      </c>
      <c r="G1186" s="46" t="n">
        <v>46228</v>
      </c>
      <c r="H1186" s="45" t="s">
        <v>167</v>
      </c>
      <c r="I1186" s="45" t="s">
        <v>175</v>
      </c>
      <c r="J1186" s="45" t="s">
        <v>2510</v>
      </c>
      <c r="K1186" s="45" t="n">
        <v>35</v>
      </c>
      <c r="L1186" s="45" t="s">
        <v>263</v>
      </c>
      <c r="M1186" s="45" t="s">
        <v>259</v>
      </c>
      <c r="N1186" s="45" t="s">
        <v>167</v>
      </c>
      <c r="O1186" s="47" t="n">
        <v>46231.7235763889</v>
      </c>
      <c r="P1186" s="47" t="n">
        <v>46231.7479050926</v>
      </c>
    </row>
    <row r="1187" customFormat="false" ht="15" hidden="false" customHeight="false" outlineLevel="0" collapsed="false">
      <c r="A1187" s="45" t="n">
        <v>1392</v>
      </c>
      <c r="B1187" s="46" t="n">
        <v>46231</v>
      </c>
      <c r="C1187" s="45" t="s">
        <v>131</v>
      </c>
      <c r="D1187" s="45" t="s">
        <v>132</v>
      </c>
      <c r="E1187" s="45" t="s">
        <v>2143</v>
      </c>
      <c r="F1187" s="45" t="s">
        <v>2511</v>
      </c>
      <c r="G1187" s="46" t="n">
        <v>46228</v>
      </c>
      <c r="H1187" s="45" t="s">
        <v>167</v>
      </c>
      <c r="I1187" s="45" t="s">
        <v>175</v>
      </c>
      <c r="J1187" s="45" t="s">
        <v>2512</v>
      </c>
      <c r="K1187" s="45" t="n">
        <v>36.6</v>
      </c>
      <c r="L1187" s="45" t="s">
        <v>263</v>
      </c>
      <c r="M1187" s="45" t="s">
        <v>259</v>
      </c>
      <c r="N1187" s="45" t="s">
        <v>167</v>
      </c>
      <c r="O1187" s="47" t="n">
        <v>46231.7487962963</v>
      </c>
      <c r="P1187" s="47" t="n">
        <v>46231.7742013889</v>
      </c>
    </row>
    <row r="1188" customFormat="false" ht="15" hidden="false" customHeight="false" outlineLevel="0" collapsed="false">
      <c r="A1188" s="45" t="n">
        <v>1393</v>
      </c>
      <c r="B1188" s="46" t="n">
        <v>46231</v>
      </c>
      <c r="C1188" s="45" t="s">
        <v>131</v>
      </c>
      <c r="D1188" s="45" t="s">
        <v>132</v>
      </c>
      <c r="E1188" s="45" t="s">
        <v>2127</v>
      </c>
      <c r="F1188" s="45" t="s">
        <v>2513</v>
      </c>
      <c r="G1188" s="46" t="n">
        <v>46230</v>
      </c>
      <c r="H1188" s="45" t="s">
        <v>170</v>
      </c>
      <c r="I1188" s="45" t="s">
        <v>208</v>
      </c>
      <c r="J1188" s="45" t="s">
        <v>2514</v>
      </c>
      <c r="K1188" s="45" t="n">
        <v>4</v>
      </c>
      <c r="L1188" s="45" t="s">
        <v>259</v>
      </c>
      <c r="M1188" s="45" t="s">
        <v>259</v>
      </c>
      <c r="N1188" s="45" t="s">
        <v>478</v>
      </c>
      <c r="O1188" s="47" t="n">
        <v>46231.8196875</v>
      </c>
      <c r="P1188" s="47" t="n">
        <v>46231.8224768519</v>
      </c>
    </row>
    <row r="1189" customFormat="false" ht="15" hidden="false" customHeight="false" outlineLevel="0" collapsed="false">
      <c r="A1189" s="45" t="n">
        <v>1394</v>
      </c>
      <c r="B1189" s="46" t="n">
        <v>46231</v>
      </c>
      <c r="C1189" s="45" t="s">
        <v>131</v>
      </c>
      <c r="D1189" s="45" t="s">
        <v>132</v>
      </c>
      <c r="E1189" s="45" t="s">
        <v>242</v>
      </c>
      <c r="F1189" s="45" t="s">
        <v>2515</v>
      </c>
      <c r="G1189" s="46" t="n">
        <v>46230</v>
      </c>
      <c r="H1189" s="45" t="s">
        <v>167</v>
      </c>
      <c r="I1189" s="45" t="s">
        <v>175</v>
      </c>
      <c r="J1189" s="45" t="s">
        <v>2516</v>
      </c>
      <c r="K1189" s="45" t="n">
        <v>5.8</v>
      </c>
      <c r="L1189" s="45" t="s">
        <v>263</v>
      </c>
      <c r="M1189" s="45" t="s">
        <v>259</v>
      </c>
      <c r="N1189" s="45" t="s">
        <v>167</v>
      </c>
      <c r="O1189" s="47" t="n">
        <v>46231.8303819444</v>
      </c>
      <c r="P1189" s="47" t="n">
        <v>46231.8344444444</v>
      </c>
    </row>
    <row r="1190" customFormat="false" ht="15" hidden="false" customHeight="false" outlineLevel="0" collapsed="false">
      <c r="A1190" s="45" t="n">
        <v>1395</v>
      </c>
      <c r="B1190" s="46" t="n">
        <v>46231</v>
      </c>
      <c r="C1190" s="45" t="s">
        <v>135</v>
      </c>
      <c r="D1190" s="45" t="s">
        <v>136</v>
      </c>
      <c r="E1190" s="45" t="s">
        <v>239</v>
      </c>
      <c r="F1190" s="45" t="s">
        <v>2517</v>
      </c>
      <c r="G1190" s="46" t="n">
        <v>46231</v>
      </c>
      <c r="H1190" s="45" t="s">
        <v>167</v>
      </c>
      <c r="I1190" s="45" t="s">
        <v>176</v>
      </c>
      <c r="J1190" s="45" t="s">
        <v>2518</v>
      </c>
      <c r="K1190" s="45" t="n">
        <v>0.8</v>
      </c>
      <c r="L1190" s="45" t="s">
        <v>263</v>
      </c>
      <c r="M1190" s="45" t="s">
        <v>259</v>
      </c>
      <c r="N1190" s="45" t="s">
        <v>167</v>
      </c>
      <c r="O1190" s="47" t="n">
        <v>46231.8376736111</v>
      </c>
      <c r="P1190" s="47" t="n">
        <v>46231.8382523148</v>
      </c>
    </row>
    <row r="1191" customFormat="false" ht="15" hidden="false" customHeight="false" outlineLevel="0" collapsed="false">
      <c r="A1191" s="45" t="n">
        <v>1396</v>
      </c>
      <c r="B1191" s="46" t="n">
        <v>46231</v>
      </c>
      <c r="C1191" s="45" t="s">
        <v>131</v>
      </c>
      <c r="D1191" s="45" t="s">
        <v>132</v>
      </c>
      <c r="E1191" s="45" t="s">
        <v>2122</v>
      </c>
      <c r="F1191" s="45" t="s">
        <v>2519</v>
      </c>
      <c r="G1191" s="46" t="n">
        <v>46230</v>
      </c>
      <c r="H1191" s="45" t="s">
        <v>57</v>
      </c>
      <c r="I1191" s="45" t="s">
        <v>200</v>
      </c>
      <c r="J1191" s="45" t="s">
        <v>938</v>
      </c>
      <c r="K1191" s="45" t="n">
        <v>2.7</v>
      </c>
      <c r="L1191" s="45" t="s">
        <v>263</v>
      </c>
      <c r="M1191" s="45" t="s">
        <v>259</v>
      </c>
      <c r="N1191" s="45" t="s">
        <v>57</v>
      </c>
      <c r="O1191" s="47" t="n">
        <v>46231.8407407407</v>
      </c>
      <c r="P1191" s="47" t="n">
        <v>46231.8426157407</v>
      </c>
    </row>
    <row r="1192" customFormat="false" ht="15" hidden="false" customHeight="false" outlineLevel="0" collapsed="false">
      <c r="A1192" s="45" t="n">
        <v>1398</v>
      </c>
      <c r="B1192" s="46" t="n">
        <v>46231</v>
      </c>
      <c r="C1192" s="45" t="s">
        <v>135</v>
      </c>
      <c r="D1192" s="45" t="s">
        <v>136</v>
      </c>
      <c r="E1192" s="45" t="s">
        <v>239</v>
      </c>
      <c r="F1192" s="45" t="s">
        <v>2520</v>
      </c>
      <c r="G1192" s="46" t="n">
        <v>46226</v>
      </c>
      <c r="H1192" s="45" t="s">
        <v>167</v>
      </c>
      <c r="I1192" s="45" t="s">
        <v>177</v>
      </c>
      <c r="J1192" s="45" t="s">
        <v>2521</v>
      </c>
      <c r="K1192" s="45" t="n">
        <v>16.2</v>
      </c>
      <c r="L1192" s="45" t="s">
        <v>263</v>
      </c>
      <c r="M1192" s="45" t="s">
        <v>259</v>
      </c>
      <c r="N1192" s="45" t="s">
        <v>167</v>
      </c>
      <c r="O1192" s="47" t="n">
        <v>46231.8409953704</v>
      </c>
      <c r="P1192" s="47" t="n">
        <v>46231.8522222222</v>
      </c>
    </row>
    <row r="1193" customFormat="false" ht="15" hidden="false" customHeight="false" outlineLevel="0" collapsed="false">
      <c r="A1193" s="45" t="n">
        <v>1397</v>
      </c>
      <c r="B1193" s="46" t="n">
        <v>46231</v>
      </c>
      <c r="C1193" s="45" t="s">
        <v>131</v>
      </c>
      <c r="D1193" s="45" t="s">
        <v>132</v>
      </c>
      <c r="E1193" s="45" t="s">
        <v>2127</v>
      </c>
      <c r="F1193" s="45" t="s">
        <v>2513</v>
      </c>
      <c r="G1193" s="46" t="n">
        <v>46230</v>
      </c>
      <c r="H1193" s="45" t="s">
        <v>170</v>
      </c>
      <c r="I1193" s="45" t="s">
        <v>208</v>
      </c>
      <c r="J1193" s="45" t="s">
        <v>2522</v>
      </c>
      <c r="K1193" s="45" t="n">
        <v>0.9</v>
      </c>
      <c r="L1193" s="45" t="s">
        <v>259</v>
      </c>
      <c r="M1193" s="45" t="s">
        <v>259</v>
      </c>
      <c r="N1193" s="45" t="s">
        <v>478</v>
      </c>
      <c r="O1193" s="47" t="n">
        <v>46231.8426736111</v>
      </c>
      <c r="P1193" s="47" t="n">
        <v>46231.8433217593</v>
      </c>
    </row>
    <row r="1194" customFormat="false" ht="15" hidden="false" customHeight="false" outlineLevel="0" collapsed="false">
      <c r="A1194" s="45" t="n">
        <v>1399</v>
      </c>
      <c r="B1194" s="46" t="n">
        <v>46231</v>
      </c>
      <c r="C1194" s="45" t="s">
        <v>135</v>
      </c>
      <c r="D1194" s="45" t="s">
        <v>136</v>
      </c>
      <c r="E1194" s="45" t="s">
        <v>226</v>
      </c>
      <c r="F1194" s="45" t="s">
        <v>2523</v>
      </c>
      <c r="G1194" s="46" t="n">
        <v>46225</v>
      </c>
      <c r="H1194" s="45" t="s">
        <v>167</v>
      </c>
      <c r="I1194" s="45" t="s">
        <v>177</v>
      </c>
      <c r="J1194" s="45" t="s">
        <v>2524</v>
      </c>
      <c r="K1194" s="45" t="n">
        <v>1</v>
      </c>
      <c r="L1194" s="45" t="s">
        <v>263</v>
      </c>
      <c r="M1194" s="45" t="s">
        <v>259</v>
      </c>
      <c r="N1194" s="45" t="s">
        <v>167</v>
      </c>
      <c r="O1194" s="47" t="n">
        <v>46231.8606134259</v>
      </c>
      <c r="P1194" s="47" t="n">
        <v>46231.8613310185</v>
      </c>
    </row>
    <row r="1195" customFormat="false" ht="15" hidden="false" customHeight="false" outlineLevel="0" collapsed="false">
      <c r="A1195" s="45" t="n">
        <v>1400</v>
      </c>
      <c r="B1195" s="46" t="n">
        <v>46231</v>
      </c>
      <c r="C1195" s="45" t="s">
        <v>135</v>
      </c>
      <c r="D1195" s="45" t="s">
        <v>136</v>
      </c>
      <c r="E1195" s="45" t="s">
        <v>226</v>
      </c>
      <c r="F1195" s="45" t="s">
        <v>2525</v>
      </c>
      <c r="G1195" s="46" t="n">
        <v>46226</v>
      </c>
      <c r="H1195" s="45" t="s">
        <v>167</v>
      </c>
      <c r="I1195" s="45" t="s">
        <v>177</v>
      </c>
      <c r="J1195" s="45" t="s">
        <v>2526</v>
      </c>
      <c r="K1195" s="45" t="n">
        <v>27.8</v>
      </c>
      <c r="L1195" s="45" t="s">
        <v>263</v>
      </c>
      <c r="M1195" s="45" t="s">
        <v>259</v>
      </c>
      <c r="N1195" s="45" t="s">
        <v>167</v>
      </c>
      <c r="O1195" s="47" t="n">
        <v>46231.8614930556</v>
      </c>
      <c r="P1195" s="47" t="n">
        <v>46231.880775463</v>
      </c>
    </row>
    <row r="1196" customFormat="false" ht="15" hidden="false" customHeight="false" outlineLevel="0" collapsed="false">
      <c r="A1196" s="45" t="n">
        <v>1401</v>
      </c>
      <c r="B1196" s="46" t="n">
        <v>46231</v>
      </c>
      <c r="C1196" s="45" t="s">
        <v>137</v>
      </c>
      <c r="D1196" s="45" t="s">
        <v>138</v>
      </c>
      <c r="E1196" s="45" t="s">
        <v>2527</v>
      </c>
      <c r="F1196" s="45" t="s">
        <v>2527</v>
      </c>
      <c r="G1196" s="46" t="n">
        <v>46225</v>
      </c>
      <c r="H1196" s="45" t="s">
        <v>167</v>
      </c>
      <c r="I1196" s="45" t="s">
        <v>175</v>
      </c>
      <c r="J1196" s="45" t="s">
        <v>445</v>
      </c>
      <c r="K1196" s="45" t="n">
        <v>1</v>
      </c>
      <c r="L1196" s="45" t="s">
        <v>259</v>
      </c>
      <c r="M1196" s="45" t="s">
        <v>263</v>
      </c>
      <c r="N1196" s="45" t="s">
        <v>167</v>
      </c>
      <c r="O1196" s="47" t="n">
        <v>46231.9056944445</v>
      </c>
      <c r="P1196" s="47" t="n">
        <v>46231.9063657407</v>
      </c>
    </row>
    <row r="1197" customFormat="false" ht="15" hidden="false" customHeight="false" outlineLevel="0" collapsed="false">
      <c r="A1197" s="45" t="n">
        <v>1402</v>
      </c>
      <c r="B1197" s="46" t="n">
        <v>46231</v>
      </c>
      <c r="C1197" s="45" t="s">
        <v>137</v>
      </c>
      <c r="D1197" s="45" t="s">
        <v>138</v>
      </c>
      <c r="E1197" s="45" t="s">
        <v>2527</v>
      </c>
      <c r="F1197" s="45" t="s">
        <v>2527</v>
      </c>
      <c r="G1197" s="46" t="n">
        <v>46230</v>
      </c>
      <c r="H1197" s="45" t="s">
        <v>167</v>
      </c>
      <c r="I1197" s="45" t="s">
        <v>176</v>
      </c>
      <c r="J1197" s="45" t="s">
        <v>445</v>
      </c>
      <c r="K1197" s="45" t="n">
        <v>0.3</v>
      </c>
      <c r="L1197" s="45" t="s">
        <v>259</v>
      </c>
      <c r="M1197" s="45" t="s">
        <v>263</v>
      </c>
      <c r="N1197" s="45" t="s">
        <v>167</v>
      </c>
      <c r="O1197" s="47" t="n">
        <v>46231.906400463</v>
      </c>
      <c r="P1197" s="47" t="n">
        <v>46231.9065972222</v>
      </c>
    </row>
    <row r="1198" customFormat="false" ht="15" hidden="false" customHeight="false" outlineLevel="0" collapsed="false">
      <c r="A1198" s="45" t="n">
        <v>1403</v>
      </c>
      <c r="B1198" s="46" t="n">
        <v>46231</v>
      </c>
      <c r="C1198" s="45" t="s">
        <v>137</v>
      </c>
      <c r="D1198" s="45" t="s">
        <v>138</v>
      </c>
      <c r="E1198" s="45" t="s">
        <v>2528</v>
      </c>
      <c r="F1198" s="45" t="s">
        <v>2528</v>
      </c>
      <c r="G1198" s="46" t="n">
        <v>46225</v>
      </c>
      <c r="H1198" s="45" t="s">
        <v>168</v>
      </c>
      <c r="I1198" s="45" t="s">
        <v>193</v>
      </c>
      <c r="J1198" s="45" t="s">
        <v>2529</v>
      </c>
      <c r="K1198" s="45" t="n">
        <v>0.3</v>
      </c>
      <c r="L1198" s="45" t="s">
        <v>263</v>
      </c>
      <c r="M1198" s="45" t="s">
        <v>263</v>
      </c>
      <c r="N1198" s="45" t="s">
        <v>264</v>
      </c>
      <c r="O1198" s="47" t="n">
        <v>46231.9066666667</v>
      </c>
      <c r="P1198" s="47" t="n">
        <v>46231.9068981482</v>
      </c>
    </row>
    <row r="1199" customFormat="false" ht="15" hidden="false" customHeight="false" outlineLevel="0" collapsed="false">
      <c r="A1199" s="45" t="n">
        <v>1404</v>
      </c>
      <c r="B1199" s="46" t="n">
        <v>46231</v>
      </c>
      <c r="C1199" s="45" t="s">
        <v>137</v>
      </c>
      <c r="D1199" s="45" t="s">
        <v>138</v>
      </c>
      <c r="E1199" s="45" t="s">
        <v>2530</v>
      </c>
      <c r="F1199" s="45" t="s">
        <v>2530</v>
      </c>
      <c r="G1199" s="46" t="n">
        <v>46225</v>
      </c>
      <c r="H1199" s="45" t="s">
        <v>167</v>
      </c>
      <c r="I1199" s="45" t="s">
        <v>183</v>
      </c>
      <c r="J1199" s="45" t="s">
        <v>445</v>
      </c>
      <c r="K1199" s="45" t="n">
        <v>0.3</v>
      </c>
      <c r="L1199" s="45" t="s">
        <v>263</v>
      </c>
      <c r="M1199" s="45" t="s">
        <v>263</v>
      </c>
      <c r="N1199" s="45" t="s">
        <v>167</v>
      </c>
      <c r="O1199" s="47" t="n">
        <v>46231.9070833333</v>
      </c>
      <c r="P1199" s="47" t="n">
        <v>46231.9072916667</v>
      </c>
    </row>
    <row r="1200" customFormat="false" ht="15" hidden="false" customHeight="false" outlineLevel="0" collapsed="false">
      <c r="A1200" s="45" t="n">
        <v>1405</v>
      </c>
      <c r="B1200" s="46" t="n">
        <v>46232</v>
      </c>
      <c r="C1200" s="45" t="s">
        <v>133</v>
      </c>
      <c r="D1200" s="45" t="s">
        <v>134</v>
      </c>
      <c r="E1200" s="45" t="s">
        <v>241</v>
      </c>
      <c r="F1200" s="45" t="s">
        <v>2531</v>
      </c>
      <c r="G1200" s="46" t="n">
        <v>46230</v>
      </c>
      <c r="H1200" s="45" t="s">
        <v>167</v>
      </c>
      <c r="I1200" s="45" t="s">
        <v>177</v>
      </c>
      <c r="J1200" s="45" t="s">
        <v>2532</v>
      </c>
      <c r="K1200" s="45" t="n">
        <v>14.2</v>
      </c>
      <c r="L1200" s="45" t="s">
        <v>263</v>
      </c>
      <c r="M1200" s="45" t="s">
        <v>259</v>
      </c>
      <c r="N1200" s="45" t="s">
        <v>167</v>
      </c>
      <c r="O1200" s="47" t="n">
        <v>46232.1727777778</v>
      </c>
      <c r="P1200" s="47" t="n">
        <v>46232.182662037</v>
      </c>
    </row>
    <row r="1201" customFormat="false" ht="15" hidden="false" customHeight="false" outlineLevel="0" collapsed="false">
      <c r="A1201" s="45" t="n">
        <v>1406</v>
      </c>
      <c r="B1201" s="46" t="n">
        <v>46232</v>
      </c>
      <c r="C1201" s="45" t="s">
        <v>133</v>
      </c>
      <c r="D1201" s="45" t="s">
        <v>134</v>
      </c>
      <c r="E1201" s="45" t="s">
        <v>1930</v>
      </c>
      <c r="F1201" s="45" t="s">
        <v>2533</v>
      </c>
      <c r="G1201" s="46" t="n">
        <v>46230</v>
      </c>
      <c r="H1201" s="45" t="s">
        <v>167</v>
      </c>
      <c r="I1201" s="45" t="s">
        <v>175</v>
      </c>
      <c r="J1201" s="45" t="s">
        <v>2534</v>
      </c>
      <c r="K1201" s="45" t="n">
        <v>23.5</v>
      </c>
      <c r="L1201" s="45" t="s">
        <v>263</v>
      </c>
      <c r="M1201" s="45" t="s">
        <v>259</v>
      </c>
      <c r="N1201" s="45" t="s">
        <v>167</v>
      </c>
      <c r="O1201" s="47" t="n">
        <v>46232.1826967593</v>
      </c>
      <c r="P1201" s="47" t="n">
        <v>46232.1990046296</v>
      </c>
    </row>
    <row r="1202" customFormat="false" ht="15" hidden="false" customHeight="false" outlineLevel="0" collapsed="false">
      <c r="A1202" s="45" t="n">
        <v>1411</v>
      </c>
      <c r="B1202" s="46" t="n">
        <v>46232</v>
      </c>
      <c r="C1202" s="45" t="s">
        <v>141</v>
      </c>
      <c r="D1202" s="45" t="s">
        <v>142</v>
      </c>
      <c r="E1202" s="45" t="s">
        <v>917</v>
      </c>
      <c r="F1202" s="45" t="s">
        <v>2535</v>
      </c>
      <c r="G1202" s="46" t="n">
        <v>46226</v>
      </c>
      <c r="H1202" s="45" t="s">
        <v>168</v>
      </c>
      <c r="I1202" s="45" t="s">
        <v>191</v>
      </c>
      <c r="J1202" s="45" t="s">
        <v>2536</v>
      </c>
      <c r="K1202" s="45" t="n">
        <v>40.3</v>
      </c>
      <c r="L1202" s="45" t="s">
        <v>263</v>
      </c>
      <c r="M1202" s="45" t="s">
        <v>259</v>
      </c>
      <c r="N1202" s="45" t="s">
        <v>264</v>
      </c>
      <c r="O1202" s="47" t="n">
        <v>46232.2040509259</v>
      </c>
      <c r="P1202" s="47" t="n">
        <v>46232.2320138889</v>
      </c>
    </row>
    <row r="1203" customFormat="false" ht="15" hidden="false" customHeight="false" outlineLevel="0" collapsed="false">
      <c r="A1203" s="45" t="n">
        <v>1407</v>
      </c>
      <c r="B1203" s="46" t="n">
        <v>46232</v>
      </c>
      <c r="C1203" s="45" t="s">
        <v>133</v>
      </c>
      <c r="D1203" s="45" t="s">
        <v>134</v>
      </c>
      <c r="E1203" s="45" t="s">
        <v>2537</v>
      </c>
      <c r="F1203" s="45" t="s">
        <v>2538</v>
      </c>
      <c r="G1203" s="46" t="n">
        <v>46230</v>
      </c>
      <c r="H1203" s="45" t="s">
        <v>169</v>
      </c>
      <c r="I1203" s="45"/>
      <c r="J1203" s="45"/>
      <c r="K1203" s="45" t="n">
        <v>1.2</v>
      </c>
      <c r="L1203" s="45" t="s">
        <v>263</v>
      </c>
      <c r="M1203" s="45" t="s">
        <v>259</v>
      </c>
      <c r="N1203" s="45" t="s">
        <v>169</v>
      </c>
      <c r="O1203" s="47" t="n">
        <v>46232.2051736111</v>
      </c>
      <c r="P1203" s="47" t="n">
        <v>46232.2060300926</v>
      </c>
    </row>
    <row r="1204" customFormat="false" ht="15" hidden="false" customHeight="false" outlineLevel="0" collapsed="false">
      <c r="A1204" s="45" t="n">
        <v>1408</v>
      </c>
      <c r="B1204" s="46" t="n">
        <v>46232</v>
      </c>
      <c r="C1204" s="45" t="s">
        <v>133</v>
      </c>
      <c r="D1204" s="45" t="s">
        <v>134</v>
      </c>
      <c r="E1204" s="45" t="s">
        <v>2539</v>
      </c>
      <c r="F1204" s="45" t="s">
        <v>2540</v>
      </c>
      <c r="G1204" s="46" t="n">
        <v>46230</v>
      </c>
      <c r="H1204" s="45" t="s">
        <v>167</v>
      </c>
      <c r="I1204" s="45" t="s">
        <v>175</v>
      </c>
      <c r="J1204" s="45" t="s">
        <v>2541</v>
      </c>
      <c r="K1204" s="45" t="n">
        <v>6.5</v>
      </c>
      <c r="L1204" s="45" t="s">
        <v>263</v>
      </c>
      <c r="M1204" s="45" t="s">
        <v>259</v>
      </c>
      <c r="N1204" s="45" t="s">
        <v>167</v>
      </c>
      <c r="O1204" s="47" t="n">
        <v>46232.2060532407</v>
      </c>
      <c r="P1204" s="47" t="n">
        <v>46232.2105555556</v>
      </c>
    </row>
    <row r="1205" customFormat="false" ht="15" hidden="false" customHeight="false" outlineLevel="0" collapsed="false">
      <c r="A1205" s="45" t="n">
        <v>1409</v>
      </c>
      <c r="B1205" s="46" t="n">
        <v>46232</v>
      </c>
      <c r="C1205" s="45" t="s">
        <v>133</v>
      </c>
      <c r="D1205" s="45" t="s">
        <v>134</v>
      </c>
      <c r="E1205" s="45" t="s">
        <v>2542</v>
      </c>
      <c r="F1205" s="45" t="s">
        <v>2543</v>
      </c>
      <c r="G1205" s="46" t="n">
        <v>46230</v>
      </c>
      <c r="H1205" s="45" t="s">
        <v>168</v>
      </c>
      <c r="I1205" s="45" t="s">
        <v>191</v>
      </c>
      <c r="J1205" s="45" t="s">
        <v>2544</v>
      </c>
      <c r="K1205" s="45" t="n">
        <v>4.4</v>
      </c>
      <c r="L1205" s="45" t="s">
        <v>263</v>
      </c>
      <c r="M1205" s="45" t="s">
        <v>259</v>
      </c>
      <c r="N1205" s="45" t="s">
        <v>264</v>
      </c>
      <c r="O1205" s="47" t="n">
        <v>46232.2116782407</v>
      </c>
      <c r="P1205" s="47" t="n">
        <v>46232.2147337963</v>
      </c>
    </row>
    <row r="1206" customFormat="false" ht="15" hidden="false" customHeight="false" outlineLevel="0" collapsed="false">
      <c r="A1206" s="45" t="n">
        <v>1410</v>
      </c>
      <c r="B1206" s="46" t="n">
        <v>46232</v>
      </c>
      <c r="C1206" s="45" t="s">
        <v>133</v>
      </c>
      <c r="D1206" s="45" t="s">
        <v>134</v>
      </c>
      <c r="E1206" s="45" t="s">
        <v>2539</v>
      </c>
      <c r="F1206" s="45" t="s">
        <v>2545</v>
      </c>
      <c r="G1206" s="46" t="n">
        <v>46230</v>
      </c>
      <c r="H1206" s="45" t="s">
        <v>57</v>
      </c>
      <c r="I1206" s="45" t="s">
        <v>200</v>
      </c>
      <c r="J1206" s="45" t="s">
        <v>2546</v>
      </c>
      <c r="K1206" s="45" t="n">
        <v>6.1</v>
      </c>
      <c r="L1206" s="45" t="s">
        <v>263</v>
      </c>
      <c r="M1206" s="45" t="s">
        <v>259</v>
      </c>
      <c r="N1206" s="45" t="s">
        <v>57</v>
      </c>
      <c r="O1206" s="47" t="n">
        <v>46232.2147685185</v>
      </c>
      <c r="P1206" s="47" t="n">
        <v>46232.2189814815</v>
      </c>
    </row>
    <row r="1207" customFormat="false" ht="15" hidden="false" customHeight="false" outlineLevel="0" collapsed="false">
      <c r="A1207" s="45" t="n">
        <v>1412</v>
      </c>
      <c r="B1207" s="46" t="n">
        <v>46232</v>
      </c>
      <c r="C1207" s="45" t="s">
        <v>133</v>
      </c>
      <c r="D1207" s="45" t="s">
        <v>134</v>
      </c>
      <c r="E1207" s="45" t="s">
        <v>405</v>
      </c>
      <c r="F1207" s="45" t="s">
        <v>2547</v>
      </c>
      <c r="G1207" s="46" t="n">
        <v>46231</v>
      </c>
      <c r="H1207" s="45" t="s">
        <v>168</v>
      </c>
      <c r="I1207" s="45" t="s">
        <v>191</v>
      </c>
      <c r="J1207" s="45" t="s">
        <v>2548</v>
      </c>
      <c r="K1207" s="45" t="n">
        <v>19.5</v>
      </c>
      <c r="L1207" s="45" t="s">
        <v>263</v>
      </c>
      <c r="M1207" s="45" t="s">
        <v>259</v>
      </c>
      <c r="N1207" s="45" t="s">
        <v>264</v>
      </c>
      <c r="O1207" s="47" t="n">
        <v>46232.2194907407</v>
      </c>
      <c r="P1207" s="47" t="n">
        <v>46232.2330555556</v>
      </c>
    </row>
    <row r="1208" customFormat="false" ht="15" hidden="false" customHeight="false" outlineLevel="0" collapsed="false">
      <c r="A1208" s="45" t="n">
        <v>1413</v>
      </c>
      <c r="B1208" s="46" t="n">
        <v>46232</v>
      </c>
      <c r="C1208" s="45" t="s">
        <v>133</v>
      </c>
      <c r="D1208" s="45" t="s">
        <v>134</v>
      </c>
      <c r="E1208" s="45" t="s">
        <v>241</v>
      </c>
      <c r="F1208" s="45" t="s">
        <v>2549</v>
      </c>
      <c r="G1208" s="46" t="n">
        <v>46231</v>
      </c>
      <c r="H1208" s="45" t="s">
        <v>167</v>
      </c>
      <c r="I1208" s="45" t="s">
        <v>177</v>
      </c>
      <c r="J1208" s="45" t="s">
        <v>2550</v>
      </c>
      <c r="K1208" s="45" t="n">
        <v>6.8</v>
      </c>
      <c r="L1208" s="45" t="s">
        <v>263</v>
      </c>
      <c r="M1208" s="45" t="s">
        <v>259</v>
      </c>
      <c r="N1208" s="45" t="s">
        <v>167</v>
      </c>
      <c r="O1208" s="47" t="n">
        <v>46232.2335069445</v>
      </c>
      <c r="P1208" s="47" t="n">
        <v>46232.2382407407</v>
      </c>
    </row>
    <row r="1209" customFormat="false" ht="15" hidden="false" customHeight="false" outlineLevel="0" collapsed="false">
      <c r="A1209" s="45" t="n">
        <v>1424</v>
      </c>
      <c r="B1209" s="46" t="n">
        <v>46232</v>
      </c>
      <c r="C1209" s="45" t="s">
        <v>133</v>
      </c>
      <c r="D1209" s="45" t="s">
        <v>134</v>
      </c>
      <c r="E1209" s="45" t="s">
        <v>2539</v>
      </c>
      <c r="F1209" s="45" t="s">
        <v>2551</v>
      </c>
      <c r="G1209" s="46" t="n">
        <v>46231</v>
      </c>
      <c r="H1209" s="45" t="s">
        <v>167</v>
      </c>
      <c r="I1209" s="45" t="s">
        <v>175</v>
      </c>
      <c r="J1209" s="45" t="s">
        <v>2552</v>
      </c>
      <c r="K1209" s="45" t="n">
        <v>1379.9</v>
      </c>
      <c r="L1209" s="45" t="s">
        <v>263</v>
      </c>
      <c r="M1209" s="45" t="s">
        <v>259</v>
      </c>
      <c r="N1209" s="45" t="s">
        <v>167</v>
      </c>
      <c r="O1209" s="47" t="n">
        <v>46232.2402893519</v>
      </c>
      <c r="P1209" s="47" t="n">
        <v>46233.1985416667</v>
      </c>
    </row>
    <row r="1210" customFormat="false" ht="15" hidden="false" customHeight="false" outlineLevel="0" collapsed="false">
      <c r="A1210" s="45" t="n">
        <v>1414</v>
      </c>
      <c r="B1210" s="46" t="n">
        <v>46232</v>
      </c>
      <c r="C1210" s="45" t="s">
        <v>141</v>
      </c>
      <c r="D1210" s="45" t="s">
        <v>142</v>
      </c>
      <c r="E1210" s="45" t="s">
        <v>227</v>
      </c>
      <c r="F1210" s="45" t="s">
        <v>2553</v>
      </c>
      <c r="G1210" s="46" t="n">
        <v>46225</v>
      </c>
      <c r="H1210" s="45" t="s">
        <v>168</v>
      </c>
      <c r="I1210" s="45" t="s">
        <v>191</v>
      </c>
      <c r="J1210" s="45" t="s">
        <v>2554</v>
      </c>
      <c r="K1210" s="45" t="n">
        <v>56.1</v>
      </c>
      <c r="L1210" s="45" t="s">
        <v>263</v>
      </c>
      <c r="M1210" s="45" t="s">
        <v>259</v>
      </c>
      <c r="N1210" s="45" t="s">
        <v>264</v>
      </c>
      <c r="O1210" s="47" t="n">
        <v>46232.2465393519</v>
      </c>
      <c r="P1210" s="47" t="n">
        <v>46232.2855092593</v>
      </c>
    </row>
    <row r="1211" customFormat="false" ht="15" hidden="false" customHeight="false" outlineLevel="0" collapsed="false">
      <c r="A1211" s="45" t="n">
        <v>1415</v>
      </c>
      <c r="B1211" s="46" t="n">
        <v>46232</v>
      </c>
      <c r="C1211" s="45" t="s">
        <v>141</v>
      </c>
      <c r="D1211" s="45" t="s">
        <v>142</v>
      </c>
      <c r="E1211" s="45" t="s">
        <v>232</v>
      </c>
      <c r="F1211" s="45" t="s">
        <v>2555</v>
      </c>
      <c r="G1211" s="46" t="n">
        <v>46227</v>
      </c>
      <c r="H1211" s="45" t="s">
        <v>168</v>
      </c>
      <c r="I1211" s="45" t="s">
        <v>191</v>
      </c>
      <c r="J1211" s="45" t="s">
        <v>2556</v>
      </c>
      <c r="K1211" s="45" t="n">
        <v>0.6</v>
      </c>
      <c r="L1211" s="45" t="s">
        <v>263</v>
      </c>
      <c r="M1211" s="45" t="s">
        <v>259</v>
      </c>
      <c r="N1211" s="45" t="s">
        <v>264</v>
      </c>
      <c r="O1211" s="47" t="n">
        <v>46232.2855439815</v>
      </c>
      <c r="P1211" s="47" t="n">
        <v>46232.2859606482</v>
      </c>
    </row>
    <row r="1212" customFormat="false" ht="15" hidden="false" customHeight="false" outlineLevel="0" collapsed="false">
      <c r="A1212" s="45" t="n">
        <v>1416</v>
      </c>
      <c r="B1212" s="46" t="n">
        <v>46233</v>
      </c>
      <c r="C1212" s="45" t="s">
        <v>135</v>
      </c>
      <c r="D1212" s="45" t="s">
        <v>136</v>
      </c>
      <c r="E1212" s="45" t="s">
        <v>1606</v>
      </c>
      <c r="F1212" s="45" t="s">
        <v>2557</v>
      </c>
      <c r="G1212" s="46" t="n">
        <v>46229</v>
      </c>
      <c r="H1212" s="45" t="s">
        <v>168</v>
      </c>
      <c r="I1212" s="45" t="s">
        <v>191</v>
      </c>
      <c r="J1212" s="45" t="s">
        <v>2558</v>
      </c>
      <c r="K1212" s="45" t="n">
        <v>57.1</v>
      </c>
      <c r="L1212" s="45" t="s">
        <v>263</v>
      </c>
      <c r="M1212" s="45" t="s">
        <v>259</v>
      </c>
      <c r="N1212" s="45" t="s">
        <v>2559</v>
      </c>
      <c r="O1212" s="47" t="n">
        <v>46233.049375</v>
      </c>
      <c r="P1212" s="47" t="n">
        <v>46233.0890393519</v>
      </c>
    </row>
    <row r="1213" customFormat="false" ht="15" hidden="false" customHeight="false" outlineLevel="0" collapsed="false">
      <c r="A1213" s="45" t="n">
        <v>1417</v>
      </c>
      <c r="B1213" s="46" t="n">
        <v>46233</v>
      </c>
      <c r="C1213" s="45" t="s">
        <v>135</v>
      </c>
      <c r="D1213" s="45" t="s">
        <v>136</v>
      </c>
      <c r="E1213" s="45" t="s">
        <v>1606</v>
      </c>
      <c r="F1213" s="45" t="s">
        <v>2560</v>
      </c>
      <c r="G1213" s="46" t="n">
        <v>46229</v>
      </c>
      <c r="H1213" s="45" t="s">
        <v>167</v>
      </c>
      <c r="I1213" s="45" t="s">
        <v>180</v>
      </c>
      <c r="J1213" s="45" t="s">
        <v>2561</v>
      </c>
      <c r="K1213" s="45" t="n">
        <v>50.6</v>
      </c>
      <c r="L1213" s="45" t="s">
        <v>263</v>
      </c>
      <c r="M1213" s="45" t="s">
        <v>259</v>
      </c>
      <c r="N1213" s="45" t="s">
        <v>167</v>
      </c>
      <c r="O1213" s="47" t="n">
        <v>46233.0999884259</v>
      </c>
      <c r="P1213" s="47" t="n">
        <v>46233.1351041667</v>
      </c>
    </row>
    <row r="1214" customFormat="false" ht="15" hidden="false" customHeight="false" outlineLevel="0" collapsed="false">
      <c r="A1214" s="45" t="n">
        <v>1418</v>
      </c>
      <c r="B1214" s="46" t="n">
        <v>46233</v>
      </c>
      <c r="C1214" s="45" t="s">
        <v>135</v>
      </c>
      <c r="D1214" s="45" t="s">
        <v>136</v>
      </c>
      <c r="E1214" s="45" t="s">
        <v>1606</v>
      </c>
      <c r="F1214" s="45" t="s">
        <v>2562</v>
      </c>
      <c r="G1214" s="46" t="n">
        <v>46229</v>
      </c>
      <c r="H1214" s="45" t="s">
        <v>167</v>
      </c>
      <c r="I1214" s="45" t="s">
        <v>183</v>
      </c>
      <c r="J1214" s="45" t="s">
        <v>2563</v>
      </c>
      <c r="K1214" s="45" t="n">
        <v>13.2</v>
      </c>
      <c r="L1214" s="45" t="s">
        <v>263</v>
      </c>
      <c r="M1214" s="45" t="s">
        <v>259</v>
      </c>
      <c r="N1214" s="45" t="s">
        <v>167</v>
      </c>
      <c r="O1214" s="47" t="n">
        <v>46233.1351967593</v>
      </c>
      <c r="P1214" s="47" t="n">
        <v>46233.1443634259</v>
      </c>
    </row>
    <row r="1215" customFormat="false" ht="15" hidden="false" customHeight="false" outlineLevel="0" collapsed="false">
      <c r="A1215" s="45" t="n">
        <v>1419</v>
      </c>
      <c r="B1215" s="46" t="n">
        <v>46233</v>
      </c>
      <c r="C1215" s="45" t="s">
        <v>135</v>
      </c>
      <c r="D1215" s="45" t="s">
        <v>136</v>
      </c>
      <c r="E1215" s="45" t="s">
        <v>1606</v>
      </c>
      <c r="F1215" s="45" t="s">
        <v>2564</v>
      </c>
      <c r="G1215" s="46" t="n">
        <v>46227</v>
      </c>
      <c r="H1215" s="45" t="s">
        <v>168</v>
      </c>
      <c r="I1215" s="45" t="s">
        <v>191</v>
      </c>
      <c r="J1215" s="45" t="s">
        <v>2565</v>
      </c>
      <c r="K1215" s="45" t="n">
        <v>9.3</v>
      </c>
      <c r="L1215" s="45" t="s">
        <v>263</v>
      </c>
      <c r="M1215" s="45" t="s">
        <v>259</v>
      </c>
      <c r="N1215" s="45" t="s">
        <v>2559</v>
      </c>
      <c r="O1215" s="47" t="n">
        <v>46233.1451736111</v>
      </c>
      <c r="P1215" s="47" t="n">
        <v>46233.1516435185</v>
      </c>
    </row>
    <row r="1216" customFormat="false" ht="15" hidden="false" customHeight="false" outlineLevel="0" collapsed="false">
      <c r="A1216" s="45" t="n">
        <v>1420</v>
      </c>
      <c r="B1216" s="46" t="n">
        <v>46233</v>
      </c>
      <c r="C1216" s="45" t="s">
        <v>135</v>
      </c>
      <c r="D1216" s="45" t="s">
        <v>136</v>
      </c>
      <c r="E1216" s="45" t="s">
        <v>492</v>
      </c>
      <c r="F1216" s="45" t="s">
        <v>2566</v>
      </c>
      <c r="G1216" s="46" t="n">
        <v>46229</v>
      </c>
      <c r="H1216" s="45" t="s">
        <v>167</v>
      </c>
      <c r="I1216" s="45" t="s">
        <v>178</v>
      </c>
      <c r="J1216" s="45" t="s">
        <v>2567</v>
      </c>
      <c r="K1216" s="45" t="n">
        <v>32.9</v>
      </c>
      <c r="L1216" s="45" t="s">
        <v>263</v>
      </c>
      <c r="M1216" s="45" t="s">
        <v>259</v>
      </c>
      <c r="N1216" s="45" t="s">
        <v>167</v>
      </c>
      <c r="O1216" s="47" t="n">
        <v>46233.1519444444</v>
      </c>
      <c r="P1216" s="47" t="n">
        <v>46233.1747569444</v>
      </c>
    </row>
    <row r="1217" customFormat="false" ht="15" hidden="false" customHeight="false" outlineLevel="0" collapsed="false">
      <c r="A1217" s="45" t="n">
        <v>1423</v>
      </c>
      <c r="B1217" s="46" t="n">
        <v>46233</v>
      </c>
      <c r="C1217" s="45" t="s">
        <v>141</v>
      </c>
      <c r="D1217" s="45" t="s">
        <v>142</v>
      </c>
      <c r="E1217" s="45" t="s">
        <v>917</v>
      </c>
      <c r="F1217" s="45" t="s">
        <v>2568</v>
      </c>
      <c r="G1217" s="46" t="n">
        <v>46232</v>
      </c>
      <c r="H1217" s="45" t="s">
        <v>168</v>
      </c>
      <c r="I1217" s="45" t="s">
        <v>191</v>
      </c>
      <c r="J1217" s="45" t="s">
        <v>2569</v>
      </c>
      <c r="K1217" s="45" t="n">
        <v>58.1</v>
      </c>
      <c r="L1217" s="45" t="s">
        <v>263</v>
      </c>
      <c r="M1217" s="45" t="s">
        <v>259</v>
      </c>
      <c r="N1217" s="45" t="s">
        <v>264</v>
      </c>
      <c r="O1217" s="47" t="n">
        <v>46233.1523842593</v>
      </c>
      <c r="P1217" s="47" t="n">
        <v>46233.1927546296</v>
      </c>
    </row>
    <row r="1218" customFormat="false" ht="15" hidden="false" customHeight="false" outlineLevel="0" collapsed="false">
      <c r="A1218" s="45" t="n">
        <v>1421</v>
      </c>
      <c r="B1218" s="46" t="n">
        <v>46233</v>
      </c>
      <c r="C1218" s="45" t="s">
        <v>135</v>
      </c>
      <c r="D1218" s="45" t="s">
        <v>136</v>
      </c>
      <c r="E1218" s="45" t="s">
        <v>226</v>
      </c>
      <c r="F1218" s="45" t="s">
        <v>2570</v>
      </c>
      <c r="G1218" s="46" t="n">
        <v>46229</v>
      </c>
      <c r="H1218" s="45" t="s">
        <v>167</v>
      </c>
      <c r="I1218" s="45" t="s">
        <v>180</v>
      </c>
      <c r="J1218" s="45" t="s">
        <v>1048</v>
      </c>
      <c r="K1218" s="45" t="n">
        <v>2.1</v>
      </c>
      <c r="L1218" s="45" t="s">
        <v>263</v>
      </c>
      <c r="M1218" s="45" t="s">
        <v>259</v>
      </c>
      <c r="N1218" s="45" t="s">
        <v>167</v>
      </c>
      <c r="O1218" s="47" t="n">
        <v>46233.1748842593</v>
      </c>
      <c r="P1218" s="47" t="n">
        <v>46233.1763425926</v>
      </c>
    </row>
    <row r="1219" customFormat="false" ht="15" hidden="false" customHeight="false" outlineLevel="0" collapsed="false">
      <c r="A1219" s="45" t="n">
        <v>1422</v>
      </c>
      <c r="B1219" s="46" t="n">
        <v>46233</v>
      </c>
      <c r="C1219" s="45" t="s">
        <v>135</v>
      </c>
      <c r="D1219" s="45" t="s">
        <v>136</v>
      </c>
      <c r="E1219" s="45" t="s">
        <v>239</v>
      </c>
      <c r="F1219" s="45" t="s">
        <v>2571</v>
      </c>
      <c r="G1219" s="46" t="n">
        <v>46229</v>
      </c>
      <c r="H1219" s="45" t="s">
        <v>167</v>
      </c>
      <c r="I1219" s="45" t="s">
        <v>176</v>
      </c>
      <c r="J1219" s="45" t="s">
        <v>2572</v>
      </c>
      <c r="K1219" s="45" t="n">
        <v>3</v>
      </c>
      <c r="L1219" s="45" t="s">
        <v>263</v>
      </c>
      <c r="M1219" s="45" t="s">
        <v>259</v>
      </c>
      <c r="N1219" s="45" t="s">
        <v>167</v>
      </c>
      <c r="O1219" s="47" t="n">
        <v>46233.1764699074</v>
      </c>
      <c r="P1219" s="47" t="n">
        <v>46233.1785648148</v>
      </c>
    </row>
    <row r="1220" customFormat="false" ht="15" hidden="false" customHeight="false" outlineLevel="0" collapsed="false">
      <c r="A1220" s="45" t="n">
        <v>1425</v>
      </c>
      <c r="B1220" s="46" t="n">
        <v>46233</v>
      </c>
      <c r="C1220" s="45" t="s">
        <v>141</v>
      </c>
      <c r="D1220" s="45" t="s">
        <v>142</v>
      </c>
      <c r="E1220" s="45" t="s">
        <v>230</v>
      </c>
      <c r="F1220" s="45" t="s">
        <v>2573</v>
      </c>
      <c r="G1220" s="46" t="n">
        <v>46228</v>
      </c>
      <c r="H1220" s="45" t="s">
        <v>167</v>
      </c>
      <c r="I1220" s="45" t="s">
        <v>175</v>
      </c>
      <c r="J1220" s="45" t="s">
        <v>2574</v>
      </c>
      <c r="K1220" s="45" t="n">
        <v>44.8</v>
      </c>
      <c r="L1220" s="45" t="s">
        <v>263</v>
      </c>
      <c r="M1220" s="45" t="s">
        <v>259</v>
      </c>
      <c r="N1220" s="45" t="s">
        <v>167</v>
      </c>
      <c r="O1220" s="47" t="n">
        <v>46233.1941898148</v>
      </c>
      <c r="P1220" s="47" t="n">
        <v>46233.2252662037</v>
      </c>
    </row>
    <row r="1221" customFormat="false" ht="15" hidden="false" customHeight="false" outlineLevel="0" collapsed="false">
      <c r="A1221" s="45" t="n">
        <v>1427</v>
      </c>
      <c r="B1221" s="46" t="n">
        <v>46233</v>
      </c>
      <c r="C1221" s="45" t="s">
        <v>141</v>
      </c>
      <c r="D1221" s="45" t="s">
        <v>142</v>
      </c>
      <c r="E1221" s="45" t="s">
        <v>231</v>
      </c>
      <c r="F1221" s="45" t="s">
        <v>2575</v>
      </c>
      <c r="G1221" s="46" t="n">
        <v>46226</v>
      </c>
      <c r="H1221" s="45" t="s">
        <v>167</v>
      </c>
      <c r="I1221" s="45" t="s">
        <v>175</v>
      </c>
      <c r="J1221" s="45" t="s">
        <v>2576</v>
      </c>
      <c r="K1221" s="45" t="n">
        <v>31.7</v>
      </c>
      <c r="L1221" s="45" t="s">
        <v>263</v>
      </c>
      <c r="M1221" s="45" t="s">
        <v>259</v>
      </c>
      <c r="N1221" s="45" t="s">
        <v>167</v>
      </c>
      <c r="O1221" s="47" t="n">
        <v>46233.2255439815</v>
      </c>
      <c r="P1221" s="47" t="n">
        <v>46233.2475810185</v>
      </c>
    </row>
    <row r="1222" customFormat="false" ht="15" hidden="false" customHeight="false" outlineLevel="0" collapsed="false">
      <c r="A1222" s="45" t="n">
        <v>1426</v>
      </c>
      <c r="B1222" s="46" t="n">
        <v>46233</v>
      </c>
      <c r="C1222" s="45" t="s">
        <v>133</v>
      </c>
      <c r="D1222" s="45" t="s">
        <v>134</v>
      </c>
      <c r="E1222" s="45" t="s">
        <v>241</v>
      </c>
      <c r="F1222" s="45" t="s">
        <v>2577</v>
      </c>
      <c r="G1222" s="46" t="n">
        <v>46231</v>
      </c>
      <c r="H1222" s="45" t="s">
        <v>167</v>
      </c>
      <c r="I1222" s="45" t="s">
        <v>175</v>
      </c>
      <c r="J1222" s="45" t="s">
        <v>2578</v>
      </c>
      <c r="K1222" s="45" t="n">
        <v>6.7</v>
      </c>
      <c r="L1222" s="45" t="s">
        <v>263</v>
      </c>
      <c r="M1222" s="45" t="s">
        <v>259</v>
      </c>
      <c r="N1222" s="45" t="s">
        <v>167</v>
      </c>
      <c r="O1222" s="47" t="n">
        <v>46233.2288773148</v>
      </c>
      <c r="P1222" s="47" t="n">
        <v>46233.2335300926</v>
      </c>
    </row>
    <row r="1223" customFormat="false" ht="15" hidden="false" customHeight="false" outlineLevel="0" collapsed="false">
      <c r="A1223" s="45" t="n">
        <v>1428</v>
      </c>
      <c r="B1223" s="46" t="n">
        <v>46233</v>
      </c>
      <c r="C1223" s="45" t="s">
        <v>133</v>
      </c>
      <c r="D1223" s="45" t="s">
        <v>134</v>
      </c>
      <c r="E1223" s="45" t="s">
        <v>1930</v>
      </c>
      <c r="F1223" s="45" t="s">
        <v>2579</v>
      </c>
      <c r="G1223" s="46" t="n">
        <v>46232</v>
      </c>
      <c r="H1223" s="45" t="s">
        <v>167</v>
      </c>
      <c r="I1223" s="45" t="s">
        <v>175</v>
      </c>
      <c r="J1223" s="45" t="s">
        <v>2580</v>
      </c>
      <c r="K1223" s="45" t="n">
        <v>20.2</v>
      </c>
      <c r="L1223" s="45" t="s">
        <v>263</v>
      </c>
      <c r="M1223" s="45" t="s">
        <v>259</v>
      </c>
      <c r="N1223" s="45" t="s">
        <v>167</v>
      </c>
      <c r="O1223" s="47" t="n">
        <v>46233.2406944444</v>
      </c>
      <c r="P1223" s="47" t="n">
        <v>46233.2546990741</v>
      </c>
    </row>
    <row r="1224" customFormat="false" ht="15" hidden="false" customHeight="false" outlineLevel="0" collapsed="false">
      <c r="A1224" s="45" t="n">
        <v>1429</v>
      </c>
      <c r="B1224" s="46" t="n">
        <v>46233</v>
      </c>
      <c r="C1224" s="45" t="s">
        <v>141</v>
      </c>
      <c r="D1224" s="45" t="s">
        <v>142</v>
      </c>
      <c r="E1224" s="45" t="s">
        <v>2282</v>
      </c>
      <c r="F1224" s="45" t="s">
        <v>2581</v>
      </c>
      <c r="G1224" s="46" t="n">
        <v>46228</v>
      </c>
      <c r="H1224" s="45" t="s">
        <v>167</v>
      </c>
      <c r="I1224" s="45" t="s">
        <v>175</v>
      </c>
      <c r="J1224" s="45" t="s">
        <v>2582</v>
      </c>
      <c r="K1224" s="45" t="n">
        <v>14.2</v>
      </c>
      <c r="L1224" s="45" t="s">
        <v>263</v>
      </c>
      <c r="M1224" s="45" t="s">
        <v>259</v>
      </c>
      <c r="N1224" s="45" t="s">
        <v>167</v>
      </c>
      <c r="O1224" s="47" t="n">
        <v>46233.2479166667</v>
      </c>
      <c r="P1224" s="47" t="n">
        <v>46233.2577662037</v>
      </c>
    </row>
    <row r="1225" customFormat="false" ht="15" hidden="false" customHeight="false" outlineLevel="0" collapsed="false">
      <c r="A1225" s="45" t="n">
        <v>1430</v>
      </c>
      <c r="B1225" s="46" t="n">
        <v>46233</v>
      </c>
      <c r="C1225" s="45" t="s">
        <v>133</v>
      </c>
      <c r="D1225" s="45" t="s">
        <v>134</v>
      </c>
      <c r="E1225" s="45" t="s">
        <v>1930</v>
      </c>
      <c r="F1225" s="45" t="s">
        <v>2583</v>
      </c>
      <c r="G1225" s="46" t="n">
        <v>46232</v>
      </c>
      <c r="H1225" s="45" t="s">
        <v>167</v>
      </c>
      <c r="I1225" s="45" t="s">
        <v>175</v>
      </c>
      <c r="J1225" s="45" t="s">
        <v>2584</v>
      </c>
      <c r="K1225" s="45" t="n">
        <v>8.2</v>
      </c>
      <c r="L1225" s="45" t="s">
        <v>263</v>
      </c>
      <c r="M1225" s="45" t="s">
        <v>259</v>
      </c>
      <c r="N1225" s="45" t="s">
        <v>167</v>
      </c>
      <c r="O1225" s="47" t="n">
        <v>46233.2699884259</v>
      </c>
      <c r="P1225" s="47" t="n">
        <v>46233.2757175926</v>
      </c>
    </row>
    <row r="1226" customFormat="false" ht="15" hidden="false" customHeight="false" outlineLevel="0" collapsed="false">
      <c r="A1226" s="45" t="n">
        <v>1431</v>
      </c>
      <c r="B1226" s="46" t="n">
        <v>46233</v>
      </c>
      <c r="C1226" s="45" t="s">
        <v>141</v>
      </c>
      <c r="D1226" s="45" t="s">
        <v>142</v>
      </c>
      <c r="E1226" s="45" t="s">
        <v>227</v>
      </c>
      <c r="F1226" s="45" t="s">
        <v>2585</v>
      </c>
      <c r="G1226" s="46" t="n">
        <v>46227</v>
      </c>
      <c r="H1226" s="45" t="s">
        <v>167</v>
      </c>
      <c r="I1226" s="45" t="s">
        <v>175</v>
      </c>
      <c r="J1226" s="45" t="s">
        <v>2586</v>
      </c>
      <c r="K1226" s="45" t="n">
        <v>5.6</v>
      </c>
      <c r="L1226" s="45" t="s">
        <v>263</v>
      </c>
      <c r="M1226" s="45" t="s">
        <v>259</v>
      </c>
      <c r="N1226" s="45" t="s">
        <v>167</v>
      </c>
      <c r="O1226" s="47" t="n">
        <v>46233.2768055556</v>
      </c>
      <c r="P1226" s="47" t="n">
        <v>46233.2806944445</v>
      </c>
    </row>
    <row r="1227" customFormat="false" ht="15" hidden="false" customHeight="false" outlineLevel="0" collapsed="false">
      <c r="A1227" s="45" t="n">
        <v>1432</v>
      </c>
      <c r="B1227" s="46" t="n">
        <v>46233</v>
      </c>
      <c r="C1227" s="45" t="s">
        <v>133</v>
      </c>
      <c r="D1227" s="45" t="s">
        <v>134</v>
      </c>
      <c r="E1227" s="45" t="s">
        <v>2465</v>
      </c>
      <c r="F1227" s="45" t="s">
        <v>2587</v>
      </c>
      <c r="G1227" s="46" t="n">
        <v>46232</v>
      </c>
      <c r="H1227" s="45" t="s">
        <v>167</v>
      </c>
      <c r="I1227" s="45" t="s">
        <v>175</v>
      </c>
      <c r="J1227" s="45" t="s">
        <v>2588</v>
      </c>
      <c r="K1227" s="45" t="n">
        <v>154.5</v>
      </c>
      <c r="L1227" s="45" t="s">
        <v>263</v>
      </c>
      <c r="M1227" s="45" t="s">
        <v>259</v>
      </c>
      <c r="N1227" s="45" t="s">
        <v>167</v>
      </c>
      <c r="O1227" s="47" t="n">
        <v>46233.2771064815</v>
      </c>
      <c r="P1227" s="47" t="n">
        <v>46233.3844097222</v>
      </c>
    </row>
    <row r="1228" customFormat="false" ht="15" hidden="false" customHeight="false" outlineLevel="0" collapsed="false">
      <c r="A1228" s="45" t="n">
        <v>1433</v>
      </c>
      <c r="B1228" s="46" t="n">
        <v>46233</v>
      </c>
      <c r="C1228" s="45" t="s">
        <v>149</v>
      </c>
      <c r="D1228" s="45" t="s">
        <v>150</v>
      </c>
      <c r="E1228" s="45" t="s">
        <v>2468</v>
      </c>
      <c r="F1228" s="45" t="s">
        <v>2589</v>
      </c>
      <c r="G1228" s="46" t="n">
        <v>46231</v>
      </c>
      <c r="H1228" s="45" t="s">
        <v>167</v>
      </c>
      <c r="I1228" s="45" t="s">
        <v>176</v>
      </c>
      <c r="J1228" s="45" t="s">
        <v>2590</v>
      </c>
      <c r="K1228" s="45" t="n">
        <v>16.1</v>
      </c>
      <c r="L1228" s="45" t="s">
        <v>263</v>
      </c>
      <c r="M1228" s="45" t="s">
        <v>259</v>
      </c>
      <c r="N1228" s="45" t="s">
        <v>167</v>
      </c>
      <c r="O1228" s="47" t="n">
        <v>46233.6429976852</v>
      </c>
      <c r="P1228" s="47" t="n">
        <v>46233.654212963</v>
      </c>
    </row>
    <row r="1229" customFormat="false" ht="15" hidden="false" customHeight="false" outlineLevel="0" collapsed="false">
      <c r="A1229" s="45" t="n">
        <v>1434</v>
      </c>
      <c r="B1229" s="46" t="n">
        <v>46233</v>
      </c>
      <c r="C1229" s="45" t="s">
        <v>133</v>
      </c>
      <c r="D1229" s="45" t="s">
        <v>134</v>
      </c>
      <c r="E1229" s="45" t="s">
        <v>2591</v>
      </c>
      <c r="F1229" s="45" t="s">
        <v>2592</v>
      </c>
      <c r="G1229" s="46" t="n">
        <v>46226</v>
      </c>
      <c r="H1229" s="45" t="s">
        <v>167</v>
      </c>
      <c r="I1229" s="45" t="s">
        <v>176</v>
      </c>
      <c r="J1229" s="45" t="s">
        <v>2593</v>
      </c>
      <c r="K1229" s="45" t="n">
        <v>81.3</v>
      </c>
      <c r="L1229" s="45" t="s">
        <v>263</v>
      </c>
      <c r="M1229" s="45" t="s">
        <v>259</v>
      </c>
      <c r="N1229" s="45" t="s">
        <v>167</v>
      </c>
      <c r="O1229" s="47" t="n">
        <v>46233.8233564815</v>
      </c>
      <c r="P1229" s="47" t="n">
        <v>46233.8798148148</v>
      </c>
    </row>
    <row r="1230" customFormat="false" ht="15" hidden="false" customHeight="false" outlineLevel="0" collapsed="false">
      <c r="A1230" s="45" t="n">
        <v>1435</v>
      </c>
      <c r="B1230" s="46" t="n">
        <v>46233</v>
      </c>
      <c r="C1230" s="45" t="s">
        <v>133</v>
      </c>
      <c r="D1230" s="45" t="s">
        <v>134</v>
      </c>
      <c r="E1230" s="45" t="s">
        <v>2594</v>
      </c>
      <c r="F1230" s="45" t="s">
        <v>2595</v>
      </c>
      <c r="G1230" s="46" t="n">
        <v>46226</v>
      </c>
      <c r="H1230" s="45" t="s">
        <v>169</v>
      </c>
      <c r="I1230" s="45" t="s">
        <v>179</v>
      </c>
      <c r="J1230" s="45" t="s">
        <v>2596</v>
      </c>
      <c r="K1230" s="45" t="n">
        <v>6.3</v>
      </c>
      <c r="L1230" s="45" t="s">
        <v>263</v>
      </c>
      <c r="M1230" s="45" t="s">
        <v>259</v>
      </c>
      <c r="N1230" s="45" t="s">
        <v>169</v>
      </c>
      <c r="O1230" s="47" t="n">
        <v>46233.8844328704</v>
      </c>
      <c r="P1230" s="47" t="n">
        <v>46233.8888310185</v>
      </c>
    </row>
    <row r="1231" customFormat="false" ht="15" hidden="false" customHeight="false" outlineLevel="0" collapsed="false">
      <c r="A1231" s="45" t="n">
        <v>1438</v>
      </c>
      <c r="B1231" s="46" t="n">
        <v>46233</v>
      </c>
      <c r="C1231" s="45" t="s">
        <v>139</v>
      </c>
      <c r="D1231" s="45" t="s">
        <v>140</v>
      </c>
      <c r="E1231" s="45" t="s">
        <v>221</v>
      </c>
      <c r="F1231" s="45" t="s">
        <v>2597</v>
      </c>
      <c r="G1231" s="46" t="n">
        <v>46231</v>
      </c>
      <c r="H1231" s="45" t="s">
        <v>167</v>
      </c>
      <c r="I1231" s="45" t="s">
        <v>179</v>
      </c>
      <c r="J1231" s="45" t="s">
        <v>2598</v>
      </c>
      <c r="K1231" s="45" t="n">
        <v>25.5</v>
      </c>
      <c r="L1231" s="45" t="s">
        <v>263</v>
      </c>
      <c r="M1231" s="45" t="s">
        <v>259</v>
      </c>
      <c r="N1231" s="45" t="s">
        <v>167</v>
      </c>
      <c r="O1231" s="47" t="n">
        <v>46233.893287037</v>
      </c>
      <c r="P1231" s="47" t="n">
        <v>46233.9110185185</v>
      </c>
    </row>
    <row r="1232" customFormat="false" ht="15" hidden="false" customHeight="false" outlineLevel="0" collapsed="false">
      <c r="A1232" s="45" t="n">
        <v>1436</v>
      </c>
      <c r="B1232" s="46" t="n">
        <v>46233</v>
      </c>
      <c r="C1232" s="45" t="s">
        <v>133</v>
      </c>
      <c r="D1232" s="45" t="s">
        <v>134</v>
      </c>
      <c r="E1232" s="45" t="s">
        <v>2594</v>
      </c>
      <c r="F1232" s="45" t="s">
        <v>2599</v>
      </c>
      <c r="G1232" s="46" t="n">
        <v>46226</v>
      </c>
      <c r="H1232" s="45" t="s">
        <v>167</v>
      </c>
      <c r="I1232" s="45" t="s">
        <v>176</v>
      </c>
      <c r="J1232" s="45" t="s">
        <v>2600</v>
      </c>
      <c r="K1232" s="45" t="n">
        <v>0.1</v>
      </c>
      <c r="L1232" s="45" t="s">
        <v>263</v>
      </c>
      <c r="M1232" s="45" t="s">
        <v>259</v>
      </c>
      <c r="N1232" s="45" t="s">
        <v>167</v>
      </c>
      <c r="O1232" s="47" t="n">
        <v>46233.8939699074</v>
      </c>
      <c r="P1232" s="47" t="n">
        <v>46233.8940625</v>
      </c>
    </row>
    <row r="1233" customFormat="false" ht="15" hidden="false" customHeight="false" outlineLevel="0" collapsed="false">
      <c r="A1233" s="45" t="n">
        <v>1437</v>
      </c>
      <c r="B1233" s="46" t="n">
        <v>46233</v>
      </c>
      <c r="C1233" s="45" t="s">
        <v>133</v>
      </c>
      <c r="D1233" s="45" t="s">
        <v>134</v>
      </c>
      <c r="E1233" s="45" t="s">
        <v>2594</v>
      </c>
      <c r="F1233" s="45" t="s">
        <v>2601</v>
      </c>
      <c r="G1233" s="46" t="n">
        <v>46232</v>
      </c>
      <c r="H1233" s="45" t="s">
        <v>167</v>
      </c>
      <c r="I1233" s="45" t="s">
        <v>176</v>
      </c>
      <c r="J1233" s="45" t="s">
        <v>2602</v>
      </c>
      <c r="K1233" s="45" t="n">
        <v>7.7</v>
      </c>
      <c r="L1233" s="45" t="s">
        <v>259</v>
      </c>
      <c r="M1233" s="45" t="s">
        <v>259</v>
      </c>
      <c r="N1233" s="45" t="s">
        <v>167</v>
      </c>
      <c r="O1233" s="47" t="n">
        <v>46233.8993171296</v>
      </c>
      <c r="P1233" s="47" t="n">
        <v>46233.9046875</v>
      </c>
    </row>
    <row r="1234" customFormat="false" ht="15" hidden="false" customHeight="false" outlineLevel="0" collapsed="false">
      <c r="A1234" s="45" t="n">
        <v>1439</v>
      </c>
      <c r="B1234" s="46" t="n">
        <v>46233</v>
      </c>
      <c r="C1234" s="45" t="s">
        <v>139</v>
      </c>
      <c r="D1234" s="45" t="s">
        <v>140</v>
      </c>
      <c r="E1234" s="45" t="s">
        <v>2603</v>
      </c>
      <c r="F1234" s="45" t="s">
        <v>2604</v>
      </c>
      <c r="G1234" s="46" t="n">
        <v>46231</v>
      </c>
      <c r="H1234" s="45" t="s">
        <v>57</v>
      </c>
      <c r="I1234" s="45" t="s">
        <v>200</v>
      </c>
      <c r="J1234" s="45" t="s">
        <v>2605</v>
      </c>
      <c r="K1234" s="45" t="n">
        <v>7.9</v>
      </c>
      <c r="L1234" s="45" t="s">
        <v>263</v>
      </c>
      <c r="M1234" s="45" t="s">
        <v>259</v>
      </c>
      <c r="N1234" s="45" t="s">
        <v>57</v>
      </c>
      <c r="O1234" s="47" t="n">
        <v>46233.9132407407</v>
      </c>
      <c r="P1234" s="47" t="n">
        <v>46233.9187384259</v>
      </c>
    </row>
    <row r="1235" customFormat="false" ht="15" hidden="false" customHeight="false" outlineLevel="0" collapsed="false">
      <c r="A1235" s="45" t="n">
        <v>1440</v>
      </c>
      <c r="B1235" s="46" t="n">
        <v>46233</v>
      </c>
      <c r="C1235" s="45" t="s">
        <v>139</v>
      </c>
      <c r="D1235" s="45" t="s">
        <v>140</v>
      </c>
      <c r="E1235" s="45" t="s">
        <v>2606</v>
      </c>
      <c r="F1235" s="45" t="s">
        <v>2607</v>
      </c>
      <c r="G1235" s="46" t="n">
        <v>46231</v>
      </c>
      <c r="H1235" s="45" t="s">
        <v>167</v>
      </c>
      <c r="I1235" s="45" t="s">
        <v>176</v>
      </c>
      <c r="J1235" s="45" t="s">
        <v>2608</v>
      </c>
      <c r="K1235" s="45" t="n">
        <v>7.8</v>
      </c>
      <c r="L1235" s="45" t="s">
        <v>259</v>
      </c>
      <c r="M1235" s="45" t="s">
        <v>259</v>
      </c>
      <c r="N1235" s="45" t="s">
        <v>167</v>
      </c>
      <c r="O1235" s="47" t="n">
        <v>46233.9188888889</v>
      </c>
      <c r="P1235" s="47" t="n">
        <v>46233.9242824074</v>
      </c>
    </row>
    <row r="1236" customFormat="false" ht="15" hidden="false" customHeight="false" outlineLevel="0" collapsed="false">
      <c r="A1236" s="45" t="n">
        <v>1441</v>
      </c>
      <c r="B1236" s="46" t="n">
        <v>46233</v>
      </c>
      <c r="C1236" s="45" t="s">
        <v>139</v>
      </c>
      <c r="D1236" s="45" t="s">
        <v>140</v>
      </c>
      <c r="E1236" s="45" t="s">
        <v>2609</v>
      </c>
      <c r="F1236" s="45" t="s">
        <v>2610</v>
      </c>
      <c r="G1236" s="46" t="n">
        <v>46231</v>
      </c>
      <c r="H1236" s="45" t="s">
        <v>167</v>
      </c>
      <c r="I1236" s="45" t="s">
        <v>180</v>
      </c>
      <c r="J1236" s="45" t="s">
        <v>2611</v>
      </c>
      <c r="K1236" s="45" t="n">
        <v>3.4</v>
      </c>
      <c r="L1236" s="45" t="s">
        <v>263</v>
      </c>
      <c r="M1236" s="45" t="s">
        <v>259</v>
      </c>
      <c r="N1236" s="45" t="s">
        <v>167</v>
      </c>
      <c r="O1236" s="47" t="n">
        <v>46233.9254282407</v>
      </c>
      <c r="P1236" s="47" t="n">
        <v>46233.9278125</v>
      </c>
    </row>
    <row r="1237" customFormat="false" ht="15" hidden="false" customHeight="false" outlineLevel="0" collapsed="false">
      <c r="A1237" s="45" t="n">
        <v>1452</v>
      </c>
      <c r="B1237" s="46" t="n">
        <v>46233</v>
      </c>
      <c r="C1237" s="45" t="s">
        <v>139</v>
      </c>
      <c r="D1237" s="45" t="s">
        <v>140</v>
      </c>
      <c r="E1237" s="45" t="s">
        <v>2612</v>
      </c>
      <c r="F1237" s="45" t="s">
        <v>2613</v>
      </c>
      <c r="G1237" s="46" t="n">
        <v>46231</v>
      </c>
      <c r="H1237" s="45" t="s">
        <v>167</v>
      </c>
      <c r="I1237" s="45" t="s">
        <v>180</v>
      </c>
      <c r="J1237" s="45" t="s">
        <v>2614</v>
      </c>
      <c r="K1237" s="45" t="n">
        <v>138.6</v>
      </c>
      <c r="L1237" s="45" t="s">
        <v>263</v>
      </c>
      <c r="M1237" s="45" t="s">
        <v>259</v>
      </c>
      <c r="N1237" s="45" t="s">
        <v>167</v>
      </c>
      <c r="O1237" s="47" t="n">
        <v>46233.9280439815</v>
      </c>
      <c r="P1237" s="47" t="n">
        <v>46234.0242592593</v>
      </c>
    </row>
    <row r="1238" customFormat="false" ht="15" hidden="false" customHeight="false" outlineLevel="0" collapsed="false">
      <c r="A1238" s="45" t="n">
        <v>1442</v>
      </c>
      <c r="B1238" s="46" t="n">
        <v>46233</v>
      </c>
      <c r="C1238" s="45" t="s">
        <v>137</v>
      </c>
      <c r="D1238" s="45" t="s">
        <v>138</v>
      </c>
      <c r="E1238" s="45" t="s">
        <v>228</v>
      </c>
      <c r="F1238" s="45" t="s">
        <v>2615</v>
      </c>
      <c r="G1238" s="46" t="n">
        <v>46227</v>
      </c>
      <c r="H1238" s="45" t="s">
        <v>167</v>
      </c>
      <c r="I1238" s="45" t="s">
        <v>178</v>
      </c>
      <c r="J1238" s="45" t="s">
        <v>445</v>
      </c>
      <c r="K1238" s="45" t="n">
        <v>1.1</v>
      </c>
      <c r="L1238" s="45" t="s">
        <v>263</v>
      </c>
      <c r="M1238" s="45" t="s">
        <v>259</v>
      </c>
      <c r="N1238" s="45" t="s">
        <v>167</v>
      </c>
      <c r="O1238" s="47" t="n">
        <v>46233.9434837963</v>
      </c>
      <c r="P1238" s="47" t="n">
        <v>46233.9442361111</v>
      </c>
    </row>
    <row r="1239" customFormat="false" ht="15" hidden="false" customHeight="false" outlineLevel="0" collapsed="false">
      <c r="A1239" s="45" t="n">
        <v>1443</v>
      </c>
      <c r="B1239" s="46" t="n">
        <v>46233</v>
      </c>
      <c r="C1239" s="45" t="s">
        <v>137</v>
      </c>
      <c r="D1239" s="45" t="s">
        <v>138</v>
      </c>
      <c r="E1239" s="45" t="s">
        <v>228</v>
      </c>
      <c r="F1239" s="45" t="s">
        <v>2616</v>
      </c>
      <c r="G1239" s="46" t="n">
        <v>46226</v>
      </c>
      <c r="H1239" s="45" t="s">
        <v>168</v>
      </c>
      <c r="I1239" s="45" t="s">
        <v>192</v>
      </c>
      <c r="J1239" s="45" t="s">
        <v>2617</v>
      </c>
      <c r="K1239" s="45" t="n">
        <v>0.5</v>
      </c>
      <c r="L1239" s="45" t="s">
        <v>263</v>
      </c>
      <c r="M1239" s="45" t="s">
        <v>259</v>
      </c>
      <c r="N1239" s="45" t="s">
        <v>2559</v>
      </c>
      <c r="O1239" s="47" t="n">
        <v>46233.944525463</v>
      </c>
      <c r="P1239" s="47" t="n">
        <v>46233.944837963</v>
      </c>
    </row>
    <row r="1240" customFormat="false" ht="15" hidden="false" customHeight="false" outlineLevel="0" collapsed="false">
      <c r="A1240" s="45" t="n">
        <v>1444</v>
      </c>
      <c r="B1240" s="46" t="n">
        <v>46233</v>
      </c>
      <c r="C1240" s="45" t="s">
        <v>137</v>
      </c>
      <c r="D1240" s="45" t="s">
        <v>138</v>
      </c>
      <c r="E1240" s="45" t="s">
        <v>228</v>
      </c>
      <c r="F1240" s="45" t="s">
        <v>2618</v>
      </c>
      <c r="G1240" s="46" t="n">
        <v>46225</v>
      </c>
      <c r="H1240" s="45" t="s">
        <v>167</v>
      </c>
      <c r="I1240" s="45" t="s">
        <v>183</v>
      </c>
      <c r="J1240" s="45" t="s">
        <v>445</v>
      </c>
      <c r="K1240" s="45" t="n">
        <v>0.5</v>
      </c>
      <c r="L1240" s="45" t="s">
        <v>263</v>
      </c>
      <c r="M1240" s="45" t="s">
        <v>259</v>
      </c>
      <c r="N1240" s="45" t="s">
        <v>167</v>
      </c>
      <c r="O1240" s="47" t="n">
        <v>46233.9450462963</v>
      </c>
      <c r="P1240" s="47" t="n">
        <v>46233.9454166667</v>
      </c>
    </row>
    <row r="1241" customFormat="false" ht="15" hidden="false" customHeight="false" outlineLevel="0" collapsed="false">
      <c r="A1241" s="45" t="n">
        <v>1445</v>
      </c>
      <c r="B1241" s="46" t="n">
        <v>46233</v>
      </c>
      <c r="C1241" s="45" t="s">
        <v>137</v>
      </c>
      <c r="D1241" s="45" t="s">
        <v>138</v>
      </c>
      <c r="E1241" s="45" t="s">
        <v>875</v>
      </c>
      <c r="F1241" s="45" t="s">
        <v>2619</v>
      </c>
      <c r="G1241" s="46" t="n">
        <v>46232</v>
      </c>
      <c r="H1241" s="45" t="s">
        <v>167</v>
      </c>
      <c r="I1241" s="45" t="s">
        <v>178</v>
      </c>
      <c r="J1241" s="45" t="s">
        <v>445</v>
      </c>
      <c r="K1241" s="45" t="n">
        <v>0.5</v>
      </c>
      <c r="L1241" s="45" t="s">
        <v>263</v>
      </c>
      <c r="M1241" s="45" t="s">
        <v>259</v>
      </c>
      <c r="N1241" s="45" t="s">
        <v>167</v>
      </c>
      <c r="O1241" s="47" t="n">
        <v>46233.9458449074</v>
      </c>
      <c r="P1241" s="47" t="n">
        <v>46233.9461689815</v>
      </c>
    </row>
    <row r="1242" customFormat="false" ht="15" hidden="false" customHeight="false" outlineLevel="0" collapsed="false">
      <c r="A1242" s="45" t="n">
        <v>1446</v>
      </c>
      <c r="B1242" s="46" t="n">
        <v>46233</v>
      </c>
      <c r="C1242" s="45" t="s">
        <v>137</v>
      </c>
      <c r="D1242" s="45" t="s">
        <v>138</v>
      </c>
      <c r="E1242" s="45" t="s">
        <v>309</v>
      </c>
      <c r="F1242" s="45" t="s">
        <v>2620</v>
      </c>
      <c r="G1242" s="46" t="n">
        <v>46232</v>
      </c>
      <c r="H1242" s="45" t="s">
        <v>57</v>
      </c>
      <c r="I1242" s="45" t="s">
        <v>200</v>
      </c>
      <c r="J1242" s="45" t="s">
        <v>445</v>
      </c>
      <c r="K1242" s="45" t="n">
        <v>2.5</v>
      </c>
      <c r="L1242" s="45" t="s">
        <v>263</v>
      </c>
      <c r="M1242" s="45" t="s">
        <v>259</v>
      </c>
      <c r="N1242" s="45" t="s">
        <v>57</v>
      </c>
      <c r="O1242" s="47" t="n">
        <v>46233.9487268519</v>
      </c>
      <c r="P1242" s="47" t="n">
        <v>46233.9504861111</v>
      </c>
    </row>
    <row r="1243" customFormat="false" ht="15" hidden="false" customHeight="false" outlineLevel="0" collapsed="false">
      <c r="A1243" s="45" t="n">
        <v>1447</v>
      </c>
      <c r="B1243" s="46" t="n">
        <v>46233</v>
      </c>
      <c r="C1243" s="45" t="s">
        <v>137</v>
      </c>
      <c r="D1243" s="45" t="s">
        <v>138</v>
      </c>
      <c r="E1243" s="45" t="s">
        <v>496</v>
      </c>
      <c r="F1243" s="45" t="s">
        <v>2621</v>
      </c>
      <c r="G1243" s="46" t="n">
        <v>46226</v>
      </c>
      <c r="H1243" s="45" t="s">
        <v>167</v>
      </c>
      <c r="I1243" s="45" t="s">
        <v>178</v>
      </c>
      <c r="J1243" s="45" t="s">
        <v>445</v>
      </c>
      <c r="K1243" s="45" t="n">
        <v>0.2</v>
      </c>
      <c r="L1243" s="45" t="s">
        <v>263</v>
      </c>
      <c r="M1243" s="45" t="s">
        <v>259</v>
      </c>
      <c r="N1243" s="45" t="s">
        <v>167</v>
      </c>
      <c r="O1243" s="47" t="n">
        <v>46233.9505787037</v>
      </c>
      <c r="P1243" s="47" t="n">
        <v>46233.9507060185</v>
      </c>
    </row>
    <row r="1244" customFormat="false" ht="15" hidden="false" customHeight="false" outlineLevel="0" collapsed="false">
      <c r="A1244" s="45" t="n">
        <v>1448</v>
      </c>
      <c r="B1244" s="46" t="n">
        <v>46233</v>
      </c>
      <c r="C1244" s="45" t="s">
        <v>137</v>
      </c>
      <c r="D1244" s="45" t="s">
        <v>138</v>
      </c>
      <c r="E1244" s="45" t="s">
        <v>496</v>
      </c>
      <c r="F1244" s="45" t="s">
        <v>2622</v>
      </c>
      <c r="G1244" s="46" t="n">
        <v>46226</v>
      </c>
      <c r="H1244" s="45" t="s">
        <v>168</v>
      </c>
      <c r="I1244" s="45" t="s">
        <v>193</v>
      </c>
      <c r="J1244" s="45" t="s">
        <v>445</v>
      </c>
      <c r="K1244" s="45" t="n">
        <v>0.3</v>
      </c>
      <c r="L1244" s="45" t="s">
        <v>263</v>
      </c>
      <c r="M1244" s="45" t="s">
        <v>259</v>
      </c>
      <c r="N1244" s="45" t="s">
        <v>2559</v>
      </c>
      <c r="O1244" s="47" t="n">
        <v>46233.9507407407</v>
      </c>
      <c r="P1244" s="47" t="n">
        <v>46233.9509259259</v>
      </c>
    </row>
    <row r="1245" customFormat="false" ht="15" hidden="false" customHeight="false" outlineLevel="0" collapsed="false">
      <c r="A1245" s="45" t="n">
        <v>1449</v>
      </c>
      <c r="B1245" s="46" t="n">
        <v>46233</v>
      </c>
      <c r="C1245" s="45" t="s">
        <v>137</v>
      </c>
      <c r="D1245" s="45" t="s">
        <v>138</v>
      </c>
      <c r="E1245" s="45" t="s">
        <v>229</v>
      </c>
      <c r="F1245" s="45" t="s">
        <v>2623</v>
      </c>
      <c r="G1245" s="46" t="n">
        <v>46225</v>
      </c>
      <c r="H1245" s="45" t="s">
        <v>167</v>
      </c>
      <c r="I1245" s="45" t="s">
        <v>178</v>
      </c>
      <c r="J1245" s="45" t="s">
        <v>445</v>
      </c>
      <c r="K1245" s="45" t="n">
        <v>0.2</v>
      </c>
      <c r="L1245" s="45" t="s">
        <v>263</v>
      </c>
      <c r="M1245" s="45" t="s">
        <v>259</v>
      </c>
      <c r="N1245" s="45" t="s">
        <v>167</v>
      </c>
      <c r="O1245" s="47" t="n">
        <v>46233.9510300926</v>
      </c>
      <c r="P1245" s="47" t="n">
        <v>46233.9511689815</v>
      </c>
    </row>
    <row r="1246" customFormat="false" ht="15" hidden="false" customHeight="false" outlineLevel="0" collapsed="false">
      <c r="A1246" s="45" t="n">
        <v>1450</v>
      </c>
      <c r="B1246" s="46" t="n">
        <v>46233</v>
      </c>
      <c r="C1246" s="45" t="s">
        <v>149</v>
      </c>
      <c r="D1246" s="45" t="s">
        <v>150</v>
      </c>
      <c r="E1246" s="45" t="s">
        <v>2624</v>
      </c>
      <c r="F1246" s="45" t="s">
        <v>2625</v>
      </c>
      <c r="G1246" s="46" t="n">
        <v>46232</v>
      </c>
      <c r="H1246" s="45" t="s">
        <v>57</v>
      </c>
      <c r="I1246" s="45" t="s">
        <v>200</v>
      </c>
      <c r="J1246" s="45" t="s">
        <v>2626</v>
      </c>
      <c r="K1246" s="45" t="n">
        <v>0.1</v>
      </c>
      <c r="L1246" s="45" t="s">
        <v>259</v>
      </c>
      <c r="M1246" s="45" t="s">
        <v>259</v>
      </c>
      <c r="N1246" s="45" t="s">
        <v>57</v>
      </c>
      <c r="O1246" s="47" t="n">
        <v>46233.9713310185</v>
      </c>
      <c r="P1246" s="47" t="n">
        <v>46233.9713888889</v>
      </c>
    </row>
    <row r="1247" customFormat="false" ht="15" hidden="false" customHeight="false" outlineLevel="0" collapsed="false">
      <c r="A1247" s="45" t="n">
        <v>1451</v>
      </c>
      <c r="B1247" s="46" t="n">
        <v>46234</v>
      </c>
      <c r="C1247" s="45" t="s">
        <v>131</v>
      </c>
      <c r="D1247" s="45" t="s">
        <v>132</v>
      </c>
      <c r="E1247" s="45" t="s">
        <v>222</v>
      </c>
      <c r="F1247" s="45" t="s">
        <v>2627</v>
      </c>
      <c r="G1247" s="46" t="n">
        <v>46231</v>
      </c>
      <c r="H1247" s="45" t="s">
        <v>167</v>
      </c>
      <c r="I1247" s="45" t="s">
        <v>184</v>
      </c>
      <c r="J1247" s="45" t="s">
        <v>2628</v>
      </c>
      <c r="K1247" s="45" t="n">
        <v>0.1</v>
      </c>
      <c r="L1247" s="45" t="s">
        <v>263</v>
      </c>
      <c r="M1247" s="45" t="s">
        <v>259</v>
      </c>
      <c r="N1247" s="45" t="s">
        <v>167</v>
      </c>
      <c r="O1247" s="47" t="n">
        <v>46234.0171527778</v>
      </c>
      <c r="P1247" s="47" t="n">
        <v>46234.0171875</v>
      </c>
    </row>
    <row r="1248" customFormat="false" ht="15" hidden="false" customHeight="false" outlineLevel="0" collapsed="false">
      <c r="A1248" s="45" t="n">
        <v>1453</v>
      </c>
      <c r="B1248" s="46" t="n">
        <v>46234</v>
      </c>
      <c r="C1248" s="45" t="s">
        <v>131</v>
      </c>
      <c r="D1248" s="45" t="s">
        <v>132</v>
      </c>
      <c r="E1248" s="45" t="s">
        <v>2223</v>
      </c>
      <c r="F1248" s="45" t="s">
        <v>2629</v>
      </c>
      <c r="G1248" s="46" t="n">
        <v>46231</v>
      </c>
      <c r="H1248" s="45" t="s">
        <v>167</v>
      </c>
      <c r="I1248" s="45" t="s">
        <v>176</v>
      </c>
      <c r="J1248" s="45" t="s">
        <v>2630</v>
      </c>
      <c r="K1248" s="45" t="n">
        <v>12.8</v>
      </c>
      <c r="L1248" s="45" t="s">
        <v>259</v>
      </c>
      <c r="M1248" s="45" t="s">
        <v>259</v>
      </c>
      <c r="N1248" s="45" t="s">
        <v>167</v>
      </c>
      <c r="O1248" s="47" t="n">
        <v>46234.0172222222</v>
      </c>
      <c r="P1248" s="47" t="n">
        <v>46234.0261226852</v>
      </c>
    </row>
    <row r="1249" customFormat="false" ht="15" hidden="false" customHeight="false" outlineLevel="0" collapsed="false">
      <c r="A1249" s="45" t="n">
        <v>1456</v>
      </c>
      <c r="B1249" s="46" t="n">
        <v>46234</v>
      </c>
      <c r="C1249" s="45" t="s">
        <v>139</v>
      </c>
      <c r="D1249" s="45" t="s">
        <v>140</v>
      </c>
      <c r="E1249" s="45" t="s">
        <v>2612</v>
      </c>
      <c r="F1249" s="45" t="s">
        <v>2631</v>
      </c>
      <c r="G1249" s="46" t="n">
        <v>46232</v>
      </c>
      <c r="H1249" s="45" t="s">
        <v>167</v>
      </c>
      <c r="I1249" s="45" t="s">
        <v>178</v>
      </c>
      <c r="J1249" s="45" t="s">
        <v>2632</v>
      </c>
      <c r="K1249" s="45" t="n">
        <v>31.3</v>
      </c>
      <c r="L1249" s="45" t="s">
        <v>263</v>
      </c>
      <c r="M1249" s="45" t="s">
        <v>259</v>
      </c>
      <c r="N1249" s="45" t="s">
        <v>167</v>
      </c>
      <c r="O1249" s="47" t="n">
        <v>46234.0245949074</v>
      </c>
      <c r="P1249" s="47" t="n">
        <v>46234.0463194445</v>
      </c>
    </row>
    <row r="1250" customFormat="false" ht="15" hidden="false" customHeight="false" outlineLevel="0" collapsed="false">
      <c r="A1250" s="45" t="n">
        <v>1454</v>
      </c>
      <c r="B1250" s="46" t="n">
        <v>46234</v>
      </c>
      <c r="C1250" s="45" t="s">
        <v>131</v>
      </c>
      <c r="D1250" s="45" t="s">
        <v>132</v>
      </c>
      <c r="E1250" s="45" t="s">
        <v>2223</v>
      </c>
      <c r="F1250" s="45" t="s">
        <v>2629</v>
      </c>
      <c r="G1250" s="46" t="n">
        <v>46231</v>
      </c>
      <c r="H1250" s="45" t="s">
        <v>167</v>
      </c>
      <c r="I1250" s="45" t="s">
        <v>176</v>
      </c>
      <c r="J1250" s="45" t="s">
        <v>2633</v>
      </c>
      <c r="K1250" s="45" t="n">
        <v>9.6</v>
      </c>
      <c r="L1250" s="45" t="s">
        <v>259</v>
      </c>
      <c r="M1250" s="45" t="s">
        <v>259</v>
      </c>
      <c r="N1250" s="45" t="s">
        <v>167</v>
      </c>
      <c r="O1250" s="47" t="n">
        <v>46234.0281018519</v>
      </c>
      <c r="P1250" s="47" t="n">
        <v>46234.0347800926</v>
      </c>
    </row>
    <row r="1251" customFormat="false" ht="15" hidden="false" customHeight="false" outlineLevel="0" collapsed="false">
      <c r="A1251" s="45" t="n">
        <v>1455</v>
      </c>
      <c r="B1251" s="46" t="n">
        <v>46234</v>
      </c>
      <c r="C1251" s="45" t="s">
        <v>131</v>
      </c>
      <c r="D1251" s="45" t="s">
        <v>132</v>
      </c>
      <c r="E1251" s="45" t="s">
        <v>242</v>
      </c>
      <c r="F1251" s="45" t="s">
        <v>2634</v>
      </c>
      <c r="G1251" s="46" t="n">
        <v>46231</v>
      </c>
      <c r="H1251" s="45" t="s">
        <v>167</v>
      </c>
      <c r="I1251" s="45" t="s">
        <v>176</v>
      </c>
      <c r="J1251" s="45" t="s">
        <v>2635</v>
      </c>
      <c r="K1251" s="45" t="n">
        <v>5.6</v>
      </c>
      <c r="L1251" s="45" t="s">
        <v>263</v>
      </c>
      <c r="M1251" s="45" t="s">
        <v>259</v>
      </c>
      <c r="N1251" s="45" t="s">
        <v>167</v>
      </c>
      <c r="O1251" s="47" t="n">
        <v>46234.0353240741</v>
      </c>
      <c r="P1251" s="47" t="n">
        <v>46234.0391898148</v>
      </c>
    </row>
    <row r="1252" customFormat="false" ht="15" hidden="false" customHeight="false" outlineLevel="0" collapsed="false">
      <c r="A1252" s="45" t="n">
        <v>1457</v>
      </c>
      <c r="B1252" s="46" t="n">
        <v>46234</v>
      </c>
      <c r="C1252" s="45" t="s">
        <v>133</v>
      </c>
      <c r="D1252" s="45" t="s">
        <v>134</v>
      </c>
      <c r="E1252" s="45" t="s">
        <v>405</v>
      </c>
      <c r="F1252" s="45" t="s">
        <v>2636</v>
      </c>
      <c r="G1252" s="46" t="n">
        <v>46232</v>
      </c>
      <c r="H1252" s="45" t="s">
        <v>167</v>
      </c>
      <c r="I1252" s="45" t="s">
        <v>179</v>
      </c>
      <c r="J1252" s="45" t="s">
        <v>2637</v>
      </c>
      <c r="K1252" s="45" t="n">
        <v>4</v>
      </c>
      <c r="L1252" s="45" t="s">
        <v>263</v>
      </c>
      <c r="M1252" s="45" t="s">
        <v>259</v>
      </c>
      <c r="N1252" s="45" t="s">
        <v>167</v>
      </c>
      <c r="O1252" s="47" t="n">
        <v>46234.5542013889</v>
      </c>
      <c r="P1252" s="47" t="n">
        <v>46234.5570138889</v>
      </c>
    </row>
    <row r="1253" customFormat="false" ht="15" hidden="false" customHeight="false" outlineLevel="0" collapsed="false">
      <c r="A1253" s="45" t="n">
        <v>1458</v>
      </c>
      <c r="B1253" s="46" t="n">
        <v>46234</v>
      </c>
      <c r="C1253" s="45" t="s">
        <v>133</v>
      </c>
      <c r="D1253" s="45" t="s">
        <v>134</v>
      </c>
      <c r="E1253" s="45" t="s">
        <v>2594</v>
      </c>
      <c r="F1253" s="45" t="s">
        <v>2601</v>
      </c>
      <c r="G1253" s="46" t="n">
        <v>46232</v>
      </c>
      <c r="H1253" s="45" t="s">
        <v>167</v>
      </c>
      <c r="I1253" s="45" t="s">
        <v>178</v>
      </c>
      <c r="J1253" s="45" t="s">
        <v>2638</v>
      </c>
      <c r="K1253" s="45" t="n">
        <v>8.8</v>
      </c>
      <c r="L1253" s="45" t="s">
        <v>259</v>
      </c>
      <c r="M1253" s="45" t="s">
        <v>259</v>
      </c>
      <c r="N1253" s="45" t="s">
        <v>167</v>
      </c>
      <c r="O1253" s="47" t="n">
        <v>46234.5573148148</v>
      </c>
      <c r="P1253" s="47" t="n">
        <v>46234.5634259259</v>
      </c>
    </row>
    <row r="1254" customFormat="false" ht="15" hidden="false" customHeight="false" outlineLevel="0" collapsed="false">
      <c r="A1254" s="45" t="n">
        <v>1459</v>
      </c>
      <c r="B1254" s="46" t="n">
        <v>46234</v>
      </c>
      <c r="C1254" s="45" t="s">
        <v>133</v>
      </c>
      <c r="D1254" s="45" t="s">
        <v>134</v>
      </c>
      <c r="E1254" s="45" t="s">
        <v>1930</v>
      </c>
      <c r="F1254" s="45" t="s">
        <v>2639</v>
      </c>
      <c r="G1254" s="46" t="n">
        <v>46232</v>
      </c>
      <c r="H1254" s="45" t="s">
        <v>167</v>
      </c>
      <c r="I1254" s="45" t="s">
        <v>176</v>
      </c>
      <c r="J1254" s="45" t="s">
        <v>2640</v>
      </c>
      <c r="K1254" s="45" t="n">
        <v>12.3</v>
      </c>
      <c r="L1254" s="45" t="s">
        <v>263</v>
      </c>
      <c r="M1254" s="45" t="s">
        <v>259</v>
      </c>
      <c r="N1254" s="45" t="s">
        <v>167</v>
      </c>
      <c r="O1254" s="47" t="n">
        <v>46234.5640046296</v>
      </c>
      <c r="P1254" s="47" t="n">
        <v>46234.5725810185</v>
      </c>
    </row>
    <row r="1255" customFormat="false" ht="15" hidden="false" customHeight="false" outlineLevel="0" collapsed="false">
      <c r="A1255" s="45" t="n">
        <v>1460</v>
      </c>
      <c r="B1255" s="46" t="n">
        <v>46234</v>
      </c>
      <c r="C1255" s="45" t="s">
        <v>133</v>
      </c>
      <c r="D1255" s="45" t="s">
        <v>134</v>
      </c>
      <c r="E1255" s="45" t="s">
        <v>2542</v>
      </c>
      <c r="F1255" s="45" t="s">
        <v>2641</v>
      </c>
      <c r="G1255" s="46" t="n">
        <v>46232</v>
      </c>
      <c r="H1255" s="45" t="s">
        <v>167</v>
      </c>
      <c r="I1255" s="45" t="s">
        <v>179</v>
      </c>
      <c r="J1255" s="45" t="s">
        <v>2642</v>
      </c>
      <c r="K1255" s="45" t="n">
        <v>10.2</v>
      </c>
      <c r="L1255" s="45" t="s">
        <v>263</v>
      </c>
      <c r="M1255" s="45" t="s">
        <v>259</v>
      </c>
      <c r="N1255" s="45" t="s">
        <v>167</v>
      </c>
      <c r="O1255" s="47" t="n">
        <v>46234.5734027778</v>
      </c>
      <c r="P1255" s="47" t="n">
        <v>46234.580462963</v>
      </c>
    </row>
    <row r="1256" customFormat="false" ht="15" hidden="false" customHeight="false" outlineLevel="0" collapsed="false">
      <c r="A1256" s="45" t="n">
        <v>1461</v>
      </c>
      <c r="B1256" s="46" t="n">
        <v>46234</v>
      </c>
      <c r="C1256" s="45" t="s">
        <v>133</v>
      </c>
      <c r="D1256" s="45" t="s">
        <v>134</v>
      </c>
      <c r="E1256" s="45" t="s">
        <v>405</v>
      </c>
      <c r="F1256" s="45" t="s">
        <v>2643</v>
      </c>
      <c r="G1256" s="46" t="n">
        <v>46232</v>
      </c>
      <c r="H1256" s="45" t="s">
        <v>168</v>
      </c>
      <c r="I1256" s="45" t="s">
        <v>197</v>
      </c>
      <c r="J1256" s="45" t="s">
        <v>2644</v>
      </c>
      <c r="K1256" s="45" t="n">
        <v>9.9</v>
      </c>
      <c r="L1256" s="45" t="s">
        <v>263</v>
      </c>
      <c r="M1256" s="45" t="s">
        <v>259</v>
      </c>
      <c r="N1256" s="45" t="s">
        <v>2559</v>
      </c>
      <c r="O1256" s="47" t="n">
        <v>46234.5815393519</v>
      </c>
      <c r="P1256" s="47" t="n">
        <v>46234.5884143519</v>
      </c>
    </row>
    <row r="1257" customFormat="false" ht="15" hidden="false" customHeight="false" outlineLevel="0" collapsed="false">
      <c r="A1257" s="45" t="n">
        <v>1462</v>
      </c>
      <c r="B1257" s="46" t="n">
        <v>46234</v>
      </c>
      <c r="C1257" s="45" t="s">
        <v>133</v>
      </c>
      <c r="D1257" s="45" t="s">
        <v>134</v>
      </c>
      <c r="E1257" s="45" t="s">
        <v>2465</v>
      </c>
      <c r="F1257" s="45" t="s">
        <v>2645</v>
      </c>
      <c r="G1257" s="46" t="n">
        <v>46232</v>
      </c>
      <c r="H1257" s="45" t="s">
        <v>167</v>
      </c>
      <c r="I1257" s="45" t="s">
        <v>176</v>
      </c>
      <c r="J1257" s="45" t="s">
        <v>2646</v>
      </c>
      <c r="K1257" s="45" t="n">
        <v>8.6</v>
      </c>
      <c r="L1257" s="45" t="s">
        <v>263</v>
      </c>
      <c r="M1257" s="45" t="s">
        <v>259</v>
      </c>
      <c r="N1257" s="45" t="s">
        <v>167</v>
      </c>
      <c r="O1257" s="47" t="n">
        <v>46234.5902662037</v>
      </c>
      <c r="P1257" s="47" t="n">
        <v>46234.5962268519</v>
      </c>
    </row>
    <row r="1258" customFormat="false" ht="15" hidden="false" customHeight="false" outlineLevel="0" collapsed="false">
      <c r="A1258" s="45" t="n">
        <v>1463</v>
      </c>
      <c r="B1258" s="46" t="n">
        <v>46234</v>
      </c>
      <c r="C1258" s="45" t="s">
        <v>133</v>
      </c>
      <c r="D1258" s="45" t="s">
        <v>134</v>
      </c>
      <c r="E1258" s="45" t="s">
        <v>2542</v>
      </c>
      <c r="F1258" s="45" t="s">
        <v>2647</v>
      </c>
      <c r="G1258" s="46" t="n">
        <v>46232</v>
      </c>
      <c r="H1258" s="45" t="s">
        <v>170</v>
      </c>
      <c r="I1258" s="45" t="s">
        <v>208</v>
      </c>
      <c r="J1258" s="45" t="s">
        <v>2648</v>
      </c>
      <c r="K1258" s="45" t="n">
        <v>2.2</v>
      </c>
      <c r="L1258" s="45" t="s">
        <v>263</v>
      </c>
      <c r="M1258" s="45" t="s">
        <v>259</v>
      </c>
      <c r="N1258" s="45" t="s">
        <v>2649</v>
      </c>
      <c r="O1258" s="47" t="n">
        <v>46234.5994444444</v>
      </c>
      <c r="P1258" s="47" t="n">
        <v>46234.6009722222</v>
      </c>
    </row>
    <row r="1259" customFormat="false" ht="15" hidden="false" customHeight="false" outlineLevel="0" collapsed="false">
      <c r="A1259" s="45" t="n">
        <v>1464</v>
      </c>
      <c r="B1259" s="46" t="n">
        <v>46234</v>
      </c>
      <c r="C1259" s="45" t="s">
        <v>133</v>
      </c>
      <c r="D1259" s="45" t="s">
        <v>134</v>
      </c>
      <c r="E1259" s="45" t="s">
        <v>2457</v>
      </c>
      <c r="F1259" s="45" t="s">
        <v>2650</v>
      </c>
      <c r="G1259" s="46" t="n">
        <v>46233</v>
      </c>
      <c r="H1259" s="45" t="s">
        <v>168</v>
      </c>
      <c r="I1259" s="45" t="s">
        <v>197</v>
      </c>
      <c r="J1259" s="45" t="s">
        <v>2651</v>
      </c>
      <c r="K1259" s="45" t="n">
        <v>25.3</v>
      </c>
      <c r="L1259" s="45" t="s">
        <v>263</v>
      </c>
      <c r="M1259" s="45" t="s">
        <v>259</v>
      </c>
      <c r="N1259" s="45" t="s">
        <v>2559</v>
      </c>
      <c r="O1259" s="47" t="n">
        <v>46234.6100578704</v>
      </c>
      <c r="P1259" s="47" t="n">
        <v>46234.6276388889</v>
      </c>
    </row>
    <row r="1260" customFormat="false" ht="15" hidden="false" customHeight="false" outlineLevel="0" collapsed="false">
      <c r="A1260" s="45" t="n">
        <v>1465</v>
      </c>
      <c r="B1260" s="46" t="n">
        <v>46234</v>
      </c>
      <c r="C1260" s="45" t="s">
        <v>139</v>
      </c>
      <c r="D1260" s="45" t="s">
        <v>140</v>
      </c>
      <c r="E1260" s="45" t="s">
        <v>2652</v>
      </c>
      <c r="F1260" s="45" t="s">
        <v>2653</v>
      </c>
      <c r="G1260" s="46" t="n">
        <v>46232</v>
      </c>
      <c r="H1260" s="45" t="s">
        <v>167</v>
      </c>
      <c r="I1260" s="45" t="s">
        <v>177</v>
      </c>
      <c r="J1260" s="45" t="s">
        <v>2654</v>
      </c>
      <c r="K1260" s="45" t="n">
        <v>424</v>
      </c>
      <c r="L1260" s="45" t="s">
        <v>263</v>
      </c>
      <c r="M1260" s="45" t="s">
        <v>259</v>
      </c>
      <c r="N1260" s="45" t="s">
        <v>167</v>
      </c>
      <c r="O1260" s="47" t="n">
        <v>46234.8952777778</v>
      </c>
      <c r="P1260" s="47" t="n">
        <v>46235.1897106482</v>
      </c>
    </row>
    <row r="1261" customFormat="false" ht="15" hidden="false" customHeight="false" outlineLevel="0" collapsed="false">
      <c r="A1261" s="45" t="n">
        <v>1466</v>
      </c>
      <c r="B1261" s="46" t="n">
        <v>46235</v>
      </c>
      <c r="C1261" s="45" t="s">
        <v>139</v>
      </c>
      <c r="D1261" s="45" t="s">
        <v>140</v>
      </c>
      <c r="E1261" s="45" t="s">
        <v>221</v>
      </c>
      <c r="F1261" s="45" t="s">
        <v>2655</v>
      </c>
      <c r="G1261" s="46" t="n">
        <v>46232</v>
      </c>
      <c r="H1261" s="45" t="s">
        <v>167</v>
      </c>
      <c r="I1261" s="45" t="s">
        <v>184</v>
      </c>
      <c r="J1261" s="45" t="s">
        <v>2656</v>
      </c>
      <c r="K1261" s="45" t="n">
        <v>139.2</v>
      </c>
      <c r="L1261" s="45" t="s">
        <v>263</v>
      </c>
      <c r="M1261" s="45" t="s">
        <v>259</v>
      </c>
      <c r="N1261" s="45" t="s">
        <v>167</v>
      </c>
      <c r="O1261" s="47" t="n">
        <v>46235.1897685185</v>
      </c>
      <c r="P1261" s="47" t="n">
        <v>46235.2864467593</v>
      </c>
    </row>
    <row r="1262" customFormat="false" ht="15" hidden="false" customHeight="false" outlineLevel="0" collapsed="false">
      <c r="A1262" s="45" t="n">
        <v>1467</v>
      </c>
      <c r="B1262" s="46" t="n">
        <v>46235</v>
      </c>
      <c r="C1262" s="45" t="s">
        <v>139</v>
      </c>
      <c r="D1262" s="45" t="s">
        <v>140</v>
      </c>
      <c r="E1262" s="45" t="s">
        <v>2657</v>
      </c>
      <c r="F1262" s="45" t="s">
        <v>2658</v>
      </c>
      <c r="G1262" s="46" t="n">
        <v>46233</v>
      </c>
      <c r="H1262" s="45" t="s">
        <v>167</v>
      </c>
      <c r="I1262" s="45" t="s">
        <v>178</v>
      </c>
      <c r="J1262" s="45" t="s">
        <v>2659</v>
      </c>
      <c r="K1262" s="45" t="n">
        <v>6.3</v>
      </c>
      <c r="L1262" s="45" t="s">
        <v>263</v>
      </c>
      <c r="M1262" s="45" t="s">
        <v>259</v>
      </c>
      <c r="N1262" s="45" t="s">
        <v>167</v>
      </c>
      <c r="O1262" s="47" t="n">
        <v>46235.2866550926</v>
      </c>
      <c r="P1262" s="47" t="n">
        <v>46235.2910300926</v>
      </c>
    </row>
    <row r="1263" customFormat="false" ht="15" hidden="false" customHeight="false" outlineLevel="0" collapsed="false">
      <c r="A1263" s="45" t="n">
        <v>1468</v>
      </c>
      <c r="B1263" s="46" t="n">
        <v>46235</v>
      </c>
      <c r="C1263" s="45" t="s">
        <v>149</v>
      </c>
      <c r="D1263" s="45" t="s">
        <v>150</v>
      </c>
      <c r="E1263" s="45" t="s">
        <v>237</v>
      </c>
      <c r="F1263" s="45" t="s">
        <v>2660</v>
      </c>
      <c r="G1263" s="46" t="n">
        <v>46235</v>
      </c>
      <c r="H1263" s="45" t="s">
        <v>167</v>
      </c>
      <c r="I1263" s="45" t="s">
        <v>177</v>
      </c>
      <c r="J1263" s="45" t="s">
        <v>2661</v>
      </c>
      <c r="K1263" s="45" t="n">
        <v>7.7</v>
      </c>
      <c r="L1263" s="45" t="s">
        <v>259</v>
      </c>
      <c r="M1263" s="45" t="s">
        <v>259</v>
      </c>
      <c r="N1263" s="45" t="s">
        <v>167</v>
      </c>
      <c r="O1263" s="47" t="n">
        <v>46235.7590162037</v>
      </c>
      <c r="P1263" s="47" t="n">
        <v>46235.7643402778</v>
      </c>
    </row>
    <row r="1264" customFormat="false" ht="15" hidden="false" customHeight="false" outlineLevel="0" collapsed="false">
      <c r="A1264" s="45" t="n">
        <v>1469</v>
      </c>
      <c r="B1264" s="46" t="n">
        <v>46235</v>
      </c>
      <c r="C1264" s="45" t="s">
        <v>131</v>
      </c>
      <c r="D1264" s="45" t="s">
        <v>132</v>
      </c>
      <c r="E1264" s="45" t="s">
        <v>240</v>
      </c>
      <c r="F1264" s="45" t="s">
        <v>2662</v>
      </c>
      <c r="G1264" s="46" t="n">
        <v>46231</v>
      </c>
      <c r="H1264" s="45" t="s">
        <v>167</v>
      </c>
      <c r="I1264" s="45" t="s">
        <v>176</v>
      </c>
      <c r="J1264" s="45" t="s">
        <v>2663</v>
      </c>
      <c r="K1264" s="45" t="n">
        <v>12.6</v>
      </c>
      <c r="L1264" s="45" t="s">
        <v>263</v>
      </c>
      <c r="M1264" s="45" t="s">
        <v>259</v>
      </c>
      <c r="N1264" s="45" t="s">
        <v>167</v>
      </c>
      <c r="O1264" s="47" t="n">
        <v>46235.7599768519</v>
      </c>
      <c r="P1264" s="47" t="n">
        <v>46235.76875</v>
      </c>
    </row>
    <row r="1265" customFormat="false" ht="15" hidden="false" customHeight="false" outlineLevel="0" collapsed="false">
      <c r="A1265" s="45" t="n">
        <v>1470</v>
      </c>
      <c r="B1265" s="46" t="n">
        <v>46235</v>
      </c>
      <c r="C1265" s="45" t="s">
        <v>149</v>
      </c>
      <c r="D1265" s="45" t="s">
        <v>150</v>
      </c>
      <c r="E1265" s="45" t="s">
        <v>237</v>
      </c>
      <c r="F1265" s="45" t="s">
        <v>2664</v>
      </c>
      <c r="G1265" s="46" t="n">
        <v>46235</v>
      </c>
      <c r="H1265" s="45" t="s">
        <v>167</v>
      </c>
      <c r="I1265" s="45" t="s">
        <v>180</v>
      </c>
      <c r="J1265" s="45" t="s">
        <v>2665</v>
      </c>
      <c r="K1265" s="45" t="n">
        <v>10.2</v>
      </c>
      <c r="L1265" s="45" t="s">
        <v>263</v>
      </c>
      <c r="M1265" s="45" t="s">
        <v>259</v>
      </c>
      <c r="N1265" s="45" t="s">
        <v>167</v>
      </c>
      <c r="O1265" s="47" t="n">
        <v>46235.7652314815</v>
      </c>
      <c r="P1265" s="47" t="n">
        <v>46235.7722800926</v>
      </c>
    </row>
    <row r="1266" customFormat="false" ht="15" hidden="false" customHeight="false" outlineLevel="0" collapsed="false">
      <c r="A1266" s="45" t="n">
        <v>1471</v>
      </c>
      <c r="B1266" s="46" t="n">
        <v>46235</v>
      </c>
      <c r="C1266" s="45" t="s">
        <v>149</v>
      </c>
      <c r="D1266" s="45" t="s">
        <v>150</v>
      </c>
      <c r="E1266" s="45" t="s">
        <v>2666</v>
      </c>
      <c r="F1266" s="45" t="s">
        <v>2667</v>
      </c>
      <c r="G1266" s="46" t="n">
        <v>46234</v>
      </c>
      <c r="H1266" s="45" t="s">
        <v>167</v>
      </c>
      <c r="I1266" s="45" t="s">
        <v>179</v>
      </c>
      <c r="J1266" s="45" t="s">
        <v>2668</v>
      </c>
      <c r="K1266" s="45" t="n">
        <v>14.3</v>
      </c>
      <c r="L1266" s="45" t="s">
        <v>263</v>
      </c>
      <c r="M1266" s="45" t="s">
        <v>259</v>
      </c>
      <c r="N1266" s="45" t="s">
        <v>167</v>
      </c>
      <c r="O1266" s="47" t="n">
        <v>46235.7724537037</v>
      </c>
      <c r="P1266" s="47" t="n">
        <v>46235.7824074074</v>
      </c>
    </row>
    <row r="1267" customFormat="false" ht="15" hidden="false" customHeight="false" outlineLevel="0" collapsed="false">
      <c r="A1267" s="45" t="n">
        <v>1472</v>
      </c>
      <c r="B1267" s="46" t="n">
        <v>46235</v>
      </c>
      <c r="C1267" s="45" t="s">
        <v>131</v>
      </c>
      <c r="D1267" s="45" t="s">
        <v>132</v>
      </c>
      <c r="E1267" s="45" t="s">
        <v>242</v>
      </c>
      <c r="F1267" s="45" t="s">
        <v>2669</v>
      </c>
      <c r="G1267" s="46" t="n">
        <v>46263</v>
      </c>
      <c r="H1267" s="45" t="s">
        <v>167</v>
      </c>
      <c r="I1267" s="45" t="s">
        <v>180</v>
      </c>
      <c r="J1267" s="45" t="s">
        <v>2670</v>
      </c>
      <c r="K1267" s="45" t="n">
        <v>2.4</v>
      </c>
      <c r="L1267" s="45" t="s">
        <v>263</v>
      </c>
      <c r="M1267" s="45" t="s">
        <v>259</v>
      </c>
      <c r="N1267" s="45" t="s">
        <v>167</v>
      </c>
      <c r="O1267" s="47" t="n">
        <v>46235.7999768519</v>
      </c>
      <c r="P1267" s="47" t="n">
        <v>46235.8016087963</v>
      </c>
    </row>
    <row r="1268" customFormat="false" ht="15" hidden="false" customHeight="false" outlineLevel="0" collapsed="false">
      <c r="A1268" s="45" t="n">
        <v>1473</v>
      </c>
      <c r="B1268" s="46" t="n">
        <v>46235</v>
      </c>
      <c r="C1268" s="45" t="s">
        <v>149</v>
      </c>
      <c r="D1268" s="45" t="s">
        <v>150</v>
      </c>
      <c r="E1268" s="45" t="s">
        <v>2671</v>
      </c>
      <c r="F1268" s="45" t="s">
        <v>2672</v>
      </c>
      <c r="G1268" s="46" t="n">
        <v>46225</v>
      </c>
      <c r="H1268" s="45" t="s">
        <v>167</v>
      </c>
      <c r="I1268" s="45" t="s">
        <v>177</v>
      </c>
      <c r="J1268" s="45" t="s">
        <v>2673</v>
      </c>
      <c r="K1268" s="45" t="n">
        <v>5.4</v>
      </c>
      <c r="L1268" s="45" t="s">
        <v>259</v>
      </c>
      <c r="M1268" s="45" t="s">
        <v>259</v>
      </c>
      <c r="N1268" s="45" t="s">
        <v>167</v>
      </c>
      <c r="O1268" s="47" t="n">
        <v>46235.8138078704</v>
      </c>
      <c r="P1268" s="47" t="n">
        <v>46235.8175578704</v>
      </c>
    </row>
    <row r="1269" customFormat="false" ht="15" hidden="false" customHeight="false" outlineLevel="0" collapsed="false">
      <c r="A1269" s="45" t="n">
        <v>1474</v>
      </c>
      <c r="B1269" s="46" t="n">
        <v>46235</v>
      </c>
      <c r="C1269" s="45" t="s">
        <v>149</v>
      </c>
      <c r="D1269" s="45" t="s">
        <v>150</v>
      </c>
      <c r="E1269" s="45" t="s">
        <v>2674</v>
      </c>
      <c r="F1269" s="45" t="s">
        <v>2675</v>
      </c>
      <c r="G1269" s="46" t="n">
        <v>46225</v>
      </c>
      <c r="H1269" s="45" t="s">
        <v>167</v>
      </c>
      <c r="I1269" s="45" t="s">
        <v>180</v>
      </c>
      <c r="J1269" s="45" t="s">
        <v>2676</v>
      </c>
      <c r="K1269" s="45" t="n">
        <v>5.9</v>
      </c>
      <c r="L1269" s="45" t="s">
        <v>263</v>
      </c>
      <c r="M1269" s="45" t="s">
        <v>259</v>
      </c>
      <c r="N1269" s="45" t="s">
        <v>167</v>
      </c>
      <c r="O1269" s="47" t="n">
        <v>46235.8177893519</v>
      </c>
      <c r="P1269" s="47" t="n">
        <v>46235.8218865741</v>
      </c>
    </row>
    <row r="1270" customFormat="false" ht="15" hidden="false" customHeight="false" outlineLevel="0" collapsed="false">
      <c r="A1270" s="45" t="n">
        <v>1475</v>
      </c>
      <c r="B1270" s="46" t="n">
        <v>46235</v>
      </c>
      <c r="C1270" s="45" t="s">
        <v>149</v>
      </c>
      <c r="D1270" s="45" t="s">
        <v>150</v>
      </c>
      <c r="E1270" s="45" t="s">
        <v>2677</v>
      </c>
      <c r="F1270" s="45" t="s">
        <v>2678</v>
      </c>
      <c r="G1270" s="46" t="n">
        <v>46226</v>
      </c>
      <c r="H1270" s="45" t="s">
        <v>167</v>
      </c>
      <c r="I1270" s="45" t="s">
        <v>180</v>
      </c>
      <c r="J1270" s="45" t="s">
        <v>2679</v>
      </c>
      <c r="K1270" s="45" t="n">
        <v>2.1</v>
      </c>
      <c r="L1270" s="45" t="s">
        <v>263</v>
      </c>
      <c r="M1270" s="45" t="s">
        <v>259</v>
      </c>
      <c r="N1270" s="45" t="s">
        <v>167</v>
      </c>
      <c r="O1270" s="47" t="n">
        <v>46235.8219328704</v>
      </c>
      <c r="P1270" s="47" t="n">
        <v>46235.8234143519</v>
      </c>
    </row>
    <row r="1271" customFormat="false" ht="15" hidden="false" customHeight="false" outlineLevel="0" collapsed="false">
      <c r="A1271" s="45" t="n">
        <v>1476</v>
      </c>
      <c r="B1271" s="46" t="n">
        <v>46235</v>
      </c>
      <c r="C1271" s="45" t="s">
        <v>149</v>
      </c>
      <c r="D1271" s="45" t="s">
        <v>150</v>
      </c>
      <c r="E1271" s="45" t="s">
        <v>2677</v>
      </c>
      <c r="F1271" s="45" t="s">
        <v>2680</v>
      </c>
      <c r="G1271" s="46" t="n">
        <v>46227</v>
      </c>
      <c r="H1271" s="45" t="s">
        <v>168</v>
      </c>
      <c r="I1271" s="45" t="s">
        <v>192</v>
      </c>
      <c r="J1271" s="45" t="s">
        <v>2681</v>
      </c>
      <c r="K1271" s="45" t="n">
        <v>7.5</v>
      </c>
      <c r="L1271" s="45" t="s">
        <v>263</v>
      </c>
      <c r="M1271" s="45" t="s">
        <v>259</v>
      </c>
      <c r="N1271" s="45" t="s">
        <v>2559</v>
      </c>
      <c r="O1271" s="47" t="n">
        <v>46235.8235185185</v>
      </c>
      <c r="P1271" s="47" t="n">
        <v>46235.8287384259</v>
      </c>
    </row>
    <row r="1272" customFormat="false" ht="15" hidden="false" customHeight="false" outlineLevel="0" collapsed="false">
      <c r="A1272" s="45" t="n">
        <v>1477</v>
      </c>
      <c r="B1272" s="46" t="n">
        <v>46235</v>
      </c>
      <c r="C1272" s="45" t="s">
        <v>149</v>
      </c>
      <c r="D1272" s="45" t="s">
        <v>150</v>
      </c>
      <c r="E1272" s="45" t="s">
        <v>2624</v>
      </c>
      <c r="F1272" s="45" t="s">
        <v>2682</v>
      </c>
      <c r="G1272" s="46" t="n">
        <v>46227</v>
      </c>
      <c r="H1272" s="45" t="s">
        <v>167</v>
      </c>
      <c r="I1272" s="45" t="s">
        <v>188</v>
      </c>
      <c r="J1272" s="45" t="s">
        <v>2683</v>
      </c>
      <c r="K1272" s="45" t="n">
        <v>6.8</v>
      </c>
      <c r="L1272" s="45" t="s">
        <v>263</v>
      </c>
      <c r="M1272" s="45" t="s">
        <v>259</v>
      </c>
      <c r="N1272" s="45" t="s">
        <v>167</v>
      </c>
      <c r="O1272" s="47" t="n">
        <v>46235.8288888889</v>
      </c>
      <c r="P1272" s="47" t="n">
        <v>46235.833587963</v>
      </c>
    </row>
    <row r="1273" customFormat="false" ht="15" hidden="false" customHeight="false" outlineLevel="0" collapsed="false">
      <c r="A1273" s="45" t="n">
        <v>1478</v>
      </c>
      <c r="B1273" s="46" t="n">
        <v>46235</v>
      </c>
      <c r="C1273" s="45" t="s">
        <v>149</v>
      </c>
      <c r="D1273" s="45" t="s">
        <v>150</v>
      </c>
      <c r="E1273" s="45" t="s">
        <v>2674</v>
      </c>
      <c r="F1273" s="45" t="s">
        <v>2684</v>
      </c>
      <c r="G1273" s="46" t="n">
        <v>46228</v>
      </c>
      <c r="H1273" s="45" t="s">
        <v>167</v>
      </c>
      <c r="I1273" s="45" t="s">
        <v>180</v>
      </c>
      <c r="J1273" s="45" t="s">
        <v>2685</v>
      </c>
      <c r="K1273" s="45" t="n">
        <v>8.3</v>
      </c>
      <c r="L1273" s="45" t="s">
        <v>263</v>
      </c>
      <c r="M1273" s="45" t="s">
        <v>259</v>
      </c>
      <c r="N1273" s="45" t="s">
        <v>167</v>
      </c>
      <c r="O1273" s="47" t="n">
        <v>46235.8337152778</v>
      </c>
      <c r="P1273" s="47" t="n">
        <v>46235.8394907407</v>
      </c>
    </row>
    <row r="1274" customFormat="false" ht="15" hidden="false" customHeight="false" outlineLevel="0" collapsed="false">
      <c r="A1274" s="45" t="n">
        <v>1479</v>
      </c>
      <c r="B1274" s="46" t="n">
        <v>46235</v>
      </c>
      <c r="C1274" s="45" t="s">
        <v>149</v>
      </c>
      <c r="D1274" s="45" t="s">
        <v>150</v>
      </c>
      <c r="E1274" s="45" t="s">
        <v>2671</v>
      </c>
      <c r="F1274" s="45" t="s">
        <v>2686</v>
      </c>
      <c r="G1274" s="46" t="n">
        <v>46229</v>
      </c>
      <c r="H1274" s="45" t="s">
        <v>167</v>
      </c>
      <c r="I1274" s="45" t="s">
        <v>177</v>
      </c>
      <c r="J1274" s="45" t="s">
        <v>2687</v>
      </c>
      <c r="K1274" s="45" t="n">
        <v>4.3</v>
      </c>
      <c r="L1274" s="45" t="s">
        <v>263</v>
      </c>
      <c r="M1274" s="45" t="s">
        <v>259</v>
      </c>
      <c r="N1274" s="45" t="s">
        <v>167</v>
      </c>
      <c r="O1274" s="47" t="n">
        <v>46235.8401851852</v>
      </c>
      <c r="P1274" s="47" t="n">
        <v>46235.8431481482</v>
      </c>
    </row>
    <row r="1275" customFormat="false" ht="15" hidden="false" customHeight="false" outlineLevel="0" collapsed="false">
      <c r="A1275" s="45" t="n">
        <v>1480</v>
      </c>
      <c r="B1275" s="46" t="n">
        <v>46235</v>
      </c>
      <c r="C1275" s="45" t="s">
        <v>149</v>
      </c>
      <c r="D1275" s="45" t="s">
        <v>150</v>
      </c>
      <c r="E1275" s="45" t="s">
        <v>237</v>
      </c>
      <c r="F1275" s="45" t="s">
        <v>2688</v>
      </c>
      <c r="G1275" s="46" t="n">
        <v>46229</v>
      </c>
      <c r="H1275" s="45" t="s">
        <v>169</v>
      </c>
      <c r="I1275" s="45"/>
      <c r="J1275" s="45"/>
      <c r="K1275" s="45" t="n">
        <v>4.2</v>
      </c>
      <c r="L1275" s="45" t="s">
        <v>263</v>
      </c>
      <c r="M1275" s="45" t="s">
        <v>259</v>
      </c>
      <c r="N1275" s="45" t="s">
        <v>169</v>
      </c>
      <c r="O1275" s="47" t="n">
        <v>46235.8433333333</v>
      </c>
      <c r="P1275" s="47" t="n">
        <v>46235.8462731482</v>
      </c>
    </row>
    <row r="1276" customFormat="false" ht="15" hidden="false" customHeight="false" outlineLevel="0" collapsed="false">
      <c r="A1276" s="45" t="n">
        <v>1481</v>
      </c>
      <c r="B1276" s="46" t="n">
        <v>46235</v>
      </c>
      <c r="C1276" s="45" t="s">
        <v>149</v>
      </c>
      <c r="D1276" s="45" t="s">
        <v>150</v>
      </c>
      <c r="E1276" s="45" t="s">
        <v>233</v>
      </c>
      <c r="F1276" s="45" t="s">
        <v>2689</v>
      </c>
      <c r="G1276" s="46" t="n">
        <v>46230</v>
      </c>
      <c r="H1276" s="45" t="s">
        <v>167</v>
      </c>
      <c r="I1276" s="45" t="s">
        <v>184</v>
      </c>
      <c r="J1276" s="45" t="s">
        <v>2690</v>
      </c>
      <c r="K1276" s="45" t="n">
        <v>8.4</v>
      </c>
      <c r="L1276" s="45" t="s">
        <v>263</v>
      </c>
      <c r="M1276" s="45" t="s">
        <v>259</v>
      </c>
      <c r="N1276" s="45" t="s">
        <v>167</v>
      </c>
      <c r="O1276" s="47" t="n">
        <v>46235.8465162037</v>
      </c>
      <c r="P1276" s="47" t="n">
        <v>46235.8523726852</v>
      </c>
    </row>
    <row r="1277" customFormat="false" ht="15" hidden="false" customHeight="false" outlineLevel="0" collapsed="false">
      <c r="A1277" s="45" t="n">
        <v>1483</v>
      </c>
      <c r="B1277" s="46" t="n">
        <v>46235</v>
      </c>
      <c r="C1277" s="45" t="s">
        <v>131</v>
      </c>
      <c r="D1277" s="45" t="s">
        <v>132</v>
      </c>
      <c r="E1277" s="45" t="s">
        <v>2226</v>
      </c>
      <c r="F1277" s="45" t="s">
        <v>2691</v>
      </c>
      <c r="G1277" s="46" t="n">
        <v>46232</v>
      </c>
      <c r="H1277" s="45" t="s">
        <v>167</v>
      </c>
      <c r="I1277" s="45" t="s">
        <v>179</v>
      </c>
      <c r="J1277" s="45" t="s">
        <v>2692</v>
      </c>
      <c r="K1277" s="45" t="n">
        <v>7.9</v>
      </c>
      <c r="L1277" s="45" t="s">
        <v>263</v>
      </c>
      <c r="M1277" s="45" t="s">
        <v>259</v>
      </c>
      <c r="N1277" s="45" t="s">
        <v>167</v>
      </c>
      <c r="O1277" s="47" t="n">
        <v>46235.8502777778</v>
      </c>
      <c r="P1277" s="47" t="n">
        <v>46235.8557638889</v>
      </c>
    </row>
    <row r="1278" customFormat="false" ht="15" hidden="false" customHeight="false" outlineLevel="0" collapsed="false">
      <c r="A1278" s="45" t="n">
        <v>1482</v>
      </c>
      <c r="B1278" s="46" t="n">
        <v>46235</v>
      </c>
      <c r="C1278" s="45" t="s">
        <v>149</v>
      </c>
      <c r="D1278" s="45" t="s">
        <v>150</v>
      </c>
      <c r="E1278" s="45" t="s">
        <v>2666</v>
      </c>
      <c r="F1278" s="45" t="s">
        <v>2693</v>
      </c>
      <c r="G1278" s="46" t="n">
        <v>46230</v>
      </c>
      <c r="H1278" s="45" t="s">
        <v>167</v>
      </c>
      <c r="I1278" s="45" t="s">
        <v>177</v>
      </c>
      <c r="J1278" s="45" t="s">
        <v>2694</v>
      </c>
      <c r="K1278" s="45" t="n">
        <v>3.1</v>
      </c>
      <c r="L1278" s="45" t="s">
        <v>263</v>
      </c>
      <c r="M1278" s="45" t="s">
        <v>259</v>
      </c>
      <c r="N1278" s="45" t="s">
        <v>167</v>
      </c>
      <c r="O1278" s="47" t="n">
        <v>46235.8531828704</v>
      </c>
      <c r="P1278" s="47" t="n">
        <v>46235.8553356482</v>
      </c>
    </row>
    <row r="1279" customFormat="false" ht="15" hidden="false" customHeight="false" outlineLevel="0" collapsed="false">
      <c r="A1279" s="45" t="n">
        <v>1484</v>
      </c>
      <c r="B1279" s="46" t="n">
        <v>46235</v>
      </c>
      <c r="C1279" s="45" t="s">
        <v>149</v>
      </c>
      <c r="D1279" s="45" t="s">
        <v>150</v>
      </c>
      <c r="E1279" s="45" t="s">
        <v>2666</v>
      </c>
      <c r="F1279" s="45" t="s">
        <v>2695</v>
      </c>
      <c r="G1279" s="46" t="n">
        <v>46230</v>
      </c>
      <c r="H1279" s="45" t="s">
        <v>169</v>
      </c>
      <c r="I1279" s="45"/>
      <c r="J1279" s="45"/>
      <c r="K1279" s="45" t="n">
        <v>0.8</v>
      </c>
      <c r="L1279" s="45" t="s">
        <v>263</v>
      </c>
      <c r="M1279" s="45" t="s">
        <v>259</v>
      </c>
      <c r="N1279" s="45" t="s">
        <v>169</v>
      </c>
      <c r="O1279" s="47" t="n">
        <v>46235.8553935185</v>
      </c>
      <c r="P1279" s="47" t="n">
        <v>46235.8559837963</v>
      </c>
    </row>
    <row r="1280" customFormat="false" ht="15" hidden="false" customHeight="false" outlineLevel="0" collapsed="false">
      <c r="A1280" s="45" t="n">
        <v>1485</v>
      </c>
      <c r="B1280" s="46" t="n">
        <v>46235</v>
      </c>
      <c r="C1280" s="45" t="s">
        <v>149</v>
      </c>
      <c r="D1280" s="45" t="s">
        <v>150</v>
      </c>
      <c r="E1280" s="45" t="s">
        <v>2674</v>
      </c>
      <c r="F1280" s="45" t="s">
        <v>2696</v>
      </c>
      <c r="G1280" s="46" t="n">
        <v>46231</v>
      </c>
      <c r="H1280" s="45" t="s">
        <v>168</v>
      </c>
      <c r="I1280" s="45" t="s">
        <v>192</v>
      </c>
      <c r="J1280" s="45" t="s">
        <v>2697</v>
      </c>
      <c r="K1280" s="45" t="n">
        <v>6.9</v>
      </c>
      <c r="L1280" s="45" t="s">
        <v>263</v>
      </c>
      <c r="M1280" s="45" t="s">
        <v>259</v>
      </c>
      <c r="N1280" s="45" t="s">
        <v>2559</v>
      </c>
      <c r="O1280" s="47" t="n">
        <v>46235.8565625</v>
      </c>
      <c r="P1280" s="47" t="n">
        <v>46235.8613773148</v>
      </c>
    </row>
    <row r="1281" customFormat="false" ht="15" hidden="false" customHeight="false" outlineLevel="0" collapsed="false">
      <c r="A1281" s="45" t="n">
        <v>1486</v>
      </c>
      <c r="B1281" s="46" t="n">
        <v>46235</v>
      </c>
      <c r="C1281" s="45" t="s">
        <v>149</v>
      </c>
      <c r="D1281" s="45" t="s">
        <v>150</v>
      </c>
      <c r="E1281" s="45" t="s">
        <v>2666</v>
      </c>
      <c r="F1281" s="45" t="s">
        <v>2698</v>
      </c>
      <c r="G1281" s="46" t="n">
        <v>46231</v>
      </c>
      <c r="H1281" s="45" t="s">
        <v>57</v>
      </c>
      <c r="I1281" s="45" t="s">
        <v>201</v>
      </c>
      <c r="J1281" s="45" t="s">
        <v>2699</v>
      </c>
      <c r="K1281" s="45" t="n">
        <v>7.4</v>
      </c>
      <c r="L1281" s="45" t="s">
        <v>263</v>
      </c>
      <c r="M1281" s="45" t="s">
        <v>259</v>
      </c>
      <c r="N1281" s="45" t="s">
        <v>57</v>
      </c>
      <c r="O1281" s="47" t="n">
        <v>46235.8614930556</v>
      </c>
      <c r="P1281" s="47" t="n">
        <v>46235.8666087963</v>
      </c>
    </row>
    <row r="1282" customFormat="false" ht="15" hidden="false" customHeight="false" outlineLevel="0" collapsed="false">
      <c r="A1282" s="45" t="n">
        <v>1487</v>
      </c>
      <c r="B1282" s="46" t="n">
        <v>46235</v>
      </c>
      <c r="C1282" s="45" t="s">
        <v>149</v>
      </c>
      <c r="D1282" s="45" t="s">
        <v>150</v>
      </c>
      <c r="E1282" s="45" t="s">
        <v>2624</v>
      </c>
      <c r="F1282" s="45" t="s">
        <v>2700</v>
      </c>
      <c r="G1282" s="46" t="n">
        <v>46233</v>
      </c>
      <c r="H1282" s="45" t="s">
        <v>167</v>
      </c>
      <c r="I1282" s="45" t="s">
        <v>178</v>
      </c>
      <c r="J1282" s="45" t="s">
        <v>2701</v>
      </c>
      <c r="K1282" s="45" t="n">
        <v>3.3</v>
      </c>
      <c r="L1282" s="45" t="s">
        <v>263</v>
      </c>
      <c r="M1282" s="45" t="s">
        <v>259</v>
      </c>
      <c r="N1282" s="45" t="s">
        <v>167</v>
      </c>
      <c r="O1282" s="47" t="n">
        <v>46235.8669212963</v>
      </c>
      <c r="P1282" s="47" t="n">
        <v>46235.8692013889</v>
      </c>
    </row>
    <row r="1283" customFormat="false" ht="15" hidden="false" customHeight="false" outlineLevel="0" collapsed="false">
      <c r="A1283" s="45" t="n">
        <v>1488</v>
      </c>
      <c r="B1283" s="46" t="n">
        <v>46235</v>
      </c>
      <c r="C1283" s="45" t="s">
        <v>131</v>
      </c>
      <c r="D1283" s="45" t="s">
        <v>132</v>
      </c>
      <c r="E1283" s="45" t="s">
        <v>240</v>
      </c>
      <c r="F1283" s="45" t="s">
        <v>2702</v>
      </c>
      <c r="G1283" s="46" t="n">
        <v>46263</v>
      </c>
      <c r="H1283" s="45" t="s">
        <v>168</v>
      </c>
      <c r="I1283" s="45" t="s">
        <v>193</v>
      </c>
      <c r="J1283" s="45" t="s">
        <v>2703</v>
      </c>
      <c r="K1283" s="45" t="n">
        <v>4.4</v>
      </c>
      <c r="L1283" s="45" t="s">
        <v>263</v>
      </c>
      <c r="M1283" s="45" t="s">
        <v>259</v>
      </c>
      <c r="N1283" s="45" t="s">
        <v>2559</v>
      </c>
      <c r="O1283" s="47" t="n">
        <v>46235.8672222222</v>
      </c>
      <c r="P1283" s="47" t="n">
        <v>46235.8702546296</v>
      </c>
    </row>
    <row r="1284" customFormat="false" ht="15" hidden="false" customHeight="false" outlineLevel="0" collapsed="false">
      <c r="A1284" s="45" t="n">
        <v>1489</v>
      </c>
      <c r="B1284" s="46" t="n">
        <v>46235</v>
      </c>
      <c r="C1284" s="45" t="s">
        <v>149</v>
      </c>
      <c r="D1284" s="45" t="s">
        <v>150</v>
      </c>
      <c r="E1284" s="45" t="s">
        <v>2624</v>
      </c>
      <c r="F1284" s="45" t="s">
        <v>2625</v>
      </c>
      <c r="G1284" s="46" t="n">
        <v>46233</v>
      </c>
      <c r="H1284" s="45" t="s">
        <v>167</v>
      </c>
      <c r="I1284" s="45" t="s">
        <v>180</v>
      </c>
      <c r="J1284" s="45" t="s">
        <v>2704</v>
      </c>
      <c r="K1284" s="45" t="n">
        <v>4.7</v>
      </c>
      <c r="L1284" s="45" t="s">
        <v>259</v>
      </c>
      <c r="M1284" s="45" t="s">
        <v>259</v>
      </c>
      <c r="N1284" s="45" t="s">
        <v>167</v>
      </c>
      <c r="O1284" s="47" t="n">
        <v>46235.8694907407</v>
      </c>
      <c r="P1284" s="47" t="n">
        <v>46235.8727777778</v>
      </c>
    </row>
    <row r="1285" customFormat="false" ht="15" hidden="false" customHeight="false" outlineLevel="0" collapsed="false">
      <c r="A1285" s="45" t="n">
        <v>1490</v>
      </c>
      <c r="B1285" s="46" t="n">
        <v>46235</v>
      </c>
      <c r="C1285" s="45" t="s">
        <v>149</v>
      </c>
      <c r="D1285" s="45" t="s">
        <v>150</v>
      </c>
      <c r="E1285" s="45" t="s">
        <v>2705</v>
      </c>
      <c r="F1285" s="45" t="s">
        <v>2706</v>
      </c>
      <c r="G1285" s="46" t="n">
        <v>46233</v>
      </c>
      <c r="H1285" s="45" t="s">
        <v>167</v>
      </c>
      <c r="I1285" s="45" t="s">
        <v>176</v>
      </c>
      <c r="J1285" s="45" t="s">
        <v>2707</v>
      </c>
      <c r="K1285" s="45" t="n">
        <v>3.8</v>
      </c>
      <c r="L1285" s="45" t="s">
        <v>263</v>
      </c>
      <c r="M1285" s="45" t="s">
        <v>259</v>
      </c>
      <c r="N1285" s="45" t="s">
        <v>167</v>
      </c>
      <c r="O1285" s="47" t="n">
        <v>46235.8731597222</v>
      </c>
      <c r="P1285" s="47" t="n">
        <v>46235.875775463</v>
      </c>
    </row>
    <row r="1286" customFormat="false" ht="15" hidden="false" customHeight="false" outlineLevel="0" collapsed="false">
      <c r="A1286" s="45" t="n">
        <v>1491</v>
      </c>
      <c r="B1286" s="46" t="n">
        <v>46235</v>
      </c>
      <c r="C1286" s="45" t="s">
        <v>149</v>
      </c>
      <c r="D1286" s="45" t="s">
        <v>150</v>
      </c>
      <c r="E1286" s="45" t="s">
        <v>2674</v>
      </c>
      <c r="F1286" s="45" t="s">
        <v>2708</v>
      </c>
      <c r="G1286" s="46" t="n">
        <v>46234</v>
      </c>
      <c r="H1286" s="45" t="s">
        <v>167</v>
      </c>
      <c r="I1286" s="45" t="s">
        <v>177</v>
      </c>
      <c r="J1286" s="45" t="s">
        <v>2709</v>
      </c>
      <c r="K1286" s="45" t="n">
        <v>2</v>
      </c>
      <c r="L1286" s="45" t="s">
        <v>263</v>
      </c>
      <c r="M1286" s="45" t="s">
        <v>259</v>
      </c>
      <c r="N1286" s="45" t="s">
        <v>167</v>
      </c>
      <c r="O1286" s="47" t="n">
        <v>46235.8773032407</v>
      </c>
      <c r="P1286" s="47" t="n">
        <v>46235.8786805556</v>
      </c>
    </row>
    <row r="1287" customFormat="false" ht="15" hidden="false" customHeight="false" outlineLevel="0" collapsed="false">
      <c r="A1287" s="45" t="n">
        <v>1492</v>
      </c>
      <c r="B1287" s="46" t="n">
        <v>46235</v>
      </c>
      <c r="C1287" s="45" t="s">
        <v>149</v>
      </c>
      <c r="D1287" s="45" t="s">
        <v>150</v>
      </c>
      <c r="E1287" s="45" t="s">
        <v>237</v>
      </c>
      <c r="F1287" s="45" t="s">
        <v>2660</v>
      </c>
      <c r="G1287" s="46" t="n">
        <v>46235</v>
      </c>
      <c r="H1287" s="45" t="s">
        <v>57</v>
      </c>
      <c r="I1287" s="45" t="s">
        <v>200</v>
      </c>
      <c r="J1287" s="45" t="s">
        <v>2710</v>
      </c>
      <c r="K1287" s="45" t="n">
        <v>1.6</v>
      </c>
      <c r="L1287" s="45" t="s">
        <v>259</v>
      </c>
      <c r="M1287" s="45" t="s">
        <v>259</v>
      </c>
      <c r="N1287" s="45" t="s">
        <v>57</v>
      </c>
      <c r="O1287" s="47" t="n">
        <v>46235.8790740741</v>
      </c>
      <c r="P1287" s="47" t="n">
        <v>46235.8801967593</v>
      </c>
    </row>
    <row r="1288" customFormat="false" ht="15" hidden="false" customHeight="false" outlineLevel="0" collapsed="false">
      <c r="A1288" s="45" t="n">
        <v>1493</v>
      </c>
      <c r="B1288" s="46" t="n">
        <v>46235</v>
      </c>
      <c r="C1288" s="45" t="s">
        <v>131</v>
      </c>
      <c r="D1288" s="45" t="s">
        <v>132</v>
      </c>
      <c r="E1288" s="45" t="s">
        <v>2223</v>
      </c>
      <c r="F1288" s="45" t="s">
        <v>2711</v>
      </c>
      <c r="G1288" s="46" t="n">
        <v>46233</v>
      </c>
      <c r="H1288" s="45" t="s">
        <v>167</v>
      </c>
      <c r="I1288" s="45" t="s">
        <v>186</v>
      </c>
      <c r="J1288" s="45" t="s">
        <v>2712</v>
      </c>
      <c r="K1288" s="45" t="n">
        <v>12.5</v>
      </c>
      <c r="L1288" s="45" t="s">
        <v>263</v>
      </c>
      <c r="M1288" s="45" t="s">
        <v>259</v>
      </c>
      <c r="N1288" s="45" t="s">
        <v>167</v>
      </c>
      <c r="O1288" s="47" t="n">
        <v>46235.9051388889</v>
      </c>
      <c r="P1288" s="47" t="n">
        <v>46235.9138194445</v>
      </c>
    </row>
    <row r="1289" customFormat="false" ht="15" hidden="false" customHeight="false" outlineLevel="0" collapsed="false">
      <c r="A1289" s="45" t="n">
        <v>1494</v>
      </c>
      <c r="B1289" s="46" t="n">
        <v>46235</v>
      </c>
      <c r="C1289" s="45" t="s">
        <v>131</v>
      </c>
      <c r="D1289" s="45" t="s">
        <v>132</v>
      </c>
      <c r="E1289" s="45" t="s">
        <v>2226</v>
      </c>
      <c r="F1289" s="45" t="s">
        <v>2713</v>
      </c>
      <c r="G1289" s="46" t="n">
        <v>46265</v>
      </c>
      <c r="H1289" s="45" t="s">
        <v>167</v>
      </c>
      <c r="I1289" s="45" t="s">
        <v>176</v>
      </c>
      <c r="J1289" s="45" t="s">
        <v>2714</v>
      </c>
      <c r="K1289" s="45" t="n">
        <v>1.2</v>
      </c>
      <c r="L1289" s="45" t="s">
        <v>263</v>
      </c>
      <c r="M1289" s="45" t="s">
        <v>259</v>
      </c>
      <c r="N1289" s="45" t="s">
        <v>167</v>
      </c>
      <c r="O1289" s="47" t="n">
        <v>46235.9424768519</v>
      </c>
      <c r="P1289" s="47" t="n">
        <v>46235.9433217593</v>
      </c>
    </row>
    <row r="1290" customFormat="false" ht="15" hidden="false" customHeight="false" outlineLevel="0" collapsed="false">
      <c r="A1290" s="45" t="n">
        <v>1495</v>
      </c>
      <c r="B1290" s="46" t="n">
        <v>46235</v>
      </c>
      <c r="C1290" s="45" t="s">
        <v>131</v>
      </c>
      <c r="D1290" s="45" t="s">
        <v>132</v>
      </c>
      <c r="E1290" s="45" t="s">
        <v>2508</v>
      </c>
      <c r="F1290" s="45" t="s">
        <v>2715</v>
      </c>
      <c r="G1290" s="46" t="n">
        <v>46234</v>
      </c>
      <c r="H1290" s="45" t="s">
        <v>168</v>
      </c>
      <c r="I1290" s="45" t="s">
        <v>192</v>
      </c>
      <c r="J1290" s="45" t="s">
        <v>2716</v>
      </c>
      <c r="K1290" s="45" t="n">
        <v>4.7</v>
      </c>
      <c r="L1290" s="45" t="s">
        <v>259</v>
      </c>
      <c r="M1290" s="45" t="s">
        <v>259</v>
      </c>
      <c r="N1290" s="45" t="s">
        <v>2559</v>
      </c>
      <c r="O1290" s="47" t="n">
        <v>46235.9443981482</v>
      </c>
      <c r="P1290" s="47" t="n">
        <v>46235.947650463</v>
      </c>
    </row>
    <row r="1291" customFormat="false" ht="15" hidden="false" customHeight="false" outlineLevel="0" collapsed="false">
      <c r="A1291" s="45" t="n">
        <v>1496</v>
      </c>
      <c r="B1291" s="46" t="n">
        <v>46236</v>
      </c>
      <c r="C1291" s="45" t="s">
        <v>135</v>
      </c>
      <c r="D1291" s="45" t="s">
        <v>136</v>
      </c>
      <c r="E1291" s="45" t="s">
        <v>236</v>
      </c>
      <c r="F1291" s="45" t="s">
        <v>2717</v>
      </c>
      <c r="G1291" s="46" t="n">
        <v>46233</v>
      </c>
      <c r="H1291" s="45" t="s">
        <v>168</v>
      </c>
      <c r="I1291" s="45" t="s">
        <v>192</v>
      </c>
      <c r="J1291" s="45" t="s">
        <v>2718</v>
      </c>
      <c r="K1291" s="45" t="n">
        <v>12.8</v>
      </c>
      <c r="L1291" s="45" t="s">
        <v>263</v>
      </c>
      <c r="M1291" s="45" t="s">
        <v>259</v>
      </c>
      <c r="N1291" s="45" t="s">
        <v>2559</v>
      </c>
      <c r="O1291" s="47" t="n">
        <v>46236.0088773148</v>
      </c>
      <c r="P1291" s="47" t="n">
        <v>46236.0177893519</v>
      </c>
    </row>
    <row r="1292" customFormat="false" ht="15" hidden="false" customHeight="false" outlineLevel="0" collapsed="false">
      <c r="A1292" s="45" t="n">
        <v>1497</v>
      </c>
      <c r="B1292" s="46" t="n">
        <v>46236</v>
      </c>
      <c r="C1292" s="45" t="s">
        <v>135</v>
      </c>
      <c r="D1292" s="45" t="s">
        <v>136</v>
      </c>
      <c r="E1292" s="45" t="s">
        <v>236</v>
      </c>
      <c r="F1292" s="45" t="s">
        <v>2719</v>
      </c>
      <c r="G1292" s="46" t="n">
        <v>46233</v>
      </c>
      <c r="H1292" s="45" t="s">
        <v>168</v>
      </c>
      <c r="I1292" s="45" t="s">
        <v>192</v>
      </c>
      <c r="J1292" s="45" t="s">
        <v>2720</v>
      </c>
      <c r="K1292" s="45" t="n">
        <v>43.3</v>
      </c>
      <c r="L1292" s="45" t="s">
        <v>263</v>
      </c>
      <c r="M1292" s="45" t="s">
        <v>259</v>
      </c>
      <c r="N1292" s="45" t="s">
        <v>2559</v>
      </c>
      <c r="O1292" s="47" t="n">
        <v>46236.017962963</v>
      </c>
      <c r="P1292" s="47" t="n">
        <v>46236.0480439815</v>
      </c>
    </row>
    <row r="1293" customFormat="false" ht="15" hidden="false" customHeight="false" outlineLevel="0" collapsed="false">
      <c r="A1293" s="45" t="n">
        <v>1498</v>
      </c>
      <c r="B1293" s="46" t="n">
        <v>46236</v>
      </c>
      <c r="C1293" s="45" t="s">
        <v>135</v>
      </c>
      <c r="D1293" s="45" t="s">
        <v>136</v>
      </c>
      <c r="E1293" s="45" t="s">
        <v>226</v>
      </c>
      <c r="F1293" s="45" t="s">
        <v>2721</v>
      </c>
      <c r="G1293" s="46" t="n">
        <v>46234</v>
      </c>
      <c r="H1293" s="45" t="s">
        <v>168</v>
      </c>
      <c r="I1293" s="45" t="s">
        <v>192</v>
      </c>
      <c r="J1293" s="45" t="s">
        <v>2722</v>
      </c>
      <c r="K1293" s="45" t="n">
        <v>1.1</v>
      </c>
      <c r="L1293" s="45" t="s">
        <v>263</v>
      </c>
      <c r="M1293" s="45" t="s">
        <v>259</v>
      </c>
      <c r="N1293" s="45" t="s">
        <v>2559</v>
      </c>
      <c r="O1293" s="47" t="n">
        <v>46236.08125</v>
      </c>
      <c r="P1293" s="47" t="n">
        <v>46236.082025463</v>
      </c>
    </row>
    <row r="1294" customFormat="false" ht="15" hidden="false" customHeight="false" outlineLevel="0" collapsed="false">
      <c r="A1294" s="45" t="n">
        <v>1499</v>
      </c>
      <c r="B1294" s="46" t="n">
        <v>46236</v>
      </c>
      <c r="C1294" s="45" t="s">
        <v>135</v>
      </c>
      <c r="D1294" s="45" t="s">
        <v>136</v>
      </c>
      <c r="E1294" s="45" t="s">
        <v>226</v>
      </c>
      <c r="F1294" s="45" t="s">
        <v>2723</v>
      </c>
      <c r="G1294" s="46" t="n">
        <v>46234</v>
      </c>
      <c r="H1294" s="45" t="s">
        <v>168</v>
      </c>
      <c r="I1294" s="45" t="s">
        <v>192</v>
      </c>
      <c r="J1294" s="45" t="s">
        <v>2724</v>
      </c>
      <c r="K1294" s="45" t="n">
        <v>8.1</v>
      </c>
      <c r="L1294" s="45" t="s">
        <v>263</v>
      </c>
      <c r="M1294" s="45" t="s">
        <v>259</v>
      </c>
      <c r="N1294" s="45" t="s">
        <v>2559</v>
      </c>
      <c r="O1294" s="47" t="n">
        <v>46236.0820601852</v>
      </c>
      <c r="P1294" s="47" t="n">
        <v>46236.087662037</v>
      </c>
    </row>
    <row r="1295" customFormat="false" ht="15" hidden="false" customHeight="false" outlineLevel="0" collapsed="false">
      <c r="A1295" s="45" t="n">
        <v>1500</v>
      </c>
      <c r="B1295" s="46" t="n">
        <v>46236</v>
      </c>
      <c r="C1295" s="45" t="s">
        <v>135</v>
      </c>
      <c r="D1295" s="45" t="s">
        <v>136</v>
      </c>
      <c r="E1295" s="45" t="s">
        <v>238</v>
      </c>
      <c r="F1295" s="45" t="s">
        <v>2725</v>
      </c>
      <c r="G1295" s="46" t="n">
        <v>46234</v>
      </c>
      <c r="H1295" s="45" t="s">
        <v>57</v>
      </c>
      <c r="I1295" s="45" t="s">
        <v>203</v>
      </c>
      <c r="J1295" s="45" t="s">
        <v>2726</v>
      </c>
      <c r="K1295" s="45" t="n">
        <v>1.4</v>
      </c>
      <c r="L1295" s="45" t="s">
        <v>263</v>
      </c>
      <c r="M1295" s="45" t="s">
        <v>259</v>
      </c>
      <c r="N1295" s="45" t="s">
        <v>57</v>
      </c>
      <c r="O1295" s="47" t="n">
        <v>46236.0899305556</v>
      </c>
      <c r="P1295" s="47" t="n">
        <v>46236.0909375</v>
      </c>
    </row>
    <row r="1296" customFormat="false" ht="15" hidden="false" customHeight="false" outlineLevel="0" collapsed="false">
      <c r="A1296" s="45" t="n">
        <v>1501</v>
      </c>
      <c r="B1296" s="46" t="n">
        <v>46236</v>
      </c>
      <c r="C1296" s="45" t="s">
        <v>141</v>
      </c>
      <c r="D1296" s="45" t="s">
        <v>142</v>
      </c>
      <c r="E1296" s="45" t="s">
        <v>232</v>
      </c>
      <c r="F1296" s="45" t="s">
        <v>2727</v>
      </c>
      <c r="G1296" s="46" t="n">
        <v>46233</v>
      </c>
      <c r="H1296" s="45" t="s">
        <v>57</v>
      </c>
      <c r="I1296" s="45" t="s">
        <v>200</v>
      </c>
      <c r="J1296" s="45" t="s">
        <v>2728</v>
      </c>
      <c r="K1296" s="45" t="n">
        <v>0.1</v>
      </c>
      <c r="L1296" s="45" t="s">
        <v>263</v>
      </c>
      <c r="M1296" s="45" t="s">
        <v>259</v>
      </c>
      <c r="N1296" s="45" t="s">
        <v>57</v>
      </c>
      <c r="O1296" s="47" t="n">
        <v>46236.1275925926</v>
      </c>
      <c r="P1296" s="47" t="n">
        <v>46236.1276273148</v>
      </c>
    </row>
    <row r="1297" customFormat="false" ht="15" hidden="false" customHeight="false" outlineLevel="0" collapsed="false">
      <c r="A1297" s="45" t="n">
        <v>1502</v>
      </c>
      <c r="B1297" s="46" t="n">
        <v>46236</v>
      </c>
      <c r="C1297" s="45" t="s">
        <v>141</v>
      </c>
      <c r="D1297" s="45" t="s">
        <v>142</v>
      </c>
      <c r="E1297" s="45" t="s">
        <v>232</v>
      </c>
      <c r="F1297" s="45" t="s">
        <v>2729</v>
      </c>
      <c r="G1297" s="46" t="n">
        <v>46229</v>
      </c>
      <c r="H1297" s="45" t="s">
        <v>167</v>
      </c>
      <c r="I1297" s="45" t="s">
        <v>176</v>
      </c>
      <c r="J1297" s="45" t="s">
        <v>2730</v>
      </c>
      <c r="K1297" s="45" t="n">
        <v>17.9</v>
      </c>
      <c r="L1297" s="45" t="s">
        <v>259</v>
      </c>
      <c r="M1297" s="45" t="s">
        <v>259</v>
      </c>
      <c r="N1297" s="45" t="s">
        <v>167</v>
      </c>
      <c r="O1297" s="47" t="n">
        <v>46236.1276388889</v>
      </c>
      <c r="P1297" s="47" t="n">
        <v>46236.1400694445</v>
      </c>
    </row>
    <row r="1298" customFormat="false" ht="15" hidden="false" customHeight="false" outlineLevel="0" collapsed="false">
      <c r="A1298" s="45" t="n">
        <v>1503</v>
      </c>
      <c r="B1298" s="46" t="n">
        <v>46236</v>
      </c>
      <c r="C1298" s="45" t="s">
        <v>141</v>
      </c>
      <c r="D1298" s="45" t="s">
        <v>142</v>
      </c>
      <c r="E1298" s="45" t="s">
        <v>232</v>
      </c>
      <c r="F1298" s="45" t="s">
        <v>2729</v>
      </c>
      <c r="G1298" s="46" t="n">
        <v>46229</v>
      </c>
      <c r="H1298" s="45" t="s">
        <v>167</v>
      </c>
      <c r="I1298" s="45" t="s">
        <v>176</v>
      </c>
      <c r="J1298" s="45" t="s">
        <v>2731</v>
      </c>
      <c r="K1298" s="45" t="n">
        <v>5.2</v>
      </c>
      <c r="L1298" s="45" t="s">
        <v>259</v>
      </c>
      <c r="M1298" s="45" t="s">
        <v>259</v>
      </c>
      <c r="N1298" s="45" t="s">
        <v>167</v>
      </c>
      <c r="O1298" s="47" t="n">
        <v>46236.1400925926</v>
      </c>
      <c r="P1298" s="47" t="n">
        <v>46236.1437037037</v>
      </c>
    </row>
    <row r="1299" customFormat="false" ht="15" hidden="false" customHeight="false" outlineLevel="0" collapsed="false">
      <c r="A1299" s="45" t="n">
        <v>1540</v>
      </c>
      <c r="B1299" s="46" t="n">
        <v>46236</v>
      </c>
      <c r="C1299" s="45" t="s">
        <v>141</v>
      </c>
      <c r="D1299" s="45" t="s">
        <v>142</v>
      </c>
      <c r="E1299" s="45" t="s">
        <v>225</v>
      </c>
      <c r="F1299" s="45" t="s">
        <v>2732</v>
      </c>
      <c r="G1299" s="46" t="n">
        <v>46225</v>
      </c>
      <c r="H1299" s="45" t="s">
        <v>167</v>
      </c>
      <c r="I1299" s="45" t="s">
        <v>176</v>
      </c>
      <c r="J1299" s="45" t="s">
        <v>2733</v>
      </c>
      <c r="K1299" s="45" t="n">
        <v>1308.6</v>
      </c>
      <c r="L1299" s="45" t="s">
        <v>263</v>
      </c>
      <c r="M1299" s="45" t="s">
        <v>259</v>
      </c>
      <c r="N1299" s="45" t="s">
        <v>167</v>
      </c>
      <c r="O1299" s="47" t="n">
        <v>46236.148287037</v>
      </c>
      <c r="P1299" s="47" t="n">
        <v>46237.0570138889</v>
      </c>
    </row>
    <row r="1300" customFormat="false" ht="15" hidden="false" customHeight="false" outlineLevel="0" collapsed="false">
      <c r="A1300" s="45" t="n">
        <v>1504</v>
      </c>
      <c r="B1300" s="46" t="n">
        <v>46236</v>
      </c>
      <c r="C1300" s="45" t="s">
        <v>135</v>
      </c>
      <c r="D1300" s="45" t="s">
        <v>136</v>
      </c>
      <c r="E1300" s="45" t="s">
        <v>236</v>
      </c>
      <c r="F1300" s="45" t="s">
        <v>2734</v>
      </c>
      <c r="G1300" s="46" t="n">
        <v>46235</v>
      </c>
      <c r="H1300" s="45" t="s">
        <v>167</v>
      </c>
      <c r="I1300" s="45" t="s">
        <v>184</v>
      </c>
      <c r="J1300" s="45" t="s">
        <v>2735</v>
      </c>
      <c r="K1300" s="45" t="n">
        <v>5.7</v>
      </c>
      <c r="L1300" s="45" t="s">
        <v>263</v>
      </c>
      <c r="M1300" s="45" t="s">
        <v>259</v>
      </c>
      <c r="N1300" s="45" t="s">
        <v>167</v>
      </c>
      <c r="O1300" s="47" t="n">
        <v>46236.7541898148</v>
      </c>
      <c r="P1300" s="47" t="n">
        <v>46236.7581481482</v>
      </c>
    </row>
    <row r="1301" customFormat="false" ht="15" hidden="false" customHeight="false" outlineLevel="0" collapsed="false">
      <c r="A1301" s="45" t="n">
        <v>1505</v>
      </c>
      <c r="B1301" s="46" t="n">
        <v>46236</v>
      </c>
      <c r="C1301" s="45" t="s">
        <v>135</v>
      </c>
      <c r="D1301" s="45" t="s">
        <v>136</v>
      </c>
      <c r="E1301" s="45" t="s">
        <v>239</v>
      </c>
      <c r="F1301" s="45" t="s">
        <v>2736</v>
      </c>
      <c r="G1301" s="46" t="n">
        <v>46235</v>
      </c>
      <c r="H1301" s="45" t="s">
        <v>167</v>
      </c>
      <c r="I1301" s="45" t="s">
        <v>181</v>
      </c>
      <c r="J1301" s="45" t="s">
        <v>2737</v>
      </c>
      <c r="K1301" s="45" t="n">
        <v>38.6</v>
      </c>
      <c r="L1301" s="45" t="s">
        <v>263</v>
      </c>
      <c r="M1301" s="45" t="s">
        <v>259</v>
      </c>
      <c r="N1301" s="45" t="s">
        <v>167</v>
      </c>
      <c r="O1301" s="47" t="n">
        <v>46236.7583449074</v>
      </c>
      <c r="P1301" s="47" t="n">
        <v>46236.785150463</v>
      </c>
    </row>
    <row r="1302" customFormat="false" ht="15" hidden="false" customHeight="false" outlineLevel="0" collapsed="false">
      <c r="A1302" s="45" t="n">
        <v>1506</v>
      </c>
      <c r="B1302" s="46" t="n">
        <v>46236</v>
      </c>
      <c r="C1302" s="45" t="s">
        <v>135</v>
      </c>
      <c r="D1302" s="45" t="s">
        <v>136</v>
      </c>
      <c r="E1302" s="45" t="s">
        <v>239</v>
      </c>
      <c r="F1302" s="45" t="s">
        <v>2738</v>
      </c>
      <c r="G1302" s="46" t="n">
        <v>46235</v>
      </c>
      <c r="H1302" s="45" t="s">
        <v>167</v>
      </c>
      <c r="I1302" s="45" t="s">
        <v>176</v>
      </c>
      <c r="J1302" s="45" t="s">
        <v>2739</v>
      </c>
      <c r="K1302" s="45" t="n">
        <v>35</v>
      </c>
      <c r="L1302" s="45" t="s">
        <v>263</v>
      </c>
      <c r="M1302" s="45" t="s">
        <v>259</v>
      </c>
      <c r="N1302" s="45" t="s">
        <v>167</v>
      </c>
      <c r="O1302" s="47" t="n">
        <v>46236.785474537</v>
      </c>
      <c r="P1302" s="47" t="n">
        <v>46236.8097916667</v>
      </c>
    </row>
    <row r="1303" customFormat="false" ht="15" hidden="false" customHeight="false" outlineLevel="0" collapsed="false">
      <c r="A1303" s="45" t="n">
        <v>1507</v>
      </c>
      <c r="B1303" s="46" t="n">
        <v>46236</v>
      </c>
      <c r="C1303" s="45" t="s">
        <v>135</v>
      </c>
      <c r="D1303" s="45" t="s">
        <v>136</v>
      </c>
      <c r="E1303" s="45" t="s">
        <v>1606</v>
      </c>
      <c r="F1303" s="45" t="s">
        <v>2740</v>
      </c>
      <c r="G1303" s="46" t="n">
        <v>46235</v>
      </c>
      <c r="H1303" s="45" t="s">
        <v>167</v>
      </c>
      <c r="I1303" s="45" t="s">
        <v>176</v>
      </c>
      <c r="J1303" s="45" t="s">
        <v>2741</v>
      </c>
      <c r="K1303" s="45" t="n">
        <v>34</v>
      </c>
      <c r="L1303" s="45" t="s">
        <v>259</v>
      </c>
      <c r="M1303" s="45" t="s">
        <v>259</v>
      </c>
      <c r="N1303" s="45" t="s">
        <v>167</v>
      </c>
      <c r="O1303" s="47" t="n">
        <v>46236.8104861111</v>
      </c>
      <c r="P1303" s="47" t="n">
        <v>46236.8340740741</v>
      </c>
    </row>
    <row r="1304" customFormat="false" ht="15" hidden="false" customHeight="false" outlineLevel="0" collapsed="false">
      <c r="A1304" s="45" t="n">
        <v>1539</v>
      </c>
      <c r="B1304" s="46" t="n">
        <v>46236</v>
      </c>
      <c r="C1304" s="45" t="s">
        <v>135</v>
      </c>
      <c r="D1304" s="45" t="s">
        <v>136</v>
      </c>
      <c r="E1304" s="45" t="s">
        <v>1606</v>
      </c>
      <c r="F1304" s="45" t="s">
        <v>2740</v>
      </c>
      <c r="G1304" s="46" t="n">
        <v>46235</v>
      </c>
      <c r="H1304" s="45" t="s">
        <v>167</v>
      </c>
      <c r="I1304" s="45" t="s">
        <v>184</v>
      </c>
      <c r="J1304" s="45" t="s">
        <v>2742</v>
      </c>
      <c r="K1304" s="45" t="n">
        <v>219</v>
      </c>
      <c r="L1304" s="45" t="s">
        <v>259</v>
      </c>
      <c r="M1304" s="45" t="s">
        <v>259</v>
      </c>
      <c r="N1304" s="45" t="s">
        <v>167</v>
      </c>
      <c r="O1304" s="47" t="n">
        <v>46236.8343981481</v>
      </c>
      <c r="P1304" s="47" t="n">
        <v>46236.9864583333</v>
      </c>
    </row>
    <row r="1305" customFormat="false" ht="15" hidden="false" customHeight="false" outlineLevel="0" collapsed="false">
      <c r="A1305" s="45" t="n">
        <v>1508</v>
      </c>
      <c r="B1305" s="46" t="n">
        <v>46236</v>
      </c>
      <c r="C1305" s="45" t="s">
        <v>137</v>
      </c>
      <c r="D1305" s="45" t="s">
        <v>138</v>
      </c>
      <c r="E1305" s="45" t="s">
        <v>228</v>
      </c>
      <c r="F1305" s="45" t="s">
        <v>2743</v>
      </c>
      <c r="G1305" s="46" t="n">
        <v>46235</v>
      </c>
      <c r="H1305" s="45" t="s">
        <v>168</v>
      </c>
      <c r="I1305" s="45" t="s">
        <v>196</v>
      </c>
      <c r="J1305" s="45" t="s">
        <v>2744</v>
      </c>
      <c r="K1305" s="45" t="n">
        <v>1</v>
      </c>
      <c r="L1305" s="45" t="s">
        <v>263</v>
      </c>
      <c r="M1305" s="45" t="s">
        <v>259</v>
      </c>
      <c r="N1305" s="45" t="s">
        <v>2559</v>
      </c>
      <c r="O1305" s="47" t="n">
        <v>46236.8893402778</v>
      </c>
      <c r="P1305" s="47" t="n">
        <v>46236.8900231482</v>
      </c>
    </row>
    <row r="1306" customFormat="false" ht="15" hidden="false" customHeight="false" outlineLevel="0" collapsed="false">
      <c r="A1306" s="45" t="n">
        <v>1509</v>
      </c>
      <c r="B1306" s="46" t="n">
        <v>46236</v>
      </c>
      <c r="C1306" s="45" t="s">
        <v>137</v>
      </c>
      <c r="D1306" s="45" t="s">
        <v>138</v>
      </c>
      <c r="E1306" s="45" t="s">
        <v>669</v>
      </c>
      <c r="F1306" s="45" t="s">
        <v>2745</v>
      </c>
      <c r="G1306" s="46" t="n">
        <v>46234</v>
      </c>
      <c r="H1306" s="45" t="s">
        <v>167</v>
      </c>
      <c r="I1306" s="45" t="s">
        <v>180</v>
      </c>
      <c r="J1306" s="45" t="s">
        <v>2746</v>
      </c>
      <c r="K1306" s="45" t="n">
        <v>0.8</v>
      </c>
      <c r="L1306" s="45" t="s">
        <v>263</v>
      </c>
      <c r="M1306" s="45" t="s">
        <v>259</v>
      </c>
      <c r="N1306" s="45" t="s">
        <v>167</v>
      </c>
      <c r="O1306" s="47" t="n">
        <v>46236.8900347222</v>
      </c>
      <c r="P1306" s="47" t="n">
        <v>46236.890625</v>
      </c>
    </row>
    <row r="1307" customFormat="false" ht="15" hidden="false" customHeight="false" outlineLevel="0" collapsed="false">
      <c r="A1307" s="45" t="n">
        <v>1510</v>
      </c>
      <c r="B1307" s="46" t="n">
        <v>46236</v>
      </c>
      <c r="C1307" s="45" t="s">
        <v>137</v>
      </c>
      <c r="D1307" s="45" t="s">
        <v>138</v>
      </c>
      <c r="E1307" s="45" t="s">
        <v>1613</v>
      </c>
      <c r="F1307" s="45" t="s">
        <v>2747</v>
      </c>
      <c r="G1307" s="46" t="n">
        <v>46234</v>
      </c>
      <c r="H1307" s="45" t="s">
        <v>167</v>
      </c>
      <c r="I1307" s="45" t="s">
        <v>184</v>
      </c>
      <c r="J1307" s="45" t="s">
        <v>2748</v>
      </c>
      <c r="K1307" s="45" t="n">
        <v>1</v>
      </c>
      <c r="L1307" s="45" t="s">
        <v>263</v>
      </c>
      <c r="M1307" s="45" t="s">
        <v>259</v>
      </c>
      <c r="N1307" s="45" t="s">
        <v>167</v>
      </c>
      <c r="O1307" s="47" t="n">
        <v>46236.8907060185</v>
      </c>
      <c r="P1307" s="47" t="n">
        <v>46236.8913888889</v>
      </c>
    </row>
    <row r="1308" customFormat="false" ht="15" hidden="false" customHeight="false" outlineLevel="0" collapsed="false">
      <c r="A1308" s="45" t="n">
        <v>1511</v>
      </c>
      <c r="B1308" s="46" t="n">
        <v>46236</v>
      </c>
      <c r="C1308" s="45" t="s">
        <v>137</v>
      </c>
      <c r="D1308" s="45" t="s">
        <v>138</v>
      </c>
      <c r="E1308" s="45" t="s">
        <v>1613</v>
      </c>
      <c r="F1308" s="45" t="s">
        <v>2749</v>
      </c>
      <c r="G1308" s="46" t="n">
        <v>46231</v>
      </c>
      <c r="H1308" s="45" t="s">
        <v>167</v>
      </c>
      <c r="I1308" s="45" t="s">
        <v>178</v>
      </c>
      <c r="J1308" s="45" t="s">
        <v>445</v>
      </c>
      <c r="K1308" s="45" t="n">
        <v>0.2</v>
      </c>
      <c r="L1308" s="45" t="s">
        <v>263</v>
      </c>
      <c r="M1308" s="45" t="s">
        <v>259</v>
      </c>
      <c r="N1308" s="45" t="s">
        <v>167</v>
      </c>
      <c r="O1308" s="47" t="n">
        <v>46236.8914699074</v>
      </c>
      <c r="P1308" s="47" t="n">
        <v>46236.8916319445</v>
      </c>
    </row>
    <row r="1309" customFormat="false" ht="15" hidden="false" customHeight="false" outlineLevel="0" collapsed="false">
      <c r="A1309" s="45" t="n">
        <v>1512</v>
      </c>
      <c r="B1309" s="46" t="n">
        <v>46236</v>
      </c>
      <c r="C1309" s="45" t="s">
        <v>137</v>
      </c>
      <c r="D1309" s="45" t="s">
        <v>138</v>
      </c>
      <c r="E1309" s="45" t="s">
        <v>219</v>
      </c>
      <c r="F1309" s="45" t="s">
        <v>2750</v>
      </c>
      <c r="G1309" s="46" t="n">
        <v>46233</v>
      </c>
      <c r="H1309" s="45" t="s">
        <v>167</v>
      </c>
      <c r="I1309" s="45" t="s">
        <v>181</v>
      </c>
      <c r="J1309" s="45" t="s">
        <v>2751</v>
      </c>
      <c r="K1309" s="45" t="n">
        <v>0.5</v>
      </c>
      <c r="L1309" s="45" t="s">
        <v>263</v>
      </c>
      <c r="M1309" s="45" t="s">
        <v>259</v>
      </c>
      <c r="N1309" s="45" t="s">
        <v>167</v>
      </c>
      <c r="O1309" s="47" t="n">
        <v>46236.8916435185</v>
      </c>
      <c r="P1309" s="47" t="n">
        <v>46236.8920138889</v>
      </c>
    </row>
    <row r="1310" customFormat="false" ht="15" hidden="false" customHeight="false" outlineLevel="0" collapsed="false">
      <c r="A1310" s="45" t="n">
        <v>1513</v>
      </c>
      <c r="B1310" s="46" t="n">
        <v>46236</v>
      </c>
      <c r="C1310" s="45" t="s">
        <v>137</v>
      </c>
      <c r="D1310" s="45" t="s">
        <v>138</v>
      </c>
      <c r="E1310" s="45" t="s">
        <v>219</v>
      </c>
      <c r="F1310" s="45" t="s">
        <v>2752</v>
      </c>
      <c r="G1310" s="46" t="n">
        <v>46232</v>
      </c>
      <c r="H1310" s="45" t="s">
        <v>167</v>
      </c>
      <c r="I1310" s="45" t="s">
        <v>176</v>
      </c>
      <c r="J1310" s="45" t="s">
        <v>2753</v>
      </c>
      <c r="K1310" s="45" t="n">
        <v>0.7</v>
      </c>
      <c r="L1310" s="45" t="s">
        <v>263</v>
      </c>
      <c r="M1310" s="45" t="s">
        <v>259</v>
      </c>
      <c r="N1310" s="45" t="s">
        <v>167</v>
      </c>
      <c r="O1310" s="47" t="n">
        <v>46236.8924074074</v>
      </c>
      <c r="P1310" s="47" t="n">
        <v>46236.8928935185</v>
      </c>
    </row>
    <row r="1311" customFormat="false" ht="15" hidden="false" customHeight="false" outlineLevel="0" collapsed="false">
      <c r="A1311" s="45" t="n">
        <v>1514</v>
      </c>
      <c r="B1311" s="46" t="n">
        <v>46236</v>
      </c>
      <c r="C1311" s="45" t="s">
        <v>137</v>
      </c>
      <c r="D1311" s="45" t="s">
        <v>138</v>
      </c>
      <c r="E1311" s="45" t="s">
        <v>219</v>
      </c>
      <c r="F1311" s="45" t="s">
        <v>2754</v>
      </c>
      <c r="G1311" s="46" t="n">
        <v>46231</v>
      </c>
      <c r="H1311" s="45" t="s">
        <v>167</v>
      </c>
      <c r="I1311" s="45" t="s">
        <v>176</v>
      </c>
      <c r="J1311" s="45" t="s">
        <v>2755</v>
      </c>
      <c r="K1311" s="45" t="n">
        <v>1.1</v>
      </c>
      <c r="L1311" s="45" t="s">
        <v>263</v>
      </c>
      <c r="M1311" s="45" t="s">
        <v>259</v>
      </c>
      <c r="N1311" s="45" t="s">
        <v>167</v>
      </c>
      <c r="O1311" s="47" t="n">
        <v>46236.892962963</v>
      </c>
      <c r="P1311" s="47" t="n">
        <v>46236.8937037037</v>
      </c>
    </row>
    <row r="1312" customFormat="false" ht="15" hidden="false" customHeight="false" outlineLevel="0" collapsed="false">
      <c r="A1312" s="45" t="n">
        <v>1515</v>
      </c>
      <c r="B1312" s="46" t="n">
        <v>46236</v>
      </c>
      <c r="C1312" s="45" t="s">
        <v>137</v>
      </c>
      <c r="D1312" s="45" t="s">
        <v>138</v>
      </c>
      <c r="E1312" s="45" t="s">
        <v>235</v>
      </c>
      <c r="F1312" s="45" t="s">
        <v>2756</v>
      </c>
      <c r="G1312" s="46" t="n">
        <v>46235</v>
      </c>
      <c r="H1312" s="45" t="s">
        <v>167</v>
      </c>
      <c r="I1312" s="45" t="s">
        <v>178</v>
      </c>
      <c r="J1312" s="45" t="s">
        <v>1242</v>
      </c>
      <c r="K1312" s="45" t="n">
        <v>0.2</v>
      </c>
      <c r="L1312" s="45" t="s">
        <v>263</v>
      </c>
      <c r="M1312" s="45" t="s">
        <v>259</v>
      </c>
      <c r="N1312" s="45" t="s">
        <v>167</v>
      </c>
      <c r="O1312" s="47" t="n">
        <v>46236.8938425926</v>
      </c>
      <c r="P1312" s="47" t="n">
        <v>46236.8940046296</v>
      </c>
    </row>
    <row r="1313" customFormat="false" ht="15" hidden="false" customHeight="false" outlineLevel="0" collapsed="false">
      <c r="A1313" s="45" t="n">
        <v>1516</v>
      </c>
      <c r="B1313" s="46" t="n">
        <v>46236</v>
      </c>
      <c r="C1313" s="45" t="s">
        <v>137</v>
      </c>
      <c r="D1313" s="45" t="s">
        <v>138</v>
      </c>
      <c r="E1313" s="45" t="s">
        <v>235</v>
      </c>
      <c r="F1313" s="45" t="s">
        <v>2757</v>
      </c>
      <c r="G1313" s="46" t="n">
        <v>46235</v>
      </c>
      <c r="H1313" s="45" t="s">
        <v>167</v>
      </c>
      <c r="I1313" s="45" t="s">
        <v>184</v>
      </c>
      <c r="J1313" s="45" t="s">
        <v>2758</v>
      </c>
      <c r="K1313" s="45" t="n">
        <v>3.5</v>
      </c>
      <c r="L1313" s="45" t="s">
        <v>263</v>
      </c>
      <c r="M1313" s="45" t="s">
        <v>259</v>
      </c>
      <c r="N1313" s="45" t="s">
        <v>167</v>
      </c>
      <c r="O1313" s="47" t="n">
        <v>46236.8941898148</v>
      </c>
      <c r="P1313" s="47" t="n">
        <v>46236.8966319444</v>
      </c>
    </row>
    <row r="1314" customFormat="false" ht="15" hidden="false" customHeight="false" outlineLevel="0" collapsed="false">
      <c r="A1314" s="45" t="n">
        <v>1517</v>
      </c>
      <c r="B1314" s="46" t="n">
        <v>46236</v>
      </c>
      <c r="C1314" s="45" t="s">
        <v>137</v>
      </c>
      <c r="D1314" s="45" t="s">
        <v>138</v>
      </c>
      <c r="E1314" s="45" t="s">
        <v>309</v>
      </c>
      <c r="F1314" s="45" t="s">
        <v>2759</v>
      </c>
      <c r="G1314" s="46" t="n">
        <v>46234</v>
      </c>
      <c r="H1314" s="45" t="s">
        <v>167</v>
      </c>
      <c r="I1314" s="45" t="s">
        <v>178</v>
      </c>
      <c r="J1314" s="45" t="s">
        <v>445</v>
      </c>
      <c r="K1314" s="45" t="n">
        <v>0.4</v>
      </c>
      <c r="L1314" s="45" t="s">
        <v>263</v>
      </c>
      <c r="M1314" s="45" t="s">
        <v>259</v>
      </c>
      <c r="N1314" s="45" t="s">
        <v>167</v>
      </c>
      <c r="O1314" s="47" t="n">
        <v>46236.8966550926</v>
      </c>
      <c r="P1314" s="47" t="n">
        <v>46236.8969097222</v>
      </c>
    </row>
    <row r="1315" customFormat="false" ht="15" hidden="false" customHeight="false" outlineLevel="0" collapsed="false">
      <c r="A1315" s="45" t="n">
        <v>1518</v>
      </c>
      <c r="B1315" s="46" t="n">
        <v>46236</v>
      </c>
      <c r="C1315" s="45" t="s">
        <v>137</v>
      </c>
      <c r="D1315" s="45" t="s">
        <v>138</v>
      </c>
      <c r="E1315" s="45" t="s">
        <v>309</v>
      </c>
      <c r="F1315" s="45" t="s">
        <v>2760</v>
      </c>
      <c r="G1315" s="46" t="n">
        <v>46231</v>
      </c>
      <c r="H1315" s="45" t="s">
        <v>57</v>
      </c>
      <c r="I1315" s="45" t="s">
        <v>201</v>
      </c>
      <c r="J1315" s="45" t="s">
        <v>2761</v>
      </c>
      <c r="K1315" s="45" t="n">
        <v>3.5</v>
      </c>
      <c r="L1315" s="45" t="s">
        <v>263</v>
      </c>
      <c r="M1315" s="45" t="s">
        <v>259</v>
      </c>
      <c r="N1315" s="45" t="s">
        <v>57</v>
      </c>
      <c r="O1315" s="47" t="n">
        <v>46236.8969328704</v>
      </c>
      <c r="P1315" s="47" t="n">
        <v>46236.8993518519</v>
      </c>
    </row>
    <row r="1316" customFormat="false" ht="15" hidden="false" customHeight="false" outlineLevel="0" collapsed="false">
      <c r="A1316" s="45" t="n">
        <v>1519</v>
      </c>
      <c r="B1316" s="46" t="n">
        <v>46236</v>
      </c>
      <c r="C1316" s="45" t="s">
        <v>137</v>
      </c>
      <c r="D1316" s="45" t="s">
        <v>138</v>
      </c>
      <c r="E1316" s="45" t="s">
        <v>1616</v>
      </c>
      <c r="F1316" s="45" t="s">
        <v>2762</v>
      </c>
      <c r="G1316" s="46" t="n">
        <v>46234</v>
      </c>
      <c r="H1316" s="45" t="s">
        <v>167</v>
      </c>
      <c r="I1316" s="45" t="s">
        <v>178</v>
      </c>
      <c r="J1316" s="45" t="s">
        <v>445</v>
      </c>
      <c r="K1316" s="45" t="n">
        <v>0.3</v>
      </c>
      <c r="L1316" s="45" t="s">
        <v>263</v>
      </c>
      <c r="M1316" s="45" t="s">
        <v>259</v>
      </c>
      <c r="N1316" s="45" t="s">
        <v>167</v>
      </c>
      <c r="O1316" s="47" t="n">
        <v>46236.8993634259</v>
      </c>
      <c r="P1316" s="47" t="n">
        <v>46236.8995949074</v>
      </c>
    </row>
    <row r="1317" customFormat="false" ht="15" hidden="false" customHeight="false" outlineLevel="0" collapsed="false">
      <c r="A1317" s="45" t="n">
        <v>1520</v>
      </c>
      <c r="B1317" s="46" t="n">
        <v>46236</v>
      </c>
      <c r="C1317" s="45" t="s">
        <v>137</v>
      </c>
      <c r="D1317" s="45" t="s">
        <v>138</v>
      </c>
      <c r="E1317" s="45" t="s">
        <v>1616</v>
      </c>
      <c r="F1317" s="45" t="s">
        <v>2763</v>
      </c>
      <c r="G1317" s="46" t="n">
        <v>46233</v>
      </c>
      <c r="H1317" s="45" t="s">
        <v>167</v>
      </c>
      <c r="I1317" s="45" t="s">
        <v>179</v>
      </c>
      <c r="J1317" s="45" t="s">
        <v>2764</v>
      </c>
      <c r="K1317" s="45" t="n">
        <v>0.6</v>
      </c>
      <c r="L1317" s="45" t="s">
        <v>263</v>
      </c>
      <c r="M1317" s="45" t="s">
        <v>259</v>
      </c>
      <c r="N1317" s="45" t="s">
        <v>167</v>
      </c>
      <c r="O1317" s="47" t="n">
        <v>46236.8996759259</v>
      </c>
      <c r="P1317" s="47" t="n">
        <v>46236.9000810185</v>
      </c>
    </row>
    <row r="1318" customFormat="false" ht="15" hidden="false" customHeight="false" outlineLevel="0" collapsed="false">
      <c r="A1318" s="45" t="n">
        <v>1521</v>
      </c>
      <c r="B1318" s="46" t="n">
        <v>46236</v>
      </c>
      <c r="C1318" s="45" t="s">
        <v>137</v>
      </c>
      <c r="D1318" s="45" t="s">
        <v>138</v>
      </c>
      <c r="E1318" s="45" t="s">
        <v>1616</v>
      </c>
      <c r="F1318" s="45" t="s">
        <v>2765</v>
      </c>
      <c r="G1318" s="46" t="n">
        <v>46232</v>
      </c>
      <c r="H1318" s="45" t="s">
        <v>167</v>
      </c>
      <c r="I1318" s="45" t="s">
        <v>178</v>
      </c>
      <c r="J1318" s="45" t="s">
        <v>445</v>
      </c>
      <c r="K1318" s="45" t="n">
        <v>3.5</v>
      </c>
      <c r="L1318" s="45" t="s">
        <v>263</v>
      </c>
      <c r="M1318" s="45" t="s">
        <v>259</v>
      </c>
      <c r="N1318" s="45" t="s">
        <v>167</v>
      </c>
      <c r="O1318" s="47" t="n">
        <v>46236.9000925926</v>
      </c>
      <c r="P1318" s="47" t="n">
        <v>46236.9025</v>
      </c>
    </row>
    <row r="1319" customFormat="false" ht="15" hidden="false" customHeight="false" outlineLevel="0" collapsed="false">
      <c r="A1319" s="45" t="n">
        <v>1522</v>
      </c>
      <c r="B1319" s="46" t="n">
        <v>46236</v>
      </c>
      <c r="C1319" s="45" t="s">
        <v>137</v>
      </c>
      <c r="D1319" s="45" t="s">
        <v>138</v>
      </c>
      <c r="E1319" s="45" t="s">
        <v>1616</v>
      </c>
      <c r="F1319" s="45" t="s">
        <v>2766</v>
      </c>
      <c r="G1319" s="46" t="n">
        <v>46227</v>
      </c>
      <c r="H1319" s="45" t="s">
        <v>168</v>
      </c>
      <c r="I1319" s="45" t="s">
        <v>194</v>
      </c>
      <c r="J1319" s="45" t="s">
        <v>2767</v>
      </c>
      <c r="K1319" s="45" t="n">
        <v>0.4</v>
      </c>
      <c r="L1319" s="45" t="s">
        <v>263</v>
      </c>
      <c r="M1319" s="45" t="s">
        <v>259</v>
      </c>
      <c r="N1319" s="45" t="s">
        <v>2559</v>
      </c>
      <c r="O1319" s="47" t="n">
        <v>46236.9025231482</v>
      </c>
      <c r="P1319" s="47" t="n">
        <v>46236.9027893519</v>
      </c>
    </row>
    <row r="1320" customFormat="false" ht="15" hidden="false" customHeight="false" outlineLevel="0" collapsed="false">
      <c r="A1320" s="45" t="n">
        <v>1523</v>
      </c>
      <c r="B1320" s="46" t="n">
        <v>46236</v>
      </c>
      <c r="C1320" s="45" t="s">
        <v>137</v>
      </c>
      <c r="D1320" s="45" t="s">
        <v>138</v>
      </c>
      <c r="E1320" s="45" t="s">
        <v>219</v>
      </c>
      <c r="F1320" s="45" t="s">
        <v>2768</v>
      </c>
      <c r="G1320" s="46" t="n">
        <v>46231</v>
      </c>
      <c r="H1320" s="45" t="s">
        <v>167</v>
      </c>
      <c r="I1320" s="45" t="s">
        <v>181</v>
      </c>
      <c r="J1320" s="45" t="s">
        <v>2769</v>
      </c>
      <c r="K1320" s="45" t="n">
        <v>2.3</v>
      </c>
      <c r="L1320" s="45" t="s">
        <v>263</v>
      </c>
      <c r="M1320" s="45" t="s">
        <v>259</v>
      </c>
      <c r="N1320" s="45" t="s">
        <v>167</v>
      </c>
      <c r="O1320" s="47" t="n">
        <v>46236.9028009259</v>
      </c>
      <c r="P1320" s="47" t="n">
        <v>46236.9043981481</v>
      </c>
    </row>
    <row r="1321" customFormat="false" ht="15" hidden="false" customHeight="false" outlineLevel="0" collapsed="false">
      <c r="A1321" s="45" t="n">
        <v>1524</v>
      </c>
      <c r="B1321" s="46" t="n">
        <v>46236</v>
      </c>
      <c r="C1321" s="45" t="s">
        <v>137</v>
      </c>
      <c r="D1321" s="45" t="s">
        <v>138</v>
      </c>
      <c r="E1321" s="45" t="s">
        <v>1616</v>
      </c>
      <c r="F1321" s="45" t="s">
        <v>2770</v>
      </c>
      <c r="G1321" s="46" t="n">
        <v>46227</v>
      </c>
      <c r="H1321" s="45" t="s">
        <v>167</v>
      </c>
      <c r="I1321" s="45" t="s">
        <v>186</v>
      </c>
      <c r="J1321" s="45" t="s">
        <v>445</v>
      </c>
      <c r="K1321" s="45" t="n">
        <v>0.6</v>
      </c>
      <c r="L1321" s="45" t="s">
        <v>263</v>
      </c>
      <c r="M1321" s="45" t="s">
        <v>259</v>
      </c>
      <c r="N1321" s="45" t="s">
        <v>167</v>
      </c>
      <c r="O1321" s="47" t="n">
        <v>46236.9044097222</v>
      </c>
      <c r="P1321" s="47" t="n">
        <v>46236.9048263889</v>
      </c>
    </row>
    <row r="1322" customFormat="false" ht="15" hidden="false" customHeight="false" outlineLevel="0" collapsed="false">
      <c r="A1322" s="45" t="n">
        <v>1525</v>
      </c>
      <c r="B1322" s="46" t="n">
        <v>46236</v>
      </c>
      <c r="C1322" s="45" t="s">
        <v>137</v>
      </c>
      <c r="D1322" s="45" t="s">
        <v>138</v>
      </c>
      <c r="E1322" s="45" t="s">
        <v>223</v>
      </c>
      <c r="F1322" s="45" t="s">
        <v>2771</v>
      </c>
      <c r="G1322" s="46" t="n">
        <v>46235</v>
      </c>
      <c r="H1322" s="45" t="s">
        <v>167</v>
      </c>
      <c r="I1322" s="45" t="s">
        <v>180</v>
      </c>
      <c r="J1322" s="45" t="s">
        <v>2772</v>
      </c>
      <c r="K1322" s="45" t="n">
        <v>0.7</v>
      </c>
      <c r="L1322" s="45" t="s">
        <v>263</v>
      </c>
      <c r="M1322" s="45" t="s">
        <v>259</v>
      </c>
      <c r="N1322" s="45" t="s">
        <v>167</v>
      </c>
      <c r="O1322" s="47" t="n">
        <v>46236.904837963</v>
      </c>
      <c r="P1322" s="47" t="n">
        <v>46236.9052893519</v>
      </c>
    </row>
    <row r="1323" customFormat="false" ht="15" hidden="false" customHeight="false" outlineLevel="0" collapsed="false">
      <c r="A1323" s="45" t="n">
        <v>1526</v>
      </c>
      <c r="B1323" s="46" t="n">
        <v>46236</v>
      </c>
      <c r="C1323" s="45" t="s">
        <v>137</v>
      </c>
      <c r="D1323" s="45" t="s">
        <v>138</v>
      </c>
      <c r="E1323" s="45" t="s">
        <v>1688</v>
      </c>
      <c r="F1323" s="45" t="s">
        <v>2773</v>
      </c>
      <c r="G1323" s="46" t="n">
        <v>46231</v>
      </c>
      <c r="H1323" s="45" t="s">
        <v>167</v>
      </c>
      <c r="I1323" s="45" t="s">
        <v>178</v>
      </c>
      <c r="J1323" s="45" t="s">
        <v>445</v>
      </c>
      <c r="K1323" s="45" t="n">
        <v>0.9</v>
      </c>
      <c r="L1323" s="45" t="s">
        <v>263</v>
      </c>
      <c r="M1323" s="45" t="s">
        <v>259</v>
      </c>
      <c r="N1323" s="45" t="s">
        <v>167</v>
      </c>
      <c r="O1323" s="47" t="n">
        <v>46236.9053125</v>
      </c>
      <c r="P1323" s="47" t="n">
        <v>46236.9059143519</v>
      </c>
    </row>
    <row r="1324" customFormat="false" ht="15" hidden="false" customHeight="false" outlineLevel="0" collapsed="false">
      <c r="A1324" s="45" t="n">
        <v>1527</v>
      </c>
      <c r="B1324" s="46" t="n">
        <v>46236</v>
      </c>
      <c r="C1324" s="45" t="s">
        <v>137</v>
      </c>
      <c r="D1324" s="45" t="s">
        <v>138</v>
      </c>
      <c r="E1324" s="45" t="s">
        <v>219</v>
      </c>
      <c r="F1324" s="45" t="s">
        <v>2774</v>
      </c>
      <c r="G1324" s="46" t="n">
        <v>46228</v>
      </c>
      <c r="H1324" s="45" t="s">
        <v>167</v>
      </c>
      <c r="I1324" s="45" t="s">
        <v>185</v>
      </c>
      <c r="J1324" s="45" t="s">
        <v>2775</v>
      </c>
      <c r="K1324" s="45" t="n">
        <v>0.9</v>
      </c>
      <c r="L1324" s="45" t="s">
        <v>263</v>
      </c>
      <c r="M1324" s="45" t="s">
        <v>259</v>
      </c>
      <c r="N1324" s="45" t="s">
        <v>167</v>
      </c>
      <c r="O1324" s="47" t="n">
        <v>46236.9059375</v>
      </c>
      <c r="P1324" s="47" t="n">
        <v>46236.9065740741</v>
      </c>
    </row>
    <row r="1325" customFormat="false" ht="15" hidden="false" customHeight="false" outlineLevel="0" collapsed="false">
      <c r="A1325" s="45" t="n">
        <v>1528</v>
      </c>
      <c r="B1325" s="46" t="n">
        <v>46236</v>
      </c>
      <c r="C1325" s="45" t="s">
        <v>137</v>
      </c>
      <c r="D1325" s="45" t="s">
        <v>138</v>
      </c>
      <c r="E1325" s="45" t="s">
        <v>219</v>
      </c>
      <c r="F1325" s="45" t="s">
        <v>2776</v>
      </c>
      <c r="G1325" s="46" t="n">
        <v>46228</v>
      </c>
      <c r="H1325" s="45" t="s">
        <v>167</v>
      </c>
      <c r="I1325" s="45" t="s">
        <v>176</v>
      </c>
      <c r="J1325" s="45" t="s">
        <v>2777</v>
      </c>
      <c r="K1325" s="45" t="n">
        <v>0.7</v>
      </c>
      <c r="L1325" s="45" t="s">
        <v>263</v>
      </c>
      <c r="M1325" s="45" t="s">
        <v>259</v>
      </c>
      <c r="N1325" s="45" t="s">
        <v>167</v>
      </c>
      <c r="O1325" s="47" t="n">
        <v>46236.9065856482</v>
      </c>
      <c r="P1325" s="47" t="n">
        <v>46236.9070833333</v>
      </c>
    </row>
    <row r="1326" customFormat="false" ht="15" hidden="false" customHeight="false" outlineLevel="0" collapsed="false">
      <c r="A1326" s="45" t="n">
        <v>1529</v>
      </c>
      <c r="B1326" s="46" t="n">
        <v>46236</v>
      </c>
      <c r="C1326" s="45" t="s">
        <v>137</v>
      </c>
      <c r="D1326" s="45" t="s">
        <v>138</v>
      </c>
      <c r="E1326" s="45" t="s">
        <v>219</v>
      </c>
      <c r="F1326" s="45" t="s">
        <v>2778</v>
      </c>
      <c r="G1326" s="46" t="n">
        <v>46227</v>
      </c>
      <c r="H1326" s="45" t="s">
        <v>167</v>
      </c>
      <c r="I1326" s="45" t="s">
        <v>180</v>
      </c>
      <c r="J1326" s="45" t="s">
        <v>445</v>
      </c>
      <c r="K1326" s="45" t="n">
        <v>0.5</v>
      </c>
      <c r="L1326" s="45" t="s">
        <v>263</v>
      </c>
      <c r="M1326" s="45" t="s">
        <v>259</v>
      </c>
      <c r="N1326" s="45" t="s">
        <v>167</v>
      </c>
      <c r="O1326" s="47" t="n">
        <v>46236.9071064815</v>
      </c>
      <c r="P1326" s="47" t="n">
        <v>46236.9074305556</v>
      </c>
    </row>
    <row r="1327" customFormat="false" ht="15" hidden="false" customHeight="false" outlineLevel="0" collapsed="false">
      <c r="A1327" s="45" t="n">
        <v>1530</v>
      </c>
      <c r="B1327" s="46" t="n">
        <v>46236</v>
      </c>
      <c r="C1327" s="45" t="s">
        <v>137</v>
      </c>
      <c r="D1327" s="45" t="s">
        <v>138</v>
      </c>
      <c r="E1327" s="45" t="s">
        <v>1732</v>
      </c>
      <c r="F1327" s="45" t="s">
        <v>2779</v>
      </c>
      <c r="G1327" s="46" t="n">
        <v>46230</v>
      </c>
      <c r="H1327" s="45" t="s">
        <v>167</v>
      </c>
      <c r="I1327" s="45" t="s">
        <v>184</v>
      </c>
      <c r="J1327" s="45" t="s">
        <v>2780</v>
      </c>
      <c r="K1327" s="45" t="n">
        <v>0.8</v>
      </c>
      <c r="L1327" s="45" t="s">
        <v>263</v>
      </c>
      <c r="M1327" s="45" t="s">
        <v>259</v>
      </c>
      <c r="N1327" s="45" t="s">
        <v>167</v>
      </c>
      <c r="O1327" s="47" t="n">
        <v>46236.9074421296</v>
      </c>
      <c r="P1327" s="47" t="n">
        <v>46236.9080208333</v>
      </c>
    </row>
    <row r="1328" customFormat="false" ht="15" hidden="false" customHeight="false" outlineLevel="0" collapsed="false">
      <c r="A1328" s="45" t="n">
        <v>1531</v>
      </c>
      <c r="B1328" s="46" t="n">
        <v>46236</v>
      </c>
      <c r="C1328" s="45" t="s">
        <v>137</v>
      </c>
      <c r="D1328" s="45" t="s">
        <v>138</v>
      </c>
      <c r="E1328" s="45" t="s">
        <v>1732</v>
      </c>
      <c r="F1328" s="45" t="s">
        <v>2781</v>
      </c>
      <c r="G1328" s="46" t="n">
        <v>46227</v>
      </c>
      <c r="H1328" s="45" t="s">
        <v>167</v>
      </c>
      <c r="I1328" s="45" t="s">
        <v>177</v>
      </c>
      <c r="J1328" s="45" t="s">
        <v>2782</v>
      </c>
      <c r="K1328" s="45" t="n">
        <v>1</v>
      </c>
      <c r="L1328" s="45" t="s">
        <v>263</v>
      </c>
      <c r="M1328" s="45" t="s">
        <v>259</v>
      </c>
      <c r="N1328" s="45" t="s">
        <v>167</v>
      </c>
      <c r="O1328" s="47" t="n">
        <v>46236.9080902778</v>
      </c>
      <c r="P1328" s="47" t="n">
        <v>46236.9087962963</v>
      </c>
    </row>
    <row r="1329" customFormat="false" ht="15" hidden="false" customHeight="false" outlineLevel="0" collapsed="false">
      <c r="A1329" s="45" t="n">
        <v>1532</v>
      </c>
      <c r="B1329" s="46" t="n">
        <v>46236</v>
      </c>
      <c r="C1329" s="45" t="s">
        <v>137</v>
      </c>
      <c r="D1329" s="45" t="s">
        <v>138</v>
      </c>
      <c r="E1329" s="45" t="s">
        <v>219</v>
      </c>
      <c r="F1329" s="45" t="s">
        <v>2783</v>
      </c>
      <c r="G1329" s="46" t="n">
        <v>46228</v>
      </c>
      <c r="H1329" s="45" t="s">
        <v>168</v>
      </c>
      <c r="I1329" s="45" t="s">
        <v>194</v>
      </c>
      <c r="J1329" s="45" t="s">
        <v>2784</v>
      </c>
      <c r="K1329" s="45" t="n">
        <v>0.4</v>
      </c>
      <c r="L1329" s="45" t="s">
        <v>263</v>
      </c>
      <c r="M1329" s="45" t="s">
        <v>259</v>
      </c>
      <c r="N1329" s="45" t="s">
        <v>2559</v>
      </c>
      <c r="O1329" s="47" t="n">
        <v>46236.9088194444</v>
      </c>
      <c r="P1329" s="47" t="n">
        <v>46236.9090856482</v>
      </c>
    </row>
    <row r="1330" customFormat="false" ht="15" hidden="false" customHeight="false" outlineLevel="0" collapsed="false">
      <c r="A1330" s="45" t="n">
        <v>1533</v>
      </c>
      <c r="B1330" s="46" t="n">
        <v>46236</v>
      </c>
      <c r="C1330" s="45" t="s">
        <v>137</v>
      </c>
      <c r="D1330" s="45" t="s">
        <v>138</v>
      </c>
      <c r="E1330" s="45" t="s">
        <v>1616</v>
      </c>
      <c r="F1330" s="45" t="s">
        <v>2785</v>
      </c>
      <c r="G1330" s="46" t="n">
        <v>46233</v>
      </c>
      <c r="H1330" s="45" t="s">
        <v>167</v>
      </c>
      <c r="I1330" s="45" t="s">
        <v>178</v>
      </c>
      <c r="J1330" s="45" t="s">
        <v>445</v>
      </c>
      <c r="K1330" s="45" t="n">
        <v>4</v>
      </c>
      <c r="L1330" s="45" t="s">
        <v>263</v>
      </c>
      <c r="M1330" s="45" t="s">
        <v>259</v>
      </c>
      <c r="N1330" s="45" t="s">
        <v>167</v>
      </c>
      <c r="O1330" s="47" t="n">
        <v>46236.9091087963</v>
      </c>
      <c r="P1330" s="47" t="n">
        <v>46236.9118518519</v>
      </c>
    </row>
    <row r="1331" customFormat="false" ht="15" hidden="false" customHeight="false" outlineLevel="0" collapsed="false">
      <c r="A1331" s="45" t="n">
        <v>1534</v>
      </c>
      <c r="B1331" s="46" t="n">
        <v>46236</v>
      </c>
      <c r="C1331" s="45" t="s">
        <v>137</v>
      </c>
      <c r="D1331" s="45" t="s">
        <v>138</v>
      </c>
      <c r="E1331" s="45" t="s">
        <v>1688</v>
      </c>
      <c r="F1331" s="45" t="s">
        <v>2786</v>
      </c>
      <c r="G1331" s="46" t="n">
        <v>46229</v>
      </c>
      <c r="H1331" s="45" t="s">
        <v>167</v>
      </c>
      <c r="I1331" s="45" t="s">
        <v>178</v>
      </c>
      <c r="J1331" s="45" t="s">
        <v>445</v>
      </c>
      <c r="K1331" s="45" t="n">
        <v>1.5</v>
      </c>
      <c r="L1331" s="45" t="s">
        <v>263</v>
      </c>
      <c r="M1331" s="45" t="s">
        <v>259</v>
      </c>
      <c r="N1331" s="45" t="s">
        <v>167</v>
      </c>
      <c r="O1331" s="47" t="n">
        <v>46236.9118865741</v>
      </c>
      <c r="P1331" s="47" t="n">
        <v>46236.9129050926</v>
      </c>
    </row>
    <row r="1332" customFormat="false" ht="15" hidden="false" customHeight="false" outlineLevel="0" collapsed="false">
      <c r="A1332" s="45" t="n">
        <v>1535</v>
      </c>
      <c r="B1332" s="46" t="n">
        <v>46236</v>
      </c>
      <c r="C1332" s="45" t="s">
        <v>137</v>
      </c>
      <c r="D1332" s="45" t="s">
        <v>138</v>
      </c>
      <c r="E1332" s="45" t="s">
        <v>223</v>
      </c>
      <c r="F1332" s="45" t="s">
        <v>2787</v>
      </c>
      <c r="G1332" s="46" t="n">
        <v>46231</v>
      </c>
      <c r="H1332" s="45" t="s">
        <v>167</v>
      </c>
      <c r="I1332" s="45" t="s">
        <v>178</v>
      </c>
      <c r="J1332" s="45" t="s">
        <v>445</v>
      </c>
      <c r="K1332" s="45" t="n">
        <v>0.2</v>
      </c>
      <c r="L1332" s="45" t="s">
        <v>263</v>
      </c>
      <c r="M1332" s="45" t="s">
        <v>259</v>
      </c>
      <c r="N1332" s="45" t="s">
        <v>167</v>
      </c>
      <c r="O1332" s="47" t="n">
        <v>46236.912974537</v>
      </c>
      <c r="P1332" s="47" t="n">
        <v>46236.9131134259</v>
      </c>
    </row>
    <row r="1333" customFormat="false" ht="15" hidden="false" customHeight="false" outlineLevel="0" collapsed="false">
      <c r="A1333" s="45" t="n">
        <v>1536</v>
      </c>
      <c r="B1333" s="46" t="n">
        <v>46236</v>
      </c>
      <c r="C1333" s="45" t="s">
        <v>137</v>
      </c>
      <c r="D1333" s="45" t="s">
        <v>138</v>
      </c>
      <c r="E1333" s="45" t="s">
        <v>219</v>
      </c>
      <c r="F1333" s="45" t="s">
        <v>2788</v>
      </c>
      <c r="G1333" s="46" t="n">
        <v>46227</v>
      </c>
      <c r="H1333" s="45" t="s">
        <v>167</v>
      </c>
      <c r="I1333" s="45" t="s">
        <v>181</v>
      </c>
      <c r="J1333" s="45" t="s">
        <v>2789</v>
      </c>
      <c r="K1333" s="45" t="n">
        <v>0.5</v>
      </c>
      <c r="L1333" s="45" t="s">
        <v>263</v>
      </c>
      <c r="M1333" s="45" t="s">
        <v>259</v>
      </c>
      <c r="N1333" s="45" t="s">
        <v>167</v>
      </c>
      <c r="O1333" s="47" t="n">
        <v>46236.913125</v>
      </c>
      <c r="P1333" s="47" t="n">
        <v>46236.9134837963</v>
      </c>
    </row>
    <row r="1334" customFormat="false" ht="15" hidden="false" customHeight="false" outlineLevel="0" collapsed="false">
      <c r="A1334" s="45" t="n">
        <v>1537</v>
      </c>
      <c r="B1334" s="46" t="n">
        <v>46236</v>
      </c>
      <c r="C1334" s="45" t="s">
        <v>137</v>
      </c>
      <c r="D1334" s="45" t="s">
        <v>138</v>
      </c>
      <c r="E1334" s="45" t="s">
        <v>223</v>
      </c>
      <c r="F1334" s="45" t="s">
        <v>2790</v>
      </c>
      <c r="G1334" s="46" t="n">
        <v>46234</v>
      </c>
      <c r="H1334" s="45" t="s">
        <v>168</v>
      </c>
      <c r="I1334" s="45" t="s">
        <v>193</v>
      </c>
      <c r="J1334" s="45" t="s">
        <v>2791</v>
      </c>
      <c r="K1334" s="45" t="n">
        <v>5.1</v>
      </c>
      <c r="L1334" s="45" t="s">
        <v>263</v>
      </c>
      <c r="M1334" s="45" t="s">
        <v>259</v>
      </c>
      <c r="N1334" s="45" t="s">
        <v>2559</v>
      </c>
      <c r="O1334" s="47" t="n">
        <v>46236.9135069445</v>
      </c>
      <c r="P1334" s="47" t="n">
        <v>46236.9170717593</v>
      </c>
    </row>
    <row r="1335" customFormat="false" ht="15" hidden="false" customHeight="false" outlineLevel="0" collapsed="false">
      <c r="A1335" s="45" t="n">
        <v>1538</v>
      </c>
      <c r="B1335" s="46" t="n">
        <v>46236</v>
      </c>
      <c r="C1335" s="45" t="s">
        <v>137</v>
      </c>
      <c r="D1335" s="45" t="s">
        <v>138</v>
      </c>
      <c r="E1335" s="45" t="s">
        <v>1732</v>
      </c>
      <c r="F1335" s="45" t="s">
        <v>2792</v>
      </c>
      <c r="G1335" s="46" t="n">
        <v>46226</v>
      </c>
      <c r="H1335" s="45" t="s">
        <v>167</v>
      </c>
      <c r="I1335" s="45" t="s">
        <v>178</v>
      </c>
      <c r="J1335" s="45" t="s">
        <v>2793</v>
      </c>
      <c r="K1335" s="45" t="n">
        <v>1.6</v>
      </c>
      <c r="L1335" s="45" t="s">
        <v>263</v>
      </c>
      <c r="M1335" s="45" t="s">
        <v>259</v>
      </c>
      <c r="N1335" s="45" t="s">
        <v>167</v>
      </c>
      <c r="O1335" s="47" t="n">
        <v>46236.9170833333</v>
      </c>
      <c r="P1335" s="47" t="n">
        <v>46236.9181828704</v>
      </c>
    </row>
    <row r="1336" customFormat="false" ht="15" hidden="false" customHeight="false" outlineLevel="0" collapsed="false">
      <c r="A1336" s="45" t="n">
        <v>1541</v>
      </c>
      <c r="B1336" s="46" t="n">
        <v>46237</v>
      </c>
      <c r="C1336" s="45" t="s">
        <v>141</v>
      </c>
      <c r="D1336" s="45" t="s">
        <v>142</v>
      </c>
      <c r="E1336" s="45" t="s">
        <v>225</v>
      </c>
      <c r="F1336" s="45" t="s">
        <v>2794</v>
      </c>
      <c r="G1336" s="46" t="n">
        <v>46235</v>
      </c>
      <c r="H1336" s="45" t="s">
        <v>167</v>
      </c>
      <c r="I1336" s="45" t="s">
        <v>179</v>
      </c>
      <c r="J1336" s="45" t="s">
        <v>2795</v>
      </c>
      <c r="K1336" s="45" t="n">
        <v>1</v>
      </c>
      <c r="L1336" s="45" t="s">
        <v>263</v>
      </c>
      <c r="M1336" s="45" t="s">
        <v>259</v>
      </c>
      <c r="N1336" s="45" t="s">
        <v>167</v>
      </c>
      <c r="O1336" s="47" t="n">
        <v>46237.0570486111</v>
      </c>
      <c r="P1336" s="47" t="n">
        <v>46237.0577314815</v>
      </c>
    </row>
    <row r="1337" customFormat="false" ht="15" hidden="false" customHeight="false" outlineLevel="0" collapsed="false">
      <c r="A1337" s="45" t="n">
        <v>1542</v>
      </c>
      <c r="B1337" s="46" t="n">
        <v>46237</v>
      </c>
      <c r="C1337" s="45" t="s">
        <v>141</v>
      </c>
      <c r="D1337" s="45" t="s">
        <v>142</v>
      </c>
      <c r="E1337" s="45" t="s">
        <v>1704</v>
      </c>
      <c r="F1337" s="45" t="s">
        <v>2796</v>
      </c>
      <c r="G1337" s="46" t="n">
        <v>46234</v>
      </c>
      <c r="H1337" s="45" t="s">
        <v>167</v>
      </c>
      <c r="I1337" s="45" t="s">
        <v>178</v>
      </c>
      <c r="J1337" s="45" t="s">
        <v>2797</v>
      </c>
      <c r="K1337" s="45" t="n">
        <v>1.6</v>
      </c>
      <c r="L1337" s="45" t="s">
        <v>263</v>
      </c>
      <c r="M1337" s="45" t="s">
        <v>259</v>
      </c>
      <c r="N1337" s="45" t="s">
        <v>167</v>
      </c>
      <c r="O1337" s="47" t="n">
        <v>46237.2783101852</v>
      </c>
      <c r="P1337" s="47" t="n">
        <v>46237.2794560185</v>
      </c>
    </row>
    <row r="1338" customFormat="false" ht="15" hidden="false" customHeight="false" outlineLevel="0" collapsed="false">
      <c r="A1338" s="45" t="n">
        <v>1543</v>
      </c>
      <c r="B1338" s="46" t="n">
        <v>46237</v>
      </c>
      <c r="C1338" s="45" t="s">
        <v>149</v>
      </c>
      <c r="D1338" s="45" t="s">
        <v>150</v>
      </c>
      <c r="E1338" s="45" t="s">
        <v>2666</v>
      </c>
      <c r="F1338" s="45" t="s">
        <v>2798</v>
      </c>
      <c r="G1338" s="46" t="n">
        <v>46236</v>
      </c>
      <c r="H1338" s="45" t="s">
        <v>169</v>
      </c>
      <c r="I1338" s="45"/>
      <c r="J1338" s="45"/>
      <c r="K1338" s="45" t="n">
        <v>1.1</v>
      </c>
      <c r="L1338" s="45" t="s">
        <v>263</v>
      </c>
      <c r="M1338" s="45" t="s">
        <v>259</v>
      </c>
      <c r="N1338" s="45" t="s">
        <v>169</v>
      </c>
      <c r="O1338" s="47" t="n">
        <v>46237.6381018519</v>
      </c>
      <c r="P1338" s="47" t="n">
        <v>46237.6388657407</v>
      </c>
    </row>
    <row r="1339" customFormat="false" ht="15" hidden="false" customHeight="false" outlineLevel="0" collapsed="false">
      <c r="A1339" s="45" t="n">
        <v>1544</v>
      </c>
      <c r="B1339" s="46" t="n">
        <v>46237</v>
      </c>
      <c r="C1339" s="45" t="s">
        <v>149</v>
      </c>
      <c r="D1339" s="45" t="s">
        <v>150</v>
      </c>
      <c r="E1339" s="45" t="s">
        <v>233</v>
      </c>
      <c r="F1339" s="45" t="s">
        <v>2799</v>
      </c>
      <c r="G1339" s="46" t="n">
        <v>46237</v>
      </c>
      <c r="H1339" s="45" t="s">
        <v>167</v>
      </c>
      <c r="I1339" s="45" t="s">
        <v>180</v>
      </c>
      <c r="J1339" s="45" t="s">
        <v>2800</v>
      </c>
      <c r="K1339" s="45" t="n">
        <v>11.3</v>
      </c>
      <c r="L1339" s="45" t="s">
        <v>263</v>
      </c>
      <c r="M1339" s="45" t="s">
        <v>259</v>
      </c>
      <c r="N1339" s="45" t="s">
        <v>167</v>
      </c>
      <c r="O1339" s="47" t="n">
        <v>46237.6396064815</v>
      </c>
      <c r="P1339" s="47" t="n">
        <v>46237.6474537037</v>
      </c>
    </row>
    <row r="1340" customFormat="false" ht="15" hidden="false" customHeight="false" outlineLevel="0" collapsed="false">
      <c r="A1340" s="45" t="n">
        <v>1545</v>
      </c>
      <c r="B1340" s="46" t="n">
        <v>46237</v>
      </c>
      <c r="C1340" s="45" t="s">
        <v>139</v>
      </c>
      <c r="D1340" s="45" t="s">
        <v>140</v>
      </c>
      <c r="E1340" s="45" t="s">
        <v>2801</v>
      </c>
      <c r="F1340" s="45" t="s">
        <v>2802</v>
      </c>
      <c r="G1340" s="46" t="n">
        <v>46234</v>
      </c>
      <c r="H1340" s="45" t="s">
        <v>167</v>
      </c>
      <c r="I1340" s="45" t="s">
        <v>183</v>
      </c>
      <c r="J1340" s="45" t="s">
        <v>2803</v>
      </c>
      <c r="K1340" s="45" t="n">
        <v>1.3</v>
      </c>
      <c r="L1340" s="45" t="s">
        <v>263</v>
      </c>
      <c r="M1340" s="45" t="s">
        <v>259</v>
      </c>
      <c r="N1340" s="45" t="s">
        <v>167</v>
      </c>
      <c r="O1340" s="47" t="n">
        <v>46237.7103472222</v>
      </c>
      <c r="P1340" s="47" t="n">
        <v>46237.7112615741</v>
      </c>
    </row>
    <row r="1341" customFormat="false" ht="15" hidden="false" customHeight="false" outlineLevel="0" collapsed="false">
      <c r="A1341" s="45" t="n">
        <v>1546</v>
      </c>
      <c r="B1341" s="46" t="n">
        <v>46237</v>
      </c>
      <c r="C1341" s="45" t="s">
        <v>139</v>
      </c>
      <c r="D1341" s="45" t="s">
        <v>140</v>
      </c>
      <c r="E1341" s="45" t="s">
        <v>2609</v>
      </c>
      <c r="F1341" s="45" t="s">
        <v>2804</v>
      </c>
      <c r="G1341" s="46" t="n">
        <v>46232</v>
      </c>
      <c r="H1341" s="45" t="s">
        <v>57</v>
      </c>
      <c r="I1341" s="45" t="s">
        <v>201</v>
      </c>
      <c r="J1341" s="45" t="s">
        <v>2805</v>
      </c>
      <c r="K1341" s="45" t="n">
        <v>10.1</v>
      </c>
      <c r="L1341" s="45" t="s">
        <v>263</v>
      </c>
      <c r="M1341" s="45" t="s">
        <v>259</v>
      </c>
      <c r="N1341" s="45" t="s">
        <v>57</v>
      </c>
      <c r="O1341" s="47" t="n">
        <v>46237.7112847222</v>
      </c>
      <c r="P1341" s="47" t="n">
        <v>46237.7182638889</v>
      </c>
    </row>
    <row r="1342" customFormat="false" ht="15" hidden="false" customHeight="false" outlineLevel="0" collapsed="false">
      <c r="A1342" s="45" t="n">
        <v>1547</v>
      </c>
      <c r="B1342" s="46" t="n">
        <v>46237</v>
      </c>
      <c r="C1342" s="45" t="s">
        <v>139</v>
      </c>
      <c r="D1342" s="45" t="s">
        <v>140</v>
      </c>
      <c r="E1342" s="45" t="s">
        <v>2609</v>
      </c>
      <c r="F1342" s="45" t="s">
        <v>2806</v>
      </c>
      <c r="G1342" s="46" t="n">
        <v>46233</v>
      </c>
      <c r="H1342" s="45" t="s">
        <v>167</v>
      </c>
      <c r="I1342" s="45" t="s">
        <v>178</v>
      </c>
      <c r="J1342" s="45" t="s">
        <v>2807</v>
      </c>
      <c r="K1342" s="45" t="n">
        <v>8.8</v>
      </c>
      <c r="L1342" s="45" t="s">
        <v>263</v>
      </c>
      <c r="M1342" s="45" t="s">
        <v>259</v>
      </c>
      <c r="N1342" s="45" t="s">
        <v>167</v>
      </c>
      <c r="O1342" s="47" t="n">
        <v>46237.7182986111</v>
      </c>
      <c r="P1342" s="47" t="n">
        <v>46237.7244328704</v>
      </c>
    </row>
    <row r="1343" customFormat="false" ht="15" hidden="false" customHeight="false" outlineLevel="0" collapsed="false">
      <c r="A1343" s="45" t="n">
        <v>1548</v>
      </c>
      <c r="B1343" s="46" t="n">
        <v>46237</v>
      </c>
      <c r="C1343" s="45" t="s">
        <v>139</v>
      </c>
      <c r="D1343" s="45" t="s">
        <v>140</v>
      </c>
      <c r="E1343" s="45" t="s">
        <v>2801</v>
      </c>
      <c r="F1343" s="45" t="s">
        <v>2808</v>
      </c>
      <c r="G1343" s="46" t="n">
        <v>46234</v>
      </c>
      <c r="H1343" s="45" t="s">
        <v>167</v>
      </c>
      <c r="I1343" s="45" t="s">
        <v>179</v>
      </c>
      <c r="J1343" s="45" t="s">
        <v>2809</v>
      </c>
      <c r="K1343" s="45" t="n">
        <v>1.4</v>
      </c>
      <c r="L1343" s="45" t="s">
        <v>263</v>
      </c>
      <c r="M1343" s="45" t="s">
        <v>259</v>
      </c>
      <c r="N1343" s="45" t="s">
        <v>167</v>
      </c>
      <c r="O1343" s="47" t="n">
        <v>46237.741087963</v>
      </c>
      <c r="P1343" s="47" t="n">
        <v>46237.7420833333</v>
      </c>
    </row>
    <row r="1344" customFormat="false" ht="15" hidden="false" customHeight="false" outlineLevel="0" collapsed="false">
      <c r="A1344" s="45" t="n">
        <v>1549</v>
      </c>
      <c r="B1344" s="46" t="n">
        <v>46237</v>
      </c>
      <c r="C1344" s="45" t="s">
        <v>139</v>
      </c>
      <c r="D1344" s="45" t="s">
        <v>140</v>
      </c>
      <c r="E1344" s="45" t="s">
        <v>2657</v>
      </c>
      <c r="F1344" s="45" t="s">
        <v>2810</v>
      </c>
      <c r="G1344" s="46" t="n">
        <v>46234</v>
      </c>
      <c r="H1344" s="45" t="s">
        <v>167</v>
      </c>
      <c r="I1344" s="45" t="s">
        <v>178</v>
      </c>
      <c r="J1344" s="45" t="s">
        <v>2811</v>
      </c>
      <c r="K1344" s="45" t="n">
        <v>0.7</v>
      </c>
      <c r="L1344" s="45" t="s">
        <v>259</v>
      </c>
      <c r="M1344" s="45" t="s">
        <v>259</v>
      </c>
      <c r="N1344" s="45" t="s">
        <v>167</v>
      </c>
      <c r="O1344" s="47" t="n">
        <v>46237.7726851852</v>
      </c>
      <c r="P1344" s="47" t="n">
        <v>46237.7731597222</v>
      </c>
    </row>
    <row r="1345" customFormat="false" ht="15" hidden="false" customHeight="false" outlineLevel="0" collapsed="false">
      <c r="A1345" s="45" t="n">
        <v>1550</v>
      </c>
      <c r="B1345" s="46" t="n">
        <v>46237</v>
      </c>
      <c r="C1345" s="45" t="s">
        <v>149</v>
      </c>
      <c r="D1345" s="45" t="s">
        <v>150</v>
      </c>
      <c r="E1345" s="45" t="s">
        <v>2677</v>
      </c>
      <c r="F1345" s="45" t="s">
        <v>2812</v>
      </c>
      <c r="G1345" s="46" t="n">
        <v>46237</v>
      </c>
      <c r="H1345" s="45" t="s">
        <v>169</v>
      </c>
      <c r="I1345" s="45"/>
      <c r="J1345" s="45"/>
      <c r="K1345" s="45" t="n">
        <v>3</v>
      </c>
      <c r="L1345" s="45" t="s">
        <v>263</v>
      </c>
      <c r="M1345" s="45" t="s">
        <v>259</v>
      </c>
      <c r="N1345" s="45" t="s">
        <v>169</v>
      </c>
      <c r="O1345" s="47" t="n">
        <v>46237.8773958333</v>
      </c>
      <c r="P1345" s="47" t="n">
        <v>46237.8794791667</v>
      </c>
    </row>
    <row r="1346" customFormat="false" ht="15" hidden="false" customHeight="false" outlineLevel="0" collapsed="false">
      <c r="A1346" s="45" t="n">
        <v>1551</v>
      </c>
      <c r="B1346" s="46" t="n">
        <v>46237</v>
      </c>
      <c r="C1346" s="45" t="s">
        <v>149</v>
      </c>
      <c r="D1346" s="45" t="s">
        <v>150</v>
      </c>
      <c r="E1346" s="45" t="s">
        <v>2677</v>
      </c>
      <c r="F1346" s="45" t="s">
        <v>2813</v>
      </c>
      <c r="G1346" s="46" t="n">
        <v>46237</v>
      </c>
      <c r="H1346" s="45" t="s">
        <v>169</v>
      </c>
      <c r="I1346" s="45"/>
      <c r="J1346" s="45"/>
      <c r="K1346" s="45" t="n">
        <v>0.2</v>
      </c>
      <c r="L1346" s="45" t="s">
        <v>263</v>
      </c>
      <c r="M1346" s="45" t="s">
        <v>259</v>
      </c>
      <c r="N1346" s="45" t="s">
        <v>169</v>
      </c>
      <c r="O1346" s="47" t="n">
        <v>46237.8799768519</v>
      </c>
      <c r="P1346" s="47" t="n">
        <v>46237.880150463</v>
      </c>
    </row>
    <row r="1347" customFormat="false" ht="15" hidden="false" customHeight="false" outlineLevel="0" collapsed="false">
      <c r="A1347" s="45" t="n">
        <v>1552</v>
      </c>
      <c r="B1347" s="46" t="n">
        <v>46237</v>
      </c>
      <c r="C1347" s="45" t="s">
        <v>149</v>
      </c>
      <c r="D1347" s="45" t="s">
        <v>150</v>
      </c>
      <c r="E1347" s="45" t="s">
        <v>2705</v>
      </c>
      <c r="F1347" s="45" t="s">
        <v>2814</v>
      </c>
      <c r="G1347" s="46" t="n">
        <v>46237</v>
      </c>
      <c r="H1347" s="45" t="s">
        <v>167</v>
      </c>
      <c r="I1347" s="45" t="s">
        <v>177</v>
      </c>
      <c r="J1347" s="45" t="s">
        <v>2815</v>
      </c>
      <c r="K1347" s="45" t="n">
        <v>1.3</v>
      </c>
      <c r="L1347" s="45" t="s">
        <v>263</v>
      </c>
      <c r="M1347" s="45" t="s">
        <v>259</v>
      </c>
      <c r="N1347" s="45" t="s">
        <v>167</v>
      </c>
      <c r="O1347" s="47" t="n">
        <v>46237.880462963</v>
      </c>
      <c r="P1347" s="47" t="n">
        <v>46237.8813773148</v>
      </c>
    </row>
    <row r="1348" customFormat="false" ht="15" hidden="false" customHeight="false" outlineLevel="0" collapsed="false">
      <c r="A1348" s="45" t="n">
        <v>1553</v>
      </c>
      <c r="B1348" s="46" t="n">
        <v>46237</v>
      </c>
      <c r="C1348" s="45" t="s">
        <v>139</v>
      </c>
      <c r="D1348" s="45" t="s">
        <v>140</v>
      </c>
      <c r="E1348" s="45" t="s">
        <v>2816</v>
      </c>
      <c r="F1348" s="45" t="s">
        <v>2817</v>
      </c>
      <c r="G1348" s="46" t="n">
        <v>46227</v>
      </c>
      <c r="H1348" s="45" t="s">
        <v>167</v>
      </c>
      <c r="I1348" s="45" t="s">
        <v>178</v>
      </c>
      <c r="J1348" s="45" t="s">
        <v>2818</v>
      </c>
      <c r="K1348" s="45" t="n">
        <v>4.5</v>
      </c>
      <c r="L1348" s="45" t="s">
        <v>263</v>
      </c>
      <c r="M1348" s="45" t="s">
        <v>259</v>
      </c>
      <c r="N1348" s="45" t="s">
        <v>167</v>
      </c>
      <c r="O1348" s="47" t="n">
        <v>46237.9388310185</v>
      </c>
      <c r="P1348" s="47" t="n">
        <v>46237.9419328704</v>
      </c>
    </row>
    <row r="1349" customFormat="false" ht="15" hidden="false" customHeight="false" outlineLevel="0" collapsed="false">
      <c r="A1349" s="45" t="n">
        <v>1554</v>
      </c>
      <c r="B1349" s="46" t="n">
        <v>46238</v>
      </c>
      <c r="C1349" s="45" t="s">
        <v>141</v>
      </c>
      <c r="D1349" s="45" t="s">
        <v>142</v>
      </c>
      <c r="E1349" s="45" t="s">
        <v>225</v>
      </c>
      <c r="F1349" s="45" t="s">
        <v>2819</v>
      </c>
      <c r="G1349" s="46" t="n">
        <v>46235</v>
      </c>
      <c r="H1349" s="45" t="s">
        <v>169</v>
      </c>
      <c r="I1349" s="45"/>
      <c r="J1349" s="45"/>
      <c r="K1349" s="45" t="n">
        <v>0.3</v>
      </c>
      <c r="L1349" s="45" t="s">
        <v>263</v>
      </c>
      <c r="M1349" s="45" t="s">
        <v>259</v>
      </c>
      <c r="N1349" s="45" t="s">
        <v>169</v>
      </c>
      <c r="O1349" s="47" t="n">
        <v>46238.0987384259</v>
      </c>
      <c r="P1349" s="47" t="n">
        <v>46238.0989814815</v>
      </c>
    </row>
    <row r="1350" customFormat="false" ht="15" hidden="false" customHeight="false" outlineLevel="0" collapsed="false">
      <c r="A1350" s="45" t="n">
        <v>1555</v>
      </c>
      <c r="B1350" s="46" t="n">
        <v>46238</v>
      </c>
      <c r="C1350" s="45" t="s">
        <v>141</v>
      </c>
      <c r="D1350" s="45" t="s">
        <v>142</v>
      </c>
      <c r="E1350" s="45" t="s">
        <v>917</v>
      </c>
      <c r="F1350" s="45" t="s">
        <v>2820</v>
      </c>
      <c r="G1350" s="46" t="n">
        <v>46234</v>
      </c>
      <c r="H1350" s="45" t="s">
        <v>168</v>
      </c>
      <c r="I1350" s="45" t="s">
        <v>192</v>
      </c>
      <c r="J1350" s="45" t="s">
        <v>2821</v>
      </c>
      <c r="K1350" s="45" t="n">
        <v>1.6</v>
      </c>
      <c r="L1350" s="45" t="s">
        <v>263</v>
      </c>
      <c r="M1350" s="45" t="s">
        <v>259</v>
      </c>
      <c r="N1350" s="45" t="s">
        <v>2559</v>
      </c>
      <c r="O1350" s="47" t="n">
        <v>46238.1081597222</v>
      </c>
      <c r="P1350" s="47" t="n">
        <v>46238.1092708333</v>
      </c>
    </row>
    <row r="1351" customFormat="false" ht="15" hidden="false" customHeight="false" outlineLevel="0" collapsed="false">
      <c r="A1351" s="45" t="n">
        <v>1566</v>
      </c>
      <c r="B1351" s="46" t="n">
        <v>46238</v>
      </c>
      <c r="C1351" s="45" t="s">
        <v>141</v>
      </c>
      <c r="D1351" s="45" t="s">
        <v>142</v>
      </c>
      <c r="E1351" s="45" t="s">
        <v>1623</v>
      </c>
      <c r="F1351" s="45" t="s">
        <v>2822</v>
      </c>
      <c r="G1351" s="46" t="n">
        <v>46232</v>
      </c>
      <c r="H1351" s="45" t="s">
        <v>167</v>
      </c>
      <c r="I1351" s="45" t="s">
        <v>178</v>
      </c>
      <c r="J1351" s="45" t="s">
        <v>2823</v>
      </c>
      <c r="K1351" s="45" t="n">
        <v>1495.6</v>
      </c>
      <c r="L1351" s="45" t="s">
        <v>263</v>
      </c>
      <c r="M1351" s="45" t="s">
        <v>259</v>
      </c>
      <c r="N1351" s="45" t="s">
        <v>167</v>
      </c>
      <c r="O1351" s="47" t="n">
        <v>46238.140775463</v>
      </c>
      <c r="P1351" s="47" t="n">
        <v>46239.1794097222</v>
      </c>
    </row>
    <row r="1352" customFormat="false" ht="15" hidden="false" customHeight="false" outlineLevel="0" collapsed="false">
      <c r="A1352" s="45" t="n">
        <v>1556</v>
      </c>
      <c r="B1352" s="46" t="n">
        <v>46238</v>
      </c>
      <c r="C1352" s="45" t="s">
        <v>133</v>
      </c>
      <c r="D1352" s="45" t="s">
        <v>134</v>
      </c>
      <c r="E1352" s="45" t="s">
        <v>241</v>
      </c>
      <c r="F1352" s="45" t="s">
        <v>2824</v>
      </c>
      <c r="G1352" s="46" t="n">
        <v>46234</v>
      </c>
      <c r="H1352" s="45" t="s">
        <v>167</v>
      </c>
      <c r="I1352" s="45" t="s">
        <v>176</v>
      </c>
      <c r="J1352" s="45" t="s">
        <v>2825</v>
      </c>
      <c r="K1352" s="45" t="n">
        <v>11</v>
      </c>
      <c r="L1352" s="45" t="s">
        <v>259</v>
      </c>
      <c r="M1352" s="45" t="s">
        <v>259</v>
      </c>
      <c r="N1352" s="45" t="s">
        <v>167</v>
      </c>
      <c r="O1352" s="47" t="n">
        <v>46238.2480787037</v>
      </c>
      <c r="P1352" s="47" t="n">
        <v>46238.2556944444</v>
      </c>
    </row>
    <row r="1353" customFormat="false" ht="15" hidden="false" customHeight="false" outlineLevel="0" collapsed="false">
      <c r="A1353" s="45" t="n">
        <v>1557</v>
      </c>
      <c r="B1353" s="46" t="n">
        <v>46238</v>
      </c>
      <c r="C1353" s="45" t="s">
        <v>139</v>
      </c>
      <c r="D1353" s="45" t="s">
        <v>140</v>
      </c>
      <c r="E1353" s="45" t="s">
        <v>2826</v>
      </c>
      <c r="F1353" s="45" t="s">
        <v>2827</v>
      </c>
      <c r="G1353" s="46" t="n">
        <v>46237</v>
      </c>
      <c r="H1353" s="45" t="s">
        <v>57</v>
      </c>
      <c r="I1353" s="45" t="s">
        <v>202</v>
      </c>
      <c r="J1353" s="45" t="s">
        <v>2828</v>
      </c>
      <c r="K1353" s="45" t="n">
        <v>1.1</v>
      </c>
      <c r="L1353" s="45" t="s">
        <v>263</v>
      </c>
      <c r="M1353" s="45" t="s">
        <v>259</v>
      </c>
      <c r="N1353" s="45" t="s">
        <v>57</v>
      </c>
      <c r="O1353" s="47" t="n">
        <v>46238.7014699074</v>
      </c>
      <c r="P1353" s="47" t="n">
        <v>46238.7022222222</v>
      </c>
    </row>
    <row r="1354" customFormat="false" ht="15" hidden="false" customHeight="false" outlineLevel="0" collapsed="false">
      <c r="A1354" s="45" t="n">
        <v>1558</v>
      </c>
      <c r="B1354" s="46" t="n">
        <v>46238</v>
      </c>
      <c r="C1354" s="45" t="s">
        <v>139</v>
      </c>
      <c r="D1354" s="45" t="s">
        <v>140</v>
      </c>
      <c r="E1354" s="45" t="s">
        <v>2606</v>
      </c>
      <c r="F1354" s="45" t="s">
        <v>2829</v>
      </c>
      <c r="G1354" s="46" t="n">
        <v>46233</v>
      </c>
      <c r="H1354" s="45" t="s">
        <v>167</v>
      </c>
      <c r="I1354" s="45" t="s">
        <v>181</v>
      </c>
      <c r="J1354" s="45" t="s">
        <v>2830</v>
      </c>
      <c r="K1354" s="45" t="n">
        <v>1.9</v>
      </c>
      <c r="L1354" s="45" t="s">
        <v>263</v>
      </c>
      <c r="M1354" s="45" t="s">
        <v>259</v>
      </c>
      <c r="N1354" s="45" t="s">
        <v>167</v>
      </c>
      <c r="O1354" s="47" t="n">
        <v>46238.7229861111</v>
      </c>
      <c r="P1354" s="47" t="n">
        <v>46238.7242708333</v>
      </c>
    </row>
    <row r="1355" customFormat="false" ht="15" hidden="false" customHeight="false" outlineLevel="0" collapsed="false">
      <c r="A1355" s="45" t="n">
        <v>1559</v>
      </c>
      <c r="B1355" s="46" t="n">
        <v>46238</v>
      </c>
      <c r="C1355" s="45" t="s">
        <v>139</v>
      </c>
      <c r="D1355" s="45" t="s">
        <v>140</v>
      </c>
      <c r="E1355" s="45" t="s">
        <v>2657</v>
      </c>
      <c r="F1355" s="45" t="s">
        <v>2810</v>
      </c>
      <c r="G1355" s="46" t="n">
        <v>46234</v>
      </c>
      <c r="H1355" s="45" t="s">
        <v>167</v>
      </c>
      <c r="I1355" s="45" t="s">
        <v>181</v>
      </c>
      <c r="J1355" s="45" t="s">
        <v>2831</v>
      </c>
      <c r="K1355" s="45" t="n">
        <v>0.6</v>
      </c>
      <c r="L1355" s="45" t="s">
        <v>259</v>
      </c>
      <c r="M1355" s="45" t="s">
        <v>259</v>
      </c>
      <c r="N1355" s="45" t="s">
        <v>167</v>
      </c>
      <c r="O1355" s="47" t="n">
        <v>46238.7815277778</v>
      </c>
      <c r="P1355" s="47" t="n">
        <v>46238.7819444445</v>
      </c>
    </row>
    <row r="1356" customFormat="false" ht="15" hidden="false" customHeight="false" outlineLevel="0" collapsed="false">
      <c r="A1356" s="45" t="n">
        <v>1560</v>
      </c>
      <c r="B1356" s="46" t="n">
        <v>46238</v>
      </c>
      <c r="C1356" s="45" t="s">
        <v>131</v>
      </c>
      <c r="D1356" s="45" t="s">
        <v>132</v>
      </c>
      <c r="E1356" s="45" t="s">
        <v>2508</v>
      </c>
      <c r="F1356" s="45" t="s">
        <v>2715</v>
      </c>
      <c r="G1356" s="46" t="n">
        <v>46265</v>
      </c>
      <c r="H1356" s="45" t="s">
        <v>167</v>
      </c>
      <c r="I1356" s="45" t="s">
        <v>183</v>
      </c>
      <c r="J1356" s="45" t="s">
        <v>2832</v>
      </c>
      <c r="K1356" s="45" t="n">
        <v>12.9</v>
      </c>
      <c r="L1356" s="45" t="s">
        <v>259</v>
      </c>
      <c r="M1356" s="45" t="s">
        <v>259</v>
      </c>
      <c r="N1356" s="45" t="s">
        <v>167</v>
      </c>
      <c r="O1356" s="47" t="n">
        <v>46238.8061226852</v>
      </c>
      <c r="P1356" s="47" t="n">
        <v>46238.8150578704</v>
      </c>
    </row>
    <row r="1357" customFormat="false" ht="15" hidden="false" customHeight="false" outlineLevel="0" collapsed="false">
      <c r="A1357" s="45" t="n">
        <v>1561</v>
      </c>
      <c r="B1357" s="46" t="n">
        <v>46238</v>
      </c>
      <c r="C1357" s="45" t="s">
        <v>131</v>
      </c>
      <c r="D1357" s="45" t="s">
        <v>132</v>
      </c>
      <c r="E1357" s="45" t="s">
        <v>2254</v>
      </c>
      <c r="F1357" s="45" t="s">
        <v>2833</v>
      </c>
      <c r="G1357" s="46" t="n">
        <v>46236</v>
      </c>
      <c r="H1357" s="45" t="s">
        <v>168</v>
      </c>
      <c r="I1357" s="45" t="s">
        <v>191</v>
      </c>
      <c r="J1357" s="45" t="s">
        <v>2834</v>
      </c>
      <c r="K1357" s="45" t="n">
        <v>52</v>
      </c>
      <c r="L1357" s="45" t="s">
        <v>263</v>
      </c>
      <c r="M1357" s="45" t="s">
        <v>259</v>
      </c>
      <c r="N1357" s="45" t="s">
        <v>2559</v>
      </c>
      <c r="O1357" s="47" t="n">
        <v>46238.8223611111</v>
      </c>
      <c r="P1357" s="47" t="n">
        <v>46238.8584375</v>
      </c>
    </row>
    <row r="1358" customFormat="false" ht="15" hidden="false" customHeight="false" outlineLevel="0" collapsed="false">
      <c r="A1358" s="45" t="n">
        <v>1562</v>
      </c>
      <c r="B1358" s="46" t="n">
        <v>46238</v>
      </c>
      <c r="C1358" s="45" t="s">
        <v>131</v>
      </c>
      <c r="D1358" s="45" t="s">
        <v>132</v>
      </c>
      <c r="E1358" s="45" t="s">
        <v>2226</v>
      </c>
      <c r="F1358" s="45" t="s">
        <v>2835</v>
      </c>
      <c r="G1358" s="46" t="n">
        <v>46236</v>
      </c>
      <c r="H1358" s="45" t="s">
        <v>167</v>
      </c>
      <c r="I1358" s="45" t="s">
        <v>176</v>
      </c>
      <c r="J1358" s="45" t="s">
        <v>2836</v>
      </c>
      <c r="K1358" s="45" t="n">
        <v>5.1</v>
      </c>
      <c r="L1358" s="45" t="s">
        <v>263</v>
      </c>
      <c r="M1358" s="45" t="s">
        <v>259</v>
      </c>
      <c r="N1358" s="45" t="s">
        <v>167</v>
      </c>
      <c r="O1358" s="47" t="n">
        <v>46238.8604398148</v>
      </c>
      <c r="P1358" s="47" t="n">
        <v>46238.8639930556</v>
      </c>
    </row>
    <row r="1359" customFormat="false" ht="15" hidden="false" customHeight="false" outlineLevel="0" collapsed="false">
      <c r="A1359" s="45" t="n">
        <v>1563</v>
      </c>
      <c r="B1359" s="46" t="n">
        <v>46238</v>
      </c>
      <c r="C1359" s="45" t="s">
        <v>131</v>
      </c>
      <c r="D1359" s="45" t="s">
        <v>132</v>
      </c>
      <c r="E1359" s="45" t="s">
        <v>222</v>
      </c>
      <c r="F1359" s="45" t="s">
        <v>2837</v>
      </c>
      <c r="G1359" s="46" t="n">
        <v>46236</v>
      </c>
      <c r="H1359" s="45" t="s">
        <v>167</v>
      </c>
      <c r="I1359" s="45" t="s">
        <v>177</v>
      </c>
      <c r="J1359" s="45" t="s">
        <v>2838</v>
      </c>
      <c r="K1359" s="45" t="n">
        <v>1.7</v>
      </c>
      <c r="L1359" s="45" t="s">
        <v>263</v>
      </c>
      <c r="M1359" s="45" t="s">
        <v>259</v>
      </c>
      <c r="N1359" s="45" t="s">
        <v>167</v>
      </c>
      <c r="O1359" s="47" t="n">
        <v>46238.8672569445</v>
      </c>
      <c r="P1359" s="47" t="n">
        <v>46238.8684259259</v>
      </c>
    </row>
    <row r="1360" customFormat="false" ht="15" hidden="false" customHeight="false" outlineLevel="0" collapsed="false">
      <c r="A1360" s="45" t="n">
        <v>1564</v>
      </c>
      <c r="B1360" s="46" t="n">
        <v>46238</v>
      </c>
      <c r="C1360" s="45" t="s">
        <v>131</v>
      </c>
      <c r="D1360" s="45" t="s">
        <v>132</v>
      </c>
      <c r="E1360" s="45" t="s">
        <v>2254</v>
      </c>
      <c r="F1360" s="45" t="s">
        <v>2839</v>
      </c>
      <c r="G1360" s="46" t="n">
        <v>46237</v>
      </c>
      <c r="H1360" s="45" t="s">
        <v>57</v>
      </c>
      <c r="I1360" s="45" t="s">
        <v>201</v>
      </c>
      <c r="J1360" s="45" t="s">
        <v>2840</v>
      </c>
      <c r="K1360" s="45" t="n">
        <v>1.1</v>
      </c>
      <c r="L1360" s="45" t="s">
        <v>263</v>
      </c>
      <c r="M1360" s="45" t="s">
        <v>259</v>
      </c>
      <c r="N1360" s="45" t="s">
        <v>57</v>
      </c>
      <c r="O1360" s="47" t="n">
        <v>46238.8768518519</v>
      </c>
      <c r="P1360" s="47" t="n">
        <v>46238.8776041667</v>
      </c>
    </row>
    <row r="1361" customFormat="false" ht="15" hidden="false" customHeight="false" outlineLevel="0" collapsed="false">
      <c r="A1361" s="45" t="n">
        <v>1565</v>
      </c>
      <c r="B1361" s="46" t="n">
        <v>46239</v>
      </c>
      <c r="C1361" s="45" t="s">
        <v>139</v>
      </c>
      <c r="D1361" s="45" t="s">
        <v>140</v>
      </c>
      <c r="E1361" s="45" t="s">
        <v>2801</v>
      </c>
      <c r="F1361" s="45" t="s">
        <v>2841</v>
      </c>
      <c r="G1361" s="46" t="n">
        <v>46237</v>
      </c>
      <c r="H1361" s="45" t="s">
        <v>167</v>
      </c>
      <c r="I1361" s="45" t="s">
        <v>179</v>
      </c>
      <c r="J1361" s="45" t="s">
        <v>2842</v>
      </c>
      <c r="K1361" s="45" t="n">
        <v>0.6</v>
      </c>
      <c r="L1361" s="45" t="s">
        <v>263</v>
      </c>
      <c r="M1361" s="45" t="s">
        <v>259</v>
      </c>
      <c r="N1361" s="45" t="s">
        <v>167</v>
      </c>
      <c r="O1361" s="47" t="n">
        <v>46239.0264583333</v>
      </c>
      <c r="P1361" s="47" t="n">
        <v>46239.0268402778</v>
      </c>
    </row>
    <row r="1362" customFormat="false" ht="15" hidden="false" customHeight="false" outlineLevel="0" collapsed="false">
      <c r="A1362" s="45" t="n">
        <v>1567</v>
      </c>
      <c r="B1362" s="46" t="n">
        <v>46239</v>
      </c>
      <c r="C1362" s="45" t="s">
        <v>141</v>
      </c>
      <c r="D1362" s="45" t="s">
        <v>142</v>
      </c>
      <c r="E1362" s="45" t="s">
        <v>224</v>
      </c>
      <c r="F1362" s="45" t="s">
        <v>2843</v>
      </c>
      <c r="G1362" s="46" t="n">
        <v>46234</v>
      </c>
      <c r="H1362" s="45" t="s">
        <v>167</v>
      </c>
      <c r="I1362" s="45" t="s">
        <v>179</v>
      </c>
      <c r="J1362" s="45" t="s">
        <v>2844</v>
      </c>
      <c r="K1362" s="45" t="n">
        <v>0.8</v>
      </c>
      <c r="L1362" s="45" t="s">
        <v>263</v>
      </c>
      <c r="M1362" s="45" t="s">
        <v>259</v>
      </c>
      <c r="N1362" s="45" t="s">
        <v>167</v>
      </c>
      <c r="O1362" s="47" t="n">
        <v>46239.2106018519</v>
      </c>
      <c r="P1362" s="47" t="n">
        <v>46239.2111689815</v>
      </c>
    </row>
    <row r="1363" customFormat="false" ht="15" hidden="false" customHeight="false" outlineLevel="0" collapsed="false">
      <c r="A1363" s="45" t="n">
        <v>1568</v>
      </c>
      <c r="B1363" s="46" t="n">
        <v>46239</v>
      </c>
      <c r="C1363" s="45" t="s">
        <v>141</v>
      </c>
      <c r="D1363" s="45" t="s">
        <v>142</v>
      </c>
      <c r="E1363" s="45" t="s">
        <v>2356</v>
      </c>
      <c r="F1363" s="45" t="s">
        <v>2845</v>
      </c>
      <c r="G1363" s="46" t="n">
        <v>46232</v>
      </c>
      <c r="H1363" s="45" t="s">
        <v>167</v>
      </c>
      <c r="I1363" s="45" t="s">
        <v>179</v>
      </c>
      <c r="J1363" s="45" t="s">
        <v>2846</v>
      </c>
      <c r="K1363" s="45" t="n">
        <v>94</v>
      </c>
      <c r="L1363" s="45" t="s">
        <v>263</v>
      </c>
      <c r="M1363" s="45" t="s">
        <v>259</v>
      </c>
      <c r="N1363" s="45" t="s">
        <v>167</v>
      </c>
      <c r="O1363" s="47" t="n">
        <v>46239.2264351852</v>
      </c>
      <c r="P1363" s="47" t="n">
        <v>46239.291712963</v>
      </c>
    </row>
    <row r="1364" customFormat="false" ht="15" hidden="false" customHeight="false" outlineLevel="0" collapsed="false">
      <c r="A1364" s="45" t="n">
        <v>1569</v>
      </c>
      <c r="B1364" s="46" t="n">
        <v>46239</v>
      </c>
      <c r="C1364" s="45" t="s">
        <v>131</v>
      </c>
      <c r="D1364" s="45" t="s">
        <v>132</v>
      </c>
      <c r="E1364" s="45" t="s">
        <v>222</v>
      </c>
      <c r="F1364" s="45" t="s">
        <v>2847</v>
      </c>
      <c r="G1364" s="46" t="n">
        <v>46238</v>
      </c>
      <c r="H1364" s="45" t="s">
        <v>167</v>
      </c>
      <c r="I1364" s="45" t="s">
        <v>187</v>
      </c>
      <c r="J1364" s="45" t="s">
        <v>2848</v>
      </c>
      <c r="K1364" s="45" t="n">
        <v>76</v>
      </c>
      <c r="L1364" s="45" t="s">
        <v>263</v>
      </c>
      <c r="M1364" s="45" t="s">
        <v>259</v>
      </c>
      <c r="N1364" s="45" t="s">
        <v>167</v>
      </c>
      <c r="O1364" s="47" t="n">
        <v>46239.6840972222</v>
      </c>
      <c r="P1364" s="47" t="n">
        <v>46239.7368865741</v>
      </c>
    </row>
    <row r="1365" customFormat="false" ht="15" hidden="false" customHeight="false" outlineLevel="0" collapsed="false">
      <c r="A1365" s="45" t="n">
        <v>1570</v>
      </c>
      <c r="B1365" s="46" t="n">
        <v>46239</v>
      </c>
      <c r="C1365" s="45" t="s">
        <v>131</v>
      </c>
      <c r="D1365" s="45" t="s">
        <v>132</v>
      </c>
      <c r="E1365" s="45" t="s">
        <v>2143</v>
      </c>
      <c r="F1365" s="45" t="s">
        <v>2849</v>
      </c>
      <c r="G1365" s="46" t="n">
        <v>46238</v>
      </c>
      <c r="H1365" s="45" t="s">
        <v>167</v>
      </c>
      <c r="I1365" s="45" t="s">
        <v>178</v>
      </c>
      <c r="J1365" s="45" t="s">
        <v>2850</v>
      </c>
      <c r="K1365" s="45" t="n">
        <v>20.3</v>
      </c>
      <c r="L1365" s="45" t="s">
        <v>263</v>
      </c>
      <c r="M1365" s="45" t="s">
        <v>259</v>
      </c>
      <c r="N1365" s="45" t="s">
        <v>167</v>
      </c>
      <c r="O1365" s="47" t="n">
        <v>46239.7480671296</v>
      </c>
      <c r="P1365" s="47" t="n">
        <v>46239.7621759259</v>
      </c>
    </row>
    <row r="1366" customFormat="false" ht="15" hidden="false" customHeight="false" outlineLevel="0" collapsed="false">
      <c r="A1366" s="45" t="n">
        <v>1571</v>
      </c>
      <c r="B1366" s="46" t="n">
        <v>46239</v>
      </c>
      <c r="C1366" s="45" t="s">
        <v>131</v>
      </c>
      <c r="D1366" s="45" t="s">
        <v>132</v>
      </c>
      <c r="E1366" s="45" t="s">
        <v>240</v>
      </c>
      <c r="F1366" s="45" t="s">
        <v>2851</v>
      </c>
      <c r="G1366" s="46" t="n">
        <v>46238</v>
      </c>
      <c r="H1366" s="45" t="s">
        <v>167</v>
      </c>
      <c r="I1366" s="45" t="s">
        <v>177</v>
      </c>
      <c r="J1366" s="45" t="s">
        <v>2852</v>
      </c>
      <c r="K1366" s="45" t="n">
        <v>0.7</v>
      </c>
      <c r="L1366" s="45" t="s">
        <v>263</v>
      </c>
      <c r="M1366" s="45" t="s">
        <v>259</v>
      </c>
      <c r="N1366" s="45" t="s">
        <v>167</v>
      </c>
      <c r="O1366" s="47" t="n">
        <v>46239.8069560185</v>
      </c>
      <c r="P1366" s="47" t="n">
        <v>46239.8074421296</v>
      </c>
    </row>
    <row r="1367" customFormat="false" ht="15" hidden="false" customHeight="false" outlineLevel="0" collapsed="false">
      <c r="A1367" s="45" t="n">
        <v>1572</v>
      </c>
      <c r="B1367" s="46" t="n">
        <v>46239</v>
      </c>
      <c r="C1367" s="45" t="s">
        <v>135</v>
      </c>
      <c r="D1367" s="45" t="s">
        <v>136</v>
      </c>
      <c r="E1367" s="45" t="s">
        <v>2853</v>
      </c>
      <c r="F1367" s="45" t="s">
        <v>2854</v>
      </c>
      <c r="G1367" s="46" t="n">
        <v>46238</v>
      </c>
      <c r="H1367" s="45" t="s">
        <v>168</v>
      </c>
      <c r="I1367" s="45" t="s">
        <v>191</v>
      </c>
      <c r="J1367" s="45" t="s">
        <v>2855</v>
      </c>
      <c r="K1367" s="45" t="n">
        <v>1.1</v>
      </c>
      <c r="L1367" s="45" t="s">
        <v>263</v>
      </c>
      <c r="M1367" s="45" t="s">
        <v>259</v>
      </c>
      <c r="N1367" s="45" t="s">
        <v>2559</v>
      </c>
      <c r="O1367" s="47" t="n">
        <v>46239.8567361111</v>
      </c>
      <c r="P1367" s="47" t="n">
        <v>46239.8574652778</v>
      </c>
    </row>
    <row r="1368" customFormat="false" ht="15" hidden="false" customHeight="false" outlineLevel="0" collapsed="false">
      <c r="A1368" s="45" t="n">
        <v>1573</v>
      </c>
      <c r="B1368" s="46" t="n">
        <v>46239</v>
      </c>
      <c r="C1368" s="45" t="s">
        <v>135</v>
      </c>
      <c r="D1368" s="45" t="s">
        <v>136</v>
      </c>
      <c r="E1368" s="45" t="s">
        <v>226</v>
      </c>
      <c r="F1368" s="45" t="s">
        <v>2856</v>
      </c>
      <c r="G1368" s="46" t="n">
        <v>46237</v>
      </c>
      <c r="H1368" s="45" t="s">
        <v>168</v>
      </c>
      <c r="I1368" s="45" t="s">
        <v>193</v>
      </c>
      <c r="J1368" s="45" t="s">
        <v>2857</v>
      </c>
      <c r="K1368" s="45" t="n">
        <v>7.6</v>
      </c>
      <c r="L1368" s="45" t="s">
        <v>263</v>
      </c>
      <c r="M1368" s="45" t="s">
        <v>259</v>
      </c>
      <c r="N1368" s="45" t="s">
        <v>2559</v>
      </c>
      <c r="O1368" s="47" t="n">
        <v>46239.8575231481</v>
      </c>
      <c r="P1368" s="47" t="n">
        <v>46239.8627893519</v>
      </c>
    </row>
    <row r="1369" customFormat="false" ht="15" hidden="false" customHeight="false" outlineLevel="0" collapsed="false">
      <c r="A1369" s="45" t="n">
        <v>1574</v>
      </c>
      <c r="B1369" s="46" t="n">
        <v>46239</v>
      </c>
      <c r="C1369" s="45" t="s">
        <v>135</v>
      </c>
      <c r="D1369" s="45" t="s">
        <v>136</v>
      </c>
      <c r="E1369" s="45" t="s">
        <v>236</v>
      </c>
      <c r="F1369" s="45" t="s">
        <v>2858</v>
      </c>
      <c r="G1369" s="46" t="n">
        <v>46237</v>
      </c>
      <c r="H1369" s="45" t="s">
        <v>167</v>
      </c>
      <c r="I1369" s="45" t="s">
        <v>178</v>
      </c>
      <c r="J1369" s="45" t="s">
        <v>2859</v>
      </c>
      <c r="K1369" s="45" t="n">
        <v>0.8</v>
      </c>
      <c r="L1369" s="45" t="s">
        <v>263</v>
      </c>
      <c r="M1369" s="45" t="s">
        <v>259</v>
      </c>
      <c r="N1369" s="45" t="s">
        <v>167</v>
      </c>
      <c r="O1369" s="47" t="n">
        <v>46239.8646296296</v>
      </c>
      <c r="P1369" s="47" t="n">
        <v>46239.8651967593</v>
      </c>
    </row>
    <row r="1370" customFormat="false" ht="15" hidden="false" customHeight="false" outlineLevel="0" collapsed="false">
      <c r="A1370" s="45" t="n">
        <v>1575</v>
      </c>
      <c r="B1370" s="46" t="n">
        <v>46239</v>
      </c>
      <c r="C1370" s="45" t="s">
        <v>135</v>
      </c>
      <c r="D1370" s="45" t="s">
        <v>136</v>
      </c>
      <c r="E1370" s="45" t="s">
        <v>238</v>
      </c>
      <c r="F1370" s="45" t="s">
        <v>2860</v>
      </c>
      <c r="G1370" s="46" t="n">
        <v>46237</v>
      </c>
      <c r="H1370" s="45" t="s">
        <v>167</v>
      </c>
      <c r="I1370" s="45" t="s">
        <v>178</v>
      </c>
      <c r="J1370" s="45" t="s">
        <v>2861</v>
      </c>
      <c r="K1370" s="45" t="n">
        <v>19.4</v>
      </c>
      <c r="L1370" s="45" t="s">
        <v>263</v>
      </c>
      <c r="M1370" s="45" t="s">
        <v>259</v>
      </c>
      <c r="N1370" s="45" t="s">
        <v>167</v>
      </c>
      <c r="O1370" s="47" t="n">
        <v>46239.8725578704</v>
      </c>
      <c r="P1370" s="47" t="n">
        <v>46239.8860185185</v>
      </c>
    </row>
    <row r="1371" customFormat="false" ht="15" hidden="false" customHeight="false" outlineLevel="0" collapsed="false">
      <c r="A1371" s="45" t="n">
        <v>1576</v>
      </c>
      <c r="B1371" s="46" t="n">
        <v>46239</v>
      </c>
      <c r="C1371" s="45" t="s">
        <v>135</v>
      </c>
      <c r="D1371" s="45" t="s">
        <v>136</v>
      </c>
      <c r="E1371" s="45" t="s">
        <v>238</v>
      </c>
      <c r="F1371" s="45" t="s">
        <v>2862</v>
      </c>
      <c r="G1371" s="46" t="n">
        <v>46237</v>
      </c>
      <c r="H1371" s="45" t="s">
        <v>167</v>
      </c>
      <c r="I1371" s="45" t="s">
        <v>178</v>
      </c>
      <c r="J1371" s="45" t="s">
        <v>2863</v>
      </c>
      <c r="K1371" s="45" t="n">
        <v>0.5</v>
      </c>
      <c r="L1371" s="45" t="s">
        <v>263</v>
      </c>
      <c r="M1371" s="45" t="s">
        <v>259</v>
      </c>
      <c r="N1371" s="45" t="s">
        <v>167</v>
      </c>
      <c r="O1371" s="47" t="n">
        <v>46239.8871180556</v>
      </c>
      <c r="P1371" s="47" t="n">
        <v>46239.8874537037</v>
      </c>
    </row>
    <row r="1372" customFormat="false" ht="15" hidden="false" customHeight="false" outlineLevel="0" collapsed="false">
      <c r="A1372" s="45" t="n">
        <v>1577</v>
      </c>
      <c r="B1372" s="46" t="n">
        <v>46239</v>
      </c>
      <c r="C1372" s="45" t="s">
        <v>135</v>
      </c>
      <c r="D1372" s="45" t="s">
        <v>136</v>
      </c>
      <c r="E1372" s="45" t="s">
        <v>239</v>
      </c>
      <c r="F1372" s="45" t="s">
        <v>2864</v>
      </c>
      <c r="G1372" s="46" t="n">
        <v>46236</v>
      </c>
      <c r="H1372" s="45" t="s">
        <v>168</v>
      </c>
      <c r="I1372" s="45" t="s">
        <v>192</v>
      </c>
      <c r="J1372" s="45" t="s">
        <v>2865</v>
      </c>
      <c r="K1372" s="45" t="n">
        <v>8.9</v>
      </c>
      <c r="L1372" s="45" t="s">
        <v>263</v>
      </c>
      <c r="M1372" s="45" t="s">
        <v>259</v>
      </c>
      <c r="N1372" s="45" t="s">
        <v>2559</v>
      </c>
      <c r="O1372" s="47" t="n">
        <v>46239.8877199074</v>
      </c>
      <c r="P1372" s="47" t="n">
        <v>46239.8938888889</v>
      </c>
    </row>
    <row r="1373" customFormat="false" ht="15" hidden="false" customHeight="false" outlineLevel="0" collapsed="false">
      <c r="A1373" s="45" t="n">
        <v>1578</v>
      </c>
      <c r="B1373" s="46" t="n">
        <v>46239</v>
      </c>
      <c r="C1373" s="45" t="s">
        <v>135</v>
      </c>
      <c r="D1373" s="45" t="s">
        <v>136</v>
      </c>
      <c r="E1373" s="45" t="s">
        <v>236</v>
      </c>
      <c r="F1373" s="45" t="s">
        <v>2866</v>
      </c>
      <c r="G1373" s="46" t="n">
        <v>46236</v>
      </c>
      <c r="H1373" s="45" t="s">
        <v>57</v>
      </c>
      <c r="I1373" s="45" t="s">
        <v>200</v>
      </c>
      <c r="J1373" s="45" t="s">
        <v>2867</v>
      </c>
      <c r="K1373" s="45" t="n">
        <v>1</v>
      </c>
      <c r="L1373" s="45" t="s">
        <v>263</v>
      </c>
      <c r="M1373" s="45" t="s">
        <v>259</v>
      </c>
      <c r="N1373" s="45" t="s">
        <v>57</v>
      </c>
      <c r="O1373" s="47" t="n">
        <v>46239.901412037</v>
      </c>
      <c r="P1373" s="47" t="n">
        <v>46239.9020833333</v>
      </c>
    </row>
    <row r="1374" customFormat="false" ht="15" hidden="false" customHeight="false" outlineLevel="0" collapsed="false">
      <c r="A1374" s="45" t="n">
        <v>1579</v>
      </c>
      <c r="B1374" s="46" t="n">
        <v>46239</v>
      </c>
      <c r="C1374" s="45" t="s">
        <v>135</v>
      </c>
      <c r="D1374" s="45" t="s">
        <v>136</v>
      </c>
      <c r="E1374" s="45" t="s">
        <v>218</v>
      </c>
      <c r="F1374" s="45" t="s">
        <v>2868</v>
      </c>
      <c r="G1374" s="46" t="n">
        <v>46237</v>
      </c>
      <c r="H1374" s="45" t="s">
        <v>167</v>
      </c>
      <c r="I1374" s="45" t="s">
        <v>180</v>
      </c>
      <c r="J1374" s="45" t="s">
        <v>2869</v>
      </c>
      <c r="K1374" s="45" t="n">
        <v>13.8</v>
      </c>
      <c r="L1374" s="45" t="s">
        <v>263</v>
      </c>
      <c r="M1374" s="45" t="s">
        <v>259</v>
      </c>
      <c r="N1374" s="45" t="s">
        <v>167</v>
      </c>
      <c r="O1374" s="47" t="n">
        <v>46239.9030208333</v>
      </c>
      <c r="P1374" s="47" t="n">
        <v>46239.9125694444</v>
      </c>
    </row>
    <row r="1375" customFormat="false" ht="15" hidden="false" customHeight="false" outlineLevel="0" collapsed="false">
      <c r="A1375" s="45" t="n">
        <v>1580</v>
      </c>
      <c r="B1375" s="46" t="n">
        <v>46239</v>
      </c>
      <c r="C1375" s="45" t="s">
        <v>135</v>
      </c>
      <c r="D1375" s="45" t="s">
        <v>136</v>
      </c>
      <c r="E1375" s="45" t="s">
        <v>492</v>
      </c>
      <c r="F1375" s="45" t="s">
        <v>2870</v>
      </c>
      <c r="G1375" s="46" t="n">
        <v>46236</v>
      </c>
      <c r="H1375" s="45" t="s">
        <v>167</v>
      </c>
      <c r="I1375" s="45" t="s">
        <v>178</v>
      </c>
      <c r="J1375" s="45" t="s">
        <v>2871</v>
      </c>
      <c r="K1375" s="45" t="n">
        <v>3.9</v>
      </c>
      <c r="L1375" s="45" t="s">
        <v>263</v>
      </c>
      <c r="M1375" s="45" t="s">
        <v>259</v>
      </c>
      <c r="N1375" s="45" t="s">
        <v>167</v>
      </c>
      <c r="O1375" s="47" t="n">
        <v>46239.9126967593</v>
      </c>
      <c r="P1375" s="47" t="n">
        <v>46239.9154282407</v>
      </c>
    </row>
    <row r="1376" customFormat="false" ht="15" hidden="false" customHeight="false" outlineLevel="0" collapsed="false">
      <c r="A1376" s="45" t="n">
        <v>1581</v>
      </c>
      <c r="B1376" s="46" t="n">
        <v>46239</v>
      </c>
      <c r="C1376" s="45" t="s">
        <v>135</v>
      </c>
      <c r="D1376" s="45" t="s">
        <v>136</v>
      </c>
      <c r="E1376" s="45" t="s">
        <v>492</v>
      </c>
      <c r="F1376" s="45" t="s">
        <v>2872</v>
      </c>
      <c r="G1376" s="46" t="n">
        <v>46236</v>
      </c>
      <c r="H1376" s="45" t="s">
        <v>168</v>
      </c>
      <c r="I1376" s="45" t="s">
        <v>191</v>
      </c>
      <c r="J1376" s="45" t="s">
        <v>2873</v>
      </c>
      <c r="K1376" s="45" t="n">
        <v>235.1</v>
      </c>
      <c r="L1376" s="45" t="s">
        <v>263</v>
      </c>
      <c r="M1376" s="45" t="s">
        <v>259</v>
      </c>
      <c r="N1376" s="45" t="s">
        <v>2559</v>
      </c>
      <c r="O1376" s="47" t="n">
        <v>46239.9160416667</v>
      </c>
      <c r="P1376" s="47" t="n">
        <v>46240.0793055556</v>
      </c>
    </row>
    <row r="1377" customFormat="false" ht="15" hidden="false" customHeight="false" outlineLevel="0" collapsed="false">
      <c r="A1377" s="45" t="n">
        <v>1582</v>
      </c>
      <c r="B1377" s="46" t="n">
        <v>46240</v>
      </c>
      <c r="C1377" s="45" t="s">
        <v>135</v>
      </c>
      <c r="D1377" s="45" t="s">
        <v>136</v>
      </c>
      <c r="E1377" s="45" t="s">
        <v>1697</v>
      </c>
      <c r="F1377" s="45" t="s">
        <v>2874</v>
      </c>
      <c r="G1377" s="46" t="n">
        <v>46238</v>
      </c>
      <c r="H1377" s="45" t="s">
        <v>168</v>
      </c>
      <c r="I1377" s="45" t="s">
        <v>192</v>
      </c>
      <c r="J1377" s="45" t="s">
        <v>2875</v>
      </c>
      <c r="K1377" s="45" t="n">
        <v>4.8</v>
      </c>
      <c r="L1377" s="45" t="s">
        <v>263</v>
      </c>
      <c r="M1377" s="45" t="s">
        <v>259</v>
      </c>
      <c r="N1377" s="45" t="s">
        <v>2559</v>
      </c>
      <c r="O1377" s="47" t="n">
        <v>46240.0793518519</v>
      </c>
      <c r="P1377" s="47" t="n">
        <v>46240.0826967593</v>
      </c>
    </row>
    <row r="1378" customFormat="false" ht="15" hidden="false" customHeight="false" outlineLevel="0" collapsed="false">
      <c r="A1378" s="45" t="n">
        <v>1583</v>
      </c>
      <c r="B1378" s="46" t="n">
        <v>46240</v>
      </c>
      <c r="C1378" s="45" t="s">
        <v>141</v>
      </c>
      <c r="D1378" s="45" t="s">
        <v>142</v>
      </c>
      <c r="E1378" s="45" t="s">
        <v>224</v>
      </c>
      <c r="F1378" s="45" t="s">
        <v>2876</v>
      </c>
      <c r="G1378" s="46" t="n">
        <v>46234</v>
      </c>
      <c r="H1378" s="45" t="s">
        <v>167</v>
      </c>
      <c r="I1378" s="45" t="s">
        <v>184</v>
      </c>
      <c r="J1378" s="45" t="s">
        <v>2877</v>
      </c>
      <c r="K1378" s="45" t="n">
        <v>11.1</v>
      </c>
      <c r="L1378" s="45" t="s">
        <v>263</v>
      </c>
      <c r="M1378" s="45" t="s">
        <v>259</v>
      </c>
      <c r="N1378" s="45" t="s">
        <v>167</v>
      </c>
      <c r="O1378" s="47" t="n">
        <v>46240.2199884259</v>
      </c>
      <c r="P1378" s="47" t="n">
        <v>46240.2277199074</v>
      </c>
    </row>
    <row r="1379" customFormat="false" ht="15" hidden="false" customHeight="false" outlineLevel="0" collapsed="false">
      <c r="A1379" s="45" t="n">
        <v>1584</v>
      </c>
      <c r="B1379" s="46" t="n">
        <v>46240</v>
      </c>
      <c r="C1379" s="45" t="s">
        <v>141</v>
      </c>
      <c r="D1379" s="45" t="s">
        <v>142</v>
      </c>
      <c r="E1379" s="45" t="s">
        <v>224</v>
      </c>
      <c r="F1379" s="45" t="s">
        <v>2878</v>
      </c>
      <c r="G1379" s="46" t="n">
        <v>46238</v>
      </c>
      <c r="H1379" s="45" t="s">
        <v>167</v>
      </c>
      <c r="I1379" s="45" t="s">
        <v>188</v>
      </c>
      <c r="J1379" s="45" t="s">
        <v>2879</v>
      </c>
      <c r="K1379" s="45" t="n">
        <v>11</v>
      </c>
      <c r="L1379" s="45" t="s">
        <v>263</v>
      </c>
      <c r="M1379" s="45" t="s">
        <v>259</v>
      </c>
      <c r="N1379" s="45" t="s">
        <v>167</v>
      </c>
      <c r="O1379" s="47" t="n">
        <v>46240.2319212963</v>
      </c>
      <c r="P1379" s="47" t="n">
        <v>46240.239537037</v>
      </c>
    </row>
    <row r="1380" customFormat="false" ht="15" hidden="false" customHeight="false" outlineLevel="0" collapsed="false">
      <c r="A1380" s="45" t="n">
        <v>1585</v>
      </c>
      <c r="B1380" s="46" t="n">
        <v>46240</v>
      </c>
      <c r="C1380" s="45" t="s">
        <v>141</v>
      </c>
      <c r="D1380" s="45" t="s">
        <v>142</v>
      </c>
      <c r="E1380" s="45" t="s">
        <v>224</v>
      </c>
      <c r="F1380" s="45" t="s">
        <v>2880</v>
      </c>
      <c r="G1380" s="46" t="n">
        <v>46238</v>
      </c>
      <c r="H1380" s="45" t="s">
        <v>167</v>
      </c>
      <c r="I1380" s="45" t="s">
        <v>176</v>
      </c>
      <c r="J1380" s="45" t="s">
        <v>2881</v>
      </c>
      <c r="K1380" s="45" t="n">
        <v>15.7</v>
      </c>
      <c r="L1380" s="45" t="s">
        <v>263</v>
      </c>
      <c r="M1380" s="45" t="s">
        <v>259</v>
      </c>
      <c r="N1380" s="45" t="s">
        <v>167</v>
      </c>
      <c r="O1380" s="47" t="n">
        <v>46240.2626041667</v>
      </c>
      <c r="P1380" s="47" t="n">
        <v>46240.2734722222</v>
      </c>
    </row>
    <row r="1381" customFormat="false" ht="15" hidden="false" customHeight="false" outlineLevel="0" collapsed="false">
      <c r="A1381" s="45" t="n">
        <v>1586</v>
      </c>
      <c r="B1381" s="46" t="n">
        <v>46240</v>
      </c>
      <c r="C1381" s="45" t="s">
        <v>141</v>
      </c>
      <c r="D1381" s="45" t="s">
        <v>142</v>
      </c>
      <c r="E1381" s="45" t="s">
        <v>224</v>
      </c>
      <c r="F1381" s="45" t="s">
        <v>2882</v>
      </c>
      <c r="G1381" s="46" t="n">
        <v>46238</v>
      </c>
      <c r="H1381" s="45" t="s">
        <v>167</v>
      </c>
      <c r="I1381" s="45" t="s">
        <v>176</v>
      </c>
      <c r="J1381" s="45" t="s">
        <v>2883</v>
      </c>
      <c r="K1381" s="45" t="n">
        <v>6.4</v>
      </c>
      <c r="L1381" s="45" t="s">
        <v>259</v>
      </c>
      <c r="M1381" s="45" t="s">
        <v>259</v>
      </c>
      <c r="N1381" s="45" t="s">
        <v>167</v>
      </c>
      <c r="O1381" s="47" t="n">
        <v>46240.2736689815</v>
      </c>
      <c r="P1381" s="47" t="n">
        <v>46240.2781365741</v>
      </c>
    </row>
    <row r="1382" customFormat="false" ht="15" hidden="false" customHeight="false" outlineLevel="0" collapsed="false">
      <c r="A1382" s="45" t="n">
        <v>1587</v>
      </c>
      <c r="B1382" s="46" t="n">
        <v>46240</v>
      </c>
      <c r="C1382" s="45" t="s">
        <v>141</v>
      </c>
      <c r="D1382" s="45" t="s">
        <v>142</v>
      </c>
      <c r="E1382" s="45" t="s">
        <v>224</v>
      </c>
      <c r="F1382" s="45" t="s">
        <v>2882</v>
      </c>
      <c r="G1382" s="46" t="n">
        <v>46238</v>
      </c>
      <c r="H1382" s="45" t="s">
        <v>167</v>
      </c>
      <c r="I1382" s="45" t="s">
        <v>176</v>
      </c>
      <c r="J1382" s="45" t="s">
        <v>2884</v>
      </c>
      <c r="K1382" s="45" t="n">
        <v>3.3</v>
      </c>
      <c r="L1382" s="45" t="s">
        <v>259</v>
      </c>
      <c r="M1382" s="45" t="s">
        <v>259</v>
      </c>
      <c r="N1382" s="45" t="s">
        <v>167</v>
      </c>
      <c r="O1382" s="47" t="n">
        <v>46240.2784375</v>
      </c>
      <c r="P1382" s="47" t="n">
        <v>46240.2807523148</v>
      </c>
    </row>
    <row r="1383" customFormat="false" ht="15" hidden="false" customHeight="false" outlineLevel="0" collapsed="false">
      <c r="A1383" s="45" t="n">
        <v>1588</v>
      </c>
      <c r="B1383" s="46" t="n">
        <v>46240</v>
      </c>
      <c r="C1383" s="45" t="s">
        <v>141</v>
      </c>
      <c r="D1383" s="45" t="s">
        <v>142</v>
      </c>
      <c r="E1383" s="45" t="s">
        <v>225</v>
      </c>
      <c r="F1383" s="45" t="s">
        <v>2885</v>
      </c>
      <c r="G1383" s="46" t="n">
        <v>46237</v>
      </c>
      <c r="H1383" s="45" t="s">
        <v>167</v>
      </c>
      <c r="I1383" s="45" t="s">
        <v>179</v>
      </c>
      <c r="J1383" s="45" t="s">
        <v>2886</v>
      </c>
      <c r="K1383" s="45" t="n">
        <v>6.5</v>
      </c>
      <c r="L1383" s="45" t="s">
        <v>263</v>
      </c>
      <c r="M1383" s="45" t="s">
        <v>259</v>
      </c>
      <c r="N1383" s="45" t="s">
        <v>167</v>
      </c>
      <c r="O1383" s="47" t="n">
        <v>46240.3323842593</v>
      </c>
      <c r="P1383" s="47" t="n">
        <v>46240.3369328704</v>
      </c>
    </row>
    <row r="1384" customFormat="false" ht="15" hidden="false" customHeight="false" outlineLevel="0" collapsed="false">
      <c r="A1384" s="45" t="n">
        <v>1642</v>
      </c>
      <c r="B1384" s="46" t="n">
        <v>46240</v>
      </c>
      <c r="C1384" s="45" t="s">
        <v>141</v>
      </c>
      <c r="D1384" s="45" t="s">
        <v>142</v>
      </c>
      <c r="E1384" s="45" t="s">
        <v>2282</v>
      </c>
      <c r="F1384" s="45" t="s">
        <v>2887</v>
      </c>
      <c r="G1384" s="46" t="n">
        <v>46237</v>
      </c>
      <c r="H1384" s="45" t="s">
        <v>167</v>
      </c>
      <c r="I1384" s="45" t="s">
        <v>176</v>
      </c>
      <c r="J1384" s="45" t="s">
        <v>2888</v>
      </c>
      <c r="K1384" s="45" t="n">
        <v>3999.2</v>
      </c>
      <c r="L1384" s="45" t="s">
        <v>263</v>
      </c>
      <c r="M1384" s="45" t="s">
        <v>259</v>
      </c>
      <c r="N1384" s="45" t="s">
        <v>167</v>
      </c>
      <c r="O1384" s="47" t="n">
        <v>46240.3459027778</v>
      </c>
      <c r="P1384" s="47" t="n">
        <v>46243.1231481481</v>
      </c>
    </row>
    <row r="1385" customFormat="false" ht="15" hidden="false" customHeight="false" outlineLevel="0" collapsed="false">
      <c r="A1385" s="45" t="n">
        <v>1589</v>
      </c>
      <c r="B1385" s="46" t="n">
        <v>46240</v>
      </c>
      <c r="C1385" s="45" t="s">
        <v>131</v>
      </c>
      <c r="D1385" s="45" t="s">
        <v>132</v>
      </c>
      <c r="E1385" s="45" t="s">
        <v>2127</v>
      </c>
      <c r="F1385" s="45" t="s">
        <v>2889</v>
      </c>
      <c r="G1385" s="46" t="n">
        <v>46238</v>
      </c>
      <c r="H1385" s="45" t="s">
        <v>167</v>
      </c>
      <c r="I1385" s="45" t="s">
        <v>176</v>
      </c>
      <c r="J1385" s="45" t="s">
        <v>2890</v>
      </c>
      <c r="K1385" s="45" t="n">
        <v>26.2</v>
      </c>
      <c r="L1385" s="45" t="s">
        <v>263</v>
      </c>
      <c r="M1385" s="45" t="s">
        <v>259</v>
      </c>
      <c r="N1385" s="45" t="s">
        <v>167</v>
      </c>
      <c r="O1385" s="47" t="n">
        <v>46240.731099537</v>
      </c>
      <c r="P1385" s="47" t="n">
        <v>46240.7492708333</v>
      </c>
    </row>
    <row r="1386" customFormat="false" ht="15" hidden="false" customHeight="false" outlineLevel="0" collapsed="false">
      <c r="A1386" s="45" t="n">
        <v>1590</v>
      </c>
      <c r="B1386" s="46" t="n">
        <v>46240</v>
      </c>
      <c r="C1386" s="45" t="s">
        <v>139</v>
      </c>
      <c r="D1386" s="45" t="s">
        <v>140</v>
      </c>
      <c r="E1386" s="45" t="s">
        <v>2606</v>
      </c>
      <c r="F1386" s="45" t="s">
        <v>2891</v>
      </c>
      <c r="G1386" s="46" t="n">
        <v>46238</v>
      </c>
      <c r="H1386" s="45" t="s">
        <v>168</v>
      </c>
      <c r="I1386" s="45" t="s">
        <v>196</v>
      </c>
      <c r="J1386" s="45" t="s">
        <v>2892</v>
      </c>
      <c r="K1386" s="45" t="n">
        <v>1.8</v>
      </c>
      <c r="L1386" s="45" t="s">
        <v>263</v>
      </c>
      <c r="M1386" s="45" t="s">
        <v>259</v>
      </c>
      <c r="N1386" s="45" t="s">
        <v>2559</v>
      </c>
      <c r="O1386" s="47" t="n">
        <v>46240.7744560185</v>
      </c>
      <c r="P1386" s="47" t="n">
        <v>46240.7756828704</v>
      </c>
    </row>
    <row r="1387" customFormat="false" ht="15" hidden="false" customHeight="false" outlineLevel="0" collapsed="false">
      <c r="A1387" s="45" t="n">
        <v>1591</v>
      </c>
      <c r="B1387" s="46" t="n">
        <v>46240</v>
      </c>
      <c r="C1387" s="45" t="s">
        <v>139</v>
      </c>
      <c r="D1387" s="45" t="s">
        <v>140</v>
      </c>
      <c r="E1387" s="45" t="s">
        <v>2606</v>
      </c>
      <c r="F1387" s="45" t="s">
        <v>2893</v>
      </c>
      <c r="G1387" s="46" t="n">
        <v>46239</v>
      </c>
      <c r="H1387" s="45" t="s">
        <v>167</v>
      </c>
      <c r="I1387" s="45" t="s">
        <v>178</v>
      </c>
      <c r="J1387" s="45" t="s">
        <v>2894</v>
      </c>
      <c r="K1387" s="45" t="n">
        <v>0.7</v>
      </c>
      <c r="L1387" s="45" t="s">
        <v>263</v>
      </c>
      <c r="M1387" s="45" t="s">
        <v>259</v>
      </c>
      <c r="N1387" s="45" t="s">
        <v>167</v>
      </c>
      <c r="O1387" s="47" t="n">
        <v>46240.7962037037</v>
      </c>
      <c r="P1387" s="47" t="n">
        <v>46240.7966782407</v>
      </c>
    </row>
    <row r="1388" customFormat="false" ht="15" hidden="false" customHeight="false" outlineLevel="0" collapsed="false">
      <c r="A1388" s="45" t="n">
        <v>1592</v>
      </c>
      <c r="B1388" s="46" t="n">
        <v>46240</v>
      </c>
      <c r="C1388" s="45" t="s">
        <v>131</v>
      </c>
      <c r="D1388" s="45" t="s">
        <v>132</v>
      </c>
      <c r="E1388" s="45" t="s">
        <v>222</v>
      </c>
      <c r="F1388" s="45" t="s">
        <v>2895</v>
      </c>
      <c r="G1388" s="46" t="n">
        <v>46238</v>
      </c>
      <c r="H1388" s="45" t="s">
        <v>167</v>
      </c>
      <c r="I1388" s="45" t="s">
        <v>176</v>
      </c>
      <c r="J1388" s="45" t="s">
        <v>2896</v>
      </c>
      <c r="K1388" s="45" t="n">
        <v>1.6</v>
      </c>
      <c r="L1388" s="45" t="s">
        <v>263</v>
      </c>
      <c r="M1388" s="45" t="s">
        <v>259</v>
      </c>
      <c r="N1388" s="45" t="s">
        <v>167</v>
      </c>
      <c r="O1388" s="47" t="n">
        <v>46240.8554050926</v>
      </c>
      <c r="P1388" s="47" t="n">
        <v>46240.8565162037</v>
      </c>
    </row>
    <row r="1389" customFormat="false" ht="15" hidden="false" customHeight="false" outlineLevel="0" collapsed="false">
      <c r="A1389" s="45" t="n">
        <v>1593</v>
      </c>
      <c r="B1389" s="46" t="n">
        <v>46241</v>
      </c>
      <c r="C1389" s="45" t="s">
        <v>139</v>
      </c>
      <c r="D1389" s="45" t="s">
        <v>140</v>
      </c>
      <c r="E1389" s="45" t="s">
        <v>2657</v>
      </c>
      <c r="F1389" s="45" t="s">
        <v>2897</v>
      </c>
      <c r="G1389" s="46" t="n">
        <v>46237</v>
      </c>
      <c r="H1389" s="45" t="s">
        <v>169</v>
      </c>
      <c r="I1389" s="45"/>
      <c r="J1389" s="45"/>
      <c r="K1389" s="45" t="n">
        <v>0.6</v>
      </c>
      <c r="L1389" s="45" t="s">
        <v>263</v>
      </c>
      <c r="M1389" s="45" t="s">
        <v>259</v>
      </c>
      <c r="N1389" s="45" t="s">
        <v>169</v>
      </c>
      <c r="O1389" s="47" t="n">
        <v>46241.1440162037</v>
      </c>
      <c r="P1389" s="47" t="n">
        <v>46241.1444328704</v>
      </c>
    </row>
    <row r="1390" customFormat="false" ht="15" hidden="false" customHeight="false" outlineLevel="0" collapsed="false">
      <c r="A1390" s="45" t="n">
        <v>1594</v>
      </c>
      <c r="B1390" s="46" t="n">
        <v>46241</v>
      </c>
      <c r="C1390" s="45" t="s">
        <v>139</v>
      </c>
      <c r="D1390" s="45" t="s">
        <v>140</v>
      </c>
      <c r="E1390" s="45" t="s">
        <v>2606</v>
      </c>
      <c r="F1390" s="45" t="s">
        <v>2898</v>
      </c>
      <c r="G1390" s="46" t="n">
        <v>46240</v>
      </c>
      <c r="H1390" s="45" t="s">
        <v>167</v>
      </c>
      <c r="I1390" s="45" t="s">
        <v>187</v>
      </c>
      <c r="J1390" s="45" t="s">
        <v>2899</v>
      </c>
      <c r="K1390" s="45" t="n">
        <v>0.8</v>
      </c>
      <c r="L1390" s="45" t="s">
        <v>263</v>
      </c>
      <c r="M1390" s="45" t="s">
        <v>259</v>
      </c>
      <c r="N1390" s="45" t="s">
        <v>167</v>
      </c>
      <c r="O1390" s="47" t="n">
        <v>46241.1515277778</v>
      </c>
      <c r="P1390" s="47" t="n">
        <v>46241.1520486111</v>
      </c>
    </row>
    <row r="1391" customFormat="false" ht="15" hidden="false" customHeight="false" outlineLevel="0" collapsed="false">
      <c r="A1391" s="45" t="n">
        <v>1595</v>
      </c>
      <c r="B1391" s="46" t="n">
        <v>46241</v>
      </c>
      <c r="C1391" s="45" t="s">
        <v>139</v>
      </c>
      <c r="D1391" s="45" t="s">
        <v>140</v>
      </c>
      <c r="E1391" s="45" t="s">
        <v>2606</v>
      </c>
      <c r="F1391" s="45" t="s">
        <v>2607</v>
      </c>
      <c r="G1391" s="46" t="n">
        <v>46231</v>
      </c>
      <c r="H1391" s="45" t="s">
        <v>167</v>
      </c>
      <c r="I1391" s="45" t="s">
        <v>176</v>
      </c>
      <c r="J1391" s="45" t="s">
        <v>2900</v>
      </c>
      <c r="K1391" s="45" t="n">
        <v>11.7</v>
      </c>
      <c r="L1391" s="45" t="s">
        <v>259</v>
      </c>
      <c r="M1391" s="45" t="s">
        <v>259</v>
      </c>
      <c r="N1391" s="45" t="s">
        <v>167</v>
      </c>
      <c r="O1391" s="47" t="n">
        <v>46241.1525694444</v>
      </c>
      <c r="P1391" s="47" t="n">
        <v>46241.1606944444</v>
      </c>
    </row>
    <row r="1392" customFormat="false" ht="15" hidden="false" customHeight="false" outlineLevel="0" collapsed="false">
      <c r="A1392" s="45" t="n">
        <v>1596</v>
      </c>
      <c r="B1392" s="46" t="n">
        <v>46241</v>
      </c>
      <c r="C1392" s="45" t="s">
        <v>139</v>
      </c>
      <c r="D1392" s="45" t="s">
        <v>140</v>
      </c>
      <c r="E1392" s="45" t="s">
        <v>2816</v>
      </c>
      <c r="F1392" s="45" t="s">
        <v>2901</v>
      </c>
      <c r="G1392" s="46" t="n">
        <v>46238</v>
      </c>
      <c r="H1392" s="45" t="s">
        <v>57</v>
      </c>
      <c r="I1392" s="45" t="s">
        <v>201</v>
      </c>
      <c r="J1392" s="45" t="s">
        <v>2902</v>
      </c>
      <c r="K1392" s="45" t="n">
        <v>1.1</v>
      </c>
      <c r="L1392" s="45" t="s">
        <v>263</v>
      </c>
      <c r="M1392" s="45" t="s">
        <v>259</v>
      </c>
      <c r="N1392" s="45" t="s">
        <v>57</v>
      </c>
      <c r="O1392" s="47" t="n">
        <v>46241.1850347222</v>
      </c>
      <c r="P1392" s="47" t="n">
        <v>46241.1858217593</v>
      </c>
    </row>
    <row r="1393" customFormat="false" ht="15" hidden="false" customHeight="false" outlineLevel="0" collapsed="false">
      <c r="A1393" s="45" t="n">
        <v>1597</v>
      </c>
      <c r="B1393" s="46" t="n">
        <v>46241</v>
      </c>
      <c r="C1393" s="45" t="s">
        <v>133</v>
      </c>
      <c r="D1393" s="45" t="s">
        <v>134</v>
      </c>
      <c r="E1393" s="45" t="s">
        <v>2594</v>
      </c>
      <c r="F1393" s="45" t="s">
        <v>2903</v>
      </c>
      <c r="G1393" s="46" t="n">
        <v>46236</v>
      </c>
      <c r="H1393" s="45" t="s">
        <v>167</v>
      </c>
      <c r="I1393" s="45" t="s">
        <v>176</v>
      </c>
      <c r="J1393" s="45" t="s">
        <v>2904</v>
      </c>
      <c r="K1393" s="45" t="n">
        <v>4.5</v>
      </c>
      <c r="L1393" s="45" t="s">
        <v>263</v>
      </c>
      <c r="M1393" s="45" t="s">
        <v>259</v>
      </c>
      <c r="N1393" s="45" t="s">
        <v>167</v>
      </c>
      <c r="O1393" s="47" t="n">
        <v>46241.2778356482</v>
      </c>
      <c r="P1393" s="47" t="n">
        <v>46241.2809606482</v>
      </c>
    </row>
    <row r="1394" customFormat="false" ht="15" hidden="false" customHeight="false" outlineLevel="0" collapsed="false">
      <c r="A1394" s="45" t="n">
        <v>1598</v>
      </c>
      <c r="B1394" s="46" t="n">
        <v>46241</v>
      </c>
      <c r="C1394" s="45" t="s">
        <v>133</v>
      </c>
      <c r="D1394" s="45" t="s">
        <v>134</v>
      </c>
      <c r="E1394" s="45" t="s">
        <v>2594</v>
      </c>
      <c r="F1394" s="45" t="s">
        <v>2905</v>
      </c>
      <c r="G1394" s="46" t="n">
        <v>46236</v>
      </c>
      <c r="H1394" s="45" t="s">
        <v>167</v>
      </c>
      <c r="I1394" s="45" t="s">
        <v>176</v>
      </c>
      <c r="J1394" s="45" t="s">
        <v>2906</v>
      </c>
      <c r="K1394" s="45" t="n">
        <v>21.4</v>
      </c>
      <c r="L1394" s="45" t="s">
        <v>263</v>
      </c>
      <c r="M1394" s="45" t="s">
        <v>259</v>
      </c>
      <c r="N1394" s="45" t="s">
        <v>167</v>
      </c>
      <c r="O1394" s="47" t="n">
        <v>46241.2812384259</v>
      </c>
      <c r="P1394" s="47" t="n">
        <v>46241.296087963</v>
      </c>
    </row>
    <row r="1395" customFormat="false" ht="15" hidden="false" customHeight="false" outlineLevel="0" collapsed="false">
      <c r="A1395" s="45" t="n">
        <v>1599</v>
      </c>
      <c r="B1395" s="46" t="n">
        <v>46241</v>
      </c>
      <c r="C1395" s="45" t="s">
        <v>133</v>
      </c>
      <c r="D1395" s="45" t="s">
        <v>134</v>
      </c>
      <c r="E1395" s="45" t="s">
        <v>2591</v>
      </c>
      <c r="F1395" s="45" t="s">
        <v>2907</v>
      </c>
      <c r="G1395" s="46" t="n">
        <v>46236</v>
      </c>
      <c r="H1395" s="45" t="s">
        <v>167</v>
      </c>
      <c r="I1395" s="45" t="s">
        <v>177</v>
      </c>
      <c r="J1395" s="45" t="s">
        <v>2908</v>
      </c>
      <c r="K1395" s="45" t="n">
        <v>3.2</v>
      </c>
      <c r="L1395" s="45" t="s">
        <v>259</v>
      </c>
      <c r="M1395" s="45" t="s">
        <v>259</v>
      </c>
      <c r="N1395" s="45" t="s">
        <v>167</v>
      </c>
      <c r="O1395" s="47" t="n">
        <v>46241.3799189815</v>
      </c>
      <c r="P1395" s="47" t="n">
        <v>46241.3821296296</v>
      </c>
    </row>
    <row r="1396" customFormat="false" ht="15" hidden="false" customHeight="false" outlineLevel="0" collapsed="false">
      <c r="A1396" s="45" t="n">
        <v>1600</v>
      </c>
      <c r="B1396" s="46" t="n">
        <v>46241</v>
      </c>
      <c r="C1396" s="45" t="s">
        <v>133</v>
      </c>
      <c r="D1396" s="45" t="s">
        <v>134</v>
      </c>
      <c r="E1396" s="45" t="s">
        <v>2537</v>
      </c>
      <c r="F1396" s="45" t="s">
        <v>2909</v>
      </c>
      <c r="G1396" s="46" t="n">
        <v>46235</v>
      </c>
      <c r="H1396" s="45" t="s">
        <v>167</v>
      </c>
      <c r="I1396" s="45" t="s">
        <v>176</v>
      </c>
      <c r="J1396" s="45" t="s">
        <v>2910</v>
      </c>
      <c r="K1396" s="45" t="n">
        <v>53.6</v>
      </c>
      <c r="L1396" s="45" t="s">
        <v>263</v>
      </c>
      <c r="M1396" s="45" t="s">
        <v>259</v>
      </c>
      <c r="N1396" s="45" t="s">
        <v>167</v>
      </c>
      <c r="O1396" s="47" t="n">
        <v>46241.3821990741</v>
      </c>
      <c r="P1396" s="47" t="n">
        <v>46241.4194560185</v>
      </c>
    </row>
    <row r="1397" customFormat="false" ht="15" hidden="false" customHeight="false" outlineLevel="0" collapsed="false">
      <c r="A1397" s="45" t="n">
        <v>1601</v>
      </c>
      <c r="B1397" s="46" t="n">
        <v>46241</v>
      </c>
      <c r="C1397" s="45" t="s">
        <v>133</v>
      </c>
      <c r="D1397" s="45" t="s">
        <v>134</v>
      </c>
      <c r="E1397" s="45" t="s">
        <v>241</v>
      </c>
      <c r="F1397" s="45" t="s">
        <v>2824</v>
      </c>
      <c r="G1397" s="46" t="n">
        <v>46235</v>
      </c>
      <c r="H1397" s="45" t="s">
        <v>167</v>
      </c>
      <c r="I1397" s="45" t="s">
        <v>176</v>
      </c>
      <c r="J1397" s="45" t="s">
        <v>2825</v>
      </c>
      <c r="K1397" s="45" t="n">
        <v>2.3</v>
      </c>
      <c r="L1397" s="45" t="s">
        <v>259</v>
      </c>
      <c r="M1397" s="45" t="s">
        <v>259</v>
      </c>
      <c r="N1397" s="45" t="s">
        <v>167</v>
      </c>
      <c r="O1397" s="47" t="n">
        <v>46241.4195023148</v>
      </c>
      <c r="P1397" s="47" t="n">
        <v>46241.4210763889</v>
      </c>
    </row>
    <row r="1398" customFormat="false" ht="15" hidden="false" customHeight="false" outlineLevel="0" collapsed="false">
      <c r="A1398" s="45" t="n">
        <v>1602</v>
      </c>
      <c r="B1398" s="46" t="n">
        <v>46241</v>
      </c>
      <c r="C1398" s="45" t="s">
        <v>133</v>
      </c>
      <c r="D1398" s="45" t="s">
        <v>134</v>
      </c>
      <c r="E1398" s="45" t="s">
        <v>2539</v>
      </c>
      <c r="F1398" s="45" t="s">
        <v>2911</v>
      </c>
      <c r="G1398" s="46" t="n">
        <v>46237</v>
      </c>
      <c r="H1398" s="45" t="s">
        <v>167</v>
      </c>
      <c r="I1398" s="45" t="s">
        <v>176</v>
      </c>
      <c r="J1398" s="45" t="s">
        <v>2912</v>
      </c>
      <c r="K1398" s="45" t="n">
        <v>17.2</v>
      </c>
      <c r="L1398" s="45" t="s">
        <v>263</v>
      </c>
      <c r="M1398" s="45" t="s">
        <v>259</v>
      </c>
      <c r="N1398" s="45" t="s">
        <v>167</v>
      </c>
      <c r="O1398" s="47" t="n">
        <v>46241.4211226852</v>
      </c>
      <c r="P1398" s="47" t="n">
        <v>46241.4330671296</v>
      </c>
    </row>
    <row r="1399" customFormat="false" ht="15" hidden="false" customHeight="false" outlineLevel="0" collapsed="false">
      <c r="A1399" s="45" t="n">
        <v>1603</v>
      </c>
      <c r="B1399" s="46" t="n">
        <v>46241</v>
      </c>
      <c r="C1399" s="45" t="s">
        <v>133</v>
      </c>
      <c r="D1399" s="45" t="s">
        <v>134</v>
      </c>
      <c r="E1399" s="45" t="s">
        <v>2539</v>
      </c>
      <c r="F1399" s="45" t="s">
        <v>2913</v>
      </c>
      <c r="G1399" s="46" t="n">
        <v>46237</v>
      </c>
      <c r="H1399" s="45" t="s">
        <v>57</v>
      </c>
      <c r="I1399" s="45" t="s">
        <v>201</v>
      </c>
      <c r="J1399" s="45" t="s">
        <v>2914</v>
      </c>
      <c r="K1399" s="45" t="n">
        <v>1.9</v>
      </c>
      <c r="L1399" s="45" t="s">
        <v>263</v>
      </c>
      <c r="M1399" s="45" t="s">
        <v>259</v>
      </c>
      <c r="N1399" s="45" t="s">
        <v>57</v>
      </c>
      <c r="O1399" s="47" t="n">
        <v>46241.4385532407</v>
      </c>
      <c r="P1399" s="47" t="n">
        <v>46241.4399074074</v>
      </c>
    </row>
    <row r="1400" customFormat="false" ht="15" hidden="false" customHeight="false" outlineLevel="0" collapsed="false">
      <c r="A1400" s="45" t="n">
        <v>1604</v>
      </c>
      <c r="B1400" s="46" t="n">
        <v>46241</v>
      </c>
      <c r="C1400" s="45" t="s">
        <v>133</v>
      </c>
      <c r="D1400" s="45" t="s">
        <v>134</v>
      </c>
      <c r="E1400" s="45" t="s">
        <v>2537</v>
      </c>
      <c r="F1400" s="45" t="s">
        <v>2915</v>
      </c>
      <c r="G1400" s="46" t="n">
        <v>46237</v>
      </c>
      <c r="H1400" s="45" t="s">
        <v>167</v>
      </c>
      <c r="I1400" s="45" t="s">
        <v>177</v>
      </c>
      <c r="J1400" s="45" t="s">
        <v>2916</v>
      </c>
      <c r="K1400" s="45" t="n">
        <v>39.8</v>
      </c>
      <c r="L1400" s="45" t="s">
        <v>263</v>
      </c>
      <c r="M1400" s="45" t="s">
        <v>259</v>
      </c>
      <c r="N1400" s="45" t="s">
        <v>167</v>
      </c>
      <c r="O1400" s="47" t="n">
        <v>46241.4399652778</v>
      </c>
      <c r="P1400" s="47" t="n">
        <v>46241.4676157407</v>
      </c>
    </row>
    <row r="1401" customFormat="false" ht="15" hidden="false" customHeight="false" outlineLevel="0" collapsed="false">
      <c r="A1401" s="45" t="n">
        <v>1605</v>
      </c>
      <c r="B1401" s="46" t="n">
        <v>46241</v>
      </c>
      <c r="C1401" s="45" t="s">
        <v>133</v>
      </c>
      <c r="D1401" s="45" t="s">
        <v>134</v>
      </c>
      <c r="E1401" s="45" t="s">
        <v>2462</v>
      </c>
      <c r="F1401" s="45" t="s">
        <v>2917</v>
      </c>
      <c r="G1401" s="46" t="n">
        <v>46238</v>
      </c>
      <c r="H1401" s="45" t="s">
        <v>168</v>
      </c>
      <c r="I1401" s="45" t="s">
        <v>191</v>
      </c>
      <c r="J1401" s="45" t="s">
        <v>2918</v>
      </c>
      <c r="K1401" s="45" t="n">
        <v>19.9</v>
      </c>
      <c r="L1401" s="45" t="s">
        <v>263</v>
      </c>
      <c r="M1401" s="45" t="s">
        <v>259</v>
      </c>
      <c r="N1401" s="45" t="s">
        <v>2559</v>
      </c>
      <c r="O1401" s="47" t="n">
        <v>46241.467662037</v>
      </c>
      <c r="P1401" s="47" t="n">
        <v>46241.4814930556</v>
      </c>
    </row>
    <row r="1402" customFormat="false" ht="15" hidden="false" customHeight="false" outlineLevel="0" collapsed="false">
      <c r="A1402" s="45" t="n">
        <v>1606</v>
      </c>
      <c r="B1402" s="46" t="n">
        <v>46241</v>
      </c>
      <c r="C1402" s="45" t="s">
        <v>133</v>
      </c>
      <c r="D1402" s="45" t="s">
        <v>134</v>
      </c>
      <c r="E1402" s="45" t="s">
        <v>241</v>
      </c>
      <c r="F1402" s="45" t="s">
        <v>2919</v>
      </c>
      <c r="G1402" s="46" t="n">
        <v>46238</v>
      </c>
      <c r="H1402" s="45" t="s">
        <v>167</v>
      </c>
      <c r="I1402" s="45" t="s">
        <v>185</v>
      </c>
      <c r="J1402" s="45" t="s">
        <v>2920</v>
      </c>
      <c r="K1402" s="45" t="n">
        <v>10.5</v>
      </c>
      <c r="L1402" s="45" t="s">
        <v>263</v>
      </c>
      <c r="M1402" s="45" t="s">
        <v>259</v>
      </c>
      <c r="N1402" s="45" t="s">
        <v>167</v>
      </c>
      <c r="O1402" s="47" t="n">
        <v>46241.4815277778</v>
      </c>
      <c r="P1402" s="47" t="n">
        <v>46241.4888194444</v>
      </c>
    </row>
    <row r="1403" customFormat="false" ht="15" hidden="false" customHeight="false" outlineLevel="0" collapsed="false">
      <c r="A1403" s="45" t="n">
        <v>1607</v>
      </c>
      <c r="B1403" s="46" t="n">
        <v>46241</v>
      </c>
      <c r="C1403" s="45" t="s">
        <v>133</v>
      </c>
      <c r="D1403" s="45" t="s">
        <v>134</v>
      </c>
      <c r="E1403" s="45" t="s">
        <v>2462</v>
      </c>
      <c r="F1403" s="45" t="s">
        <v>2921</v>
      </c>
      <c r="G1403" s="46" t="n">
        <v>46238</v>
      </c>
      <c r="H1403" s="45" t="s">
        <v>57</v>
      </c>
      <c r="I1403" s="45" t="s">
        <v>200</v>
      </c>
      <c r="J1403" s="45" t="s">
        <v>2922</v>
      </c>
      <c r="K1403" s="45" t="n">
        <v>3.8</v>
      </c>
      <c r="L1403" s="45" t="s">
        <v>263</v>
      </c>
      <c r="M1403" s="45" t="s">
        <v>259</v>
      </c>
      <c r="N1403" s="45" t="s">
        <v>57</v>
      </c>
      <c r="O1403" s="47" t="n">
        <v>46241.5231481482</v>
      </c>
      <c r="P1403" s="47" t="n">
        <v>46241.5257523148</v>
      </c>
    </row>
    <row r="1404" customFormat="false" ht="15" hidden="false" customHeight="false" outlineLevel="0" collapsed="false">
      <c r="A1404" s="45" t="n">
        <v>1608</v>
      </c>
      <c r="B1404" s="46" t="n">
        <v>46241</v>
      </c>
      <c r="C1404" s="45" t="s">
        <v>133</v>
      </c>
      <c r="D1404" s="45" t="s">
        <v>134</v>
      </c>
      <c r="E1404" s="45" t="s">
        <v>2539</v>
      </c>
      <c r="F1404" s="45" t="s">
        <v>2923</v>
      </c>
      <c r="G1404" s="46" t="n">
        <v>46238</v>
      </c>
      <c r="H1404" s="45" t="s">
        <v>169</v>
      </c>
      <c r="I1404" s="45"/>
      <c r="J1404" s="45"/>
      <c r="K1404" s="45" t="n">
        <v>2.4</v>
      </c>
      <c r="L1404" s="45" t="s">
        <v>263</v>
      </c>
      <c r="M1404" s="45" t="s">
        <v>259</v>
      </c>
      <c r="N1404" s="45" t="s">
        <v>169</v>
      </c>
      <c r="O1404" s="47" t="n">
        <v>46241.5258912037</v>
      </c>
      <c r="P1404" s="47" t="n">
        <v>46241.5275810185</v>
      </c>
    </row>
    <row r="1405" customFormat="false" ht="15" hidden="false" customHeight="false" outlineLevel="0" collapsed="false">
      <c r="A1405" s="45" t="n">
        <v>1609</v>
      </c>
      <c r="B1405" s="46" t="n">
        <v>46241</v>
      </c>
      <c r="C1405" s="45" t="s">
        <v>133</v>
      </c>
      <c r="D1405" s="45" t="s">
        <v>134</v>
      </c>
      <c r="E1405" s="45" t="s">
        <v>1930</v>
      </c>
      <c r="F1405" s="45" t="s">
        <v>2924</v>
      </c>
      <c r="G1405" s="46" t="n">
        <v>46238</v>
      </c>
      <c r="H1405" s="45" t="s">
        <v>169</v>
      </c>
      <c r="I1405" s="45"/>
      <c r="J1405" s="45"/>
      <c r="K1405" s="45" t="n">
        <v>0.3</v>
      </c>
      <c r="L1405" s="45" t="s">
        <v>263</v>
      </c>
      <c r="M1405" s="45" t="s">
        <v>259</v>
      </c>
      <c r="N1405" s="45" t="s">
        <v>169</v>
      </c>
      <c r="O1405" s="47" t="n">
        <v>46241.5280439815</v>
      </c>
      <c r="P1405" s="47" t="n">
        <v>46241.528287037</v>
      </c>
    </row>
    <row r="1406" customFormat="false" ht="15" hidden="false" customHeight="false" outlineLevel="0" collapsed="false">
      <c r="A1406" s="45" t="n">
        <v>1610</v>
      </c>
      <c r="B1406" s="46" t="n">
        <v>46241</v>
      </c>
      <c r="C1406" s="45" t="s">
        <v>133</v>
      </c>
      <c r="D1406" s="45" t="s">
        <v>134</v>
      </c>
      <c r="E1406" s="45" t="s">
        <v>1930</v>
      </c>
      <c r="F1406" s="45" t="s">
        <v>2925</v>
      </c>
      <c r="G1406" s="46" t="n">
        <v>46238</v>
      </c>
      <c r="H1406" s="45" t="s">
        <v>169</v>
      </c>
      <c r="I1406" s="45"/>
      <c r="J1406" s="45"/>
      <c r="K1406" s="45" t="n">
        <v>1.2</v>
      </c>
      <c r="L1406" s="45" t="s">
        <v>263</v>
      </c>
      <c r="M1406" s="45" t="s">
        <v>259</v>
      </c>
      <c r="N1406" s="45" t="s">
        <v>169</v>
      </c>
      <c r="O1406" s="47" t="n">
        <v>46241.5283101852</v>
      </c>
      <c r="P1406" s="47" t="n">
        <v>46241.5291782407</v>
      </c>
    </row>
    <row r="1407" customFormat="false" ht="15" hidden="false" customHeight="false" outlineLevel="0" collapsed="false">
      <c r="A1407" s="45" t="n">
        <v>1611</v>
      </c>
      <c r="B1407" s="46" t="n">
        <v>46241</v>
      </c>
      <c r="C1407" s="45" t="s">
        <v>133</v>
      </c>
      <c r="D1407" s="45" t="s">
        <v>134</v>
      </c>
      <c r="E1407" s="45" t="s">
        <v>405</v>
      </c>
      <c r="F1407" s="45" t="s">
        <v>2926</v>
      </c>
      <c r="G1407" s="46" t="n">
        <v>46238</v>
      </c>
      <c r="H1407" s="45" t="s">
        <v>169</v>
      </c>
      <c r="I1407" s="45"/>
      <c r="J1407" s="45"/>
      <c r="K1407" s="45" t="n">
        <v>2.1</v>
      </c>
      <c r="L1407" s="45" t="s">
        <v>263</v>
      </c>
      <c r="M1407" s="45" t="s">
        <v>259</v>
      </c>
      <c r="N1407" s="45" t="s">
        <v>169</v>
      </c>
      <c r="O1407" s="47" t="n">
        <v>46241.5292013889</v>
      </c>
      <c r="P1407" s="47" t="n">
        <v>46241.5306365741</v>
      </c>
    </row>
    <row r="1408" customFormat="false" ht="15" hidden="false" customHeight="false" outlineLevel="0" collapsed="false">
      <c r="A1408" s="45" t="n">
        <v>1612</v>
      </c>
      <c r="B1408" s="46" t="n">
        <v>46241</v>
      </c>
      <c r="C1408" s="45" t="s">
        <v>133</v>
      </c>
      <c r="D1408" s="45" t="s">
        <v>134</v>
      </c>
      <c r="E1408" s="45" t="s">
        <v>2542</v>
      </c>
      <c r="F1408" s="45" t="s">
        <v>2927</v>
      </c>
      <c r="G1408" s="46" t="n">
        <v>46239</v>
      </c>
      <c r="H1408" s="45" t="s">
        <v>167</v>
      </c>
      <c r="I1408" s="45" t="s">
        <v>176</v>
      </c>
      <c r="J1408" s="45" t="s">
        <v>2928</v>
      </c>
      <c r="K1408" s="45" t="n">
        <v>13.6</v>
      </c>
      <c r="L1408" s="45" t="s">
        <v>263</v>
      </c>
      <c r="M1408" s="45" t="s">
        <v>259</v>
      </c>
      <c r="N1408" s="45" t="s">
        <v>167</v>
      </c>
      <c r="O1408" s="47" t="n">
        <v>46241.5306597222</v>
      </c>
      <c r="P1408" s="47" t="n">
        <v>46241.5401041667</v>
      </c>
    </row>
    <row r="1409" customFormat="false" ht="15" hidden="false" customHeight="false" outlineLevel="0" collapsed="false">
      <c r="A1409" s="45" t="n">
        <v>1613</v>
      </c>
      <c r="B1409" s="46" t="n">
        <v>46241</v>
      </c>
      <c r="C1409" s="45" t="s">
        <v>133</v>
      </c>
      <c r="D1409" s="45" t="s">
        <v>134</v>
      </c>
      <c r="E1409" s="45" t="s">
        <v>2462</v>
      </c>
      <c r="F1409" s="45" t="s">
        <v>2929</v>
      </c>
      <c r="G1409" s="46" t="n">
        <v>46239</v>
      </c>
      <c r="H1409" s="45" t="s">
        <v>170</v>
      </c>
      <c r="I1409" s="45" t="s">
        <v>207</v>
      </c>
      <c r="J1409" s="45" t="s">
        <v>2930</v>
      </c>
      <c r="K1409" s="45" t="n">
        <v>7.7</v>
      </c>
      <c r="L1409" s="45" t="s">
        <v>263</v>
      </c>
      <c r="M1409" s="45" t="s">
        <v>259</v>
      </c>
      <c r="N1409" s="45" t="s">
        <v>2649</v>
      </c>
      <c r="O1409" s="47" t="n">
        <v>46241.5401388889</v>
      </c>
      <c r="P1409" s="47" t="n">
        <v>46241.545474537</v>
      </c>
    </row>
    <row r="1410" customFormat="false" ht="15" hidden="false" customHeight="false" outlineLevel="0" collapsed="false">
      <c r="A1410" s="45" t="n">
        <v>1614</v>
      </c>
      <c r="B1410" s="46" t="n">
        <v>46241</v>
      </c>
      <c r="C1410" s="45" t="s">
        <v>133</v>
      </c>
      <c r="D1410" s="45" t="s">
        <v>134</v>
      </c>
      <c r="E1410" s="45" t="s">
        <v>2462</v>
      </c>
      <c r="F1410" s="45" t="s">
        <v>2931</v>
      </c>
      <c r="G1410" s="46" t="n">
        <v>46239</v>
      </c>
      <c r="H1410" s="45" t="s">
        <v>167</v>
      </c>
      <c r="I1410" s="45" t="s">
        <v>176</v>
      </c>
      <c r="J1410" s="45" t="s">
        <v>2932</v>
      </c>
      <c r="K1410" s="45" t="n">
        <v>28.5</v>
      </c>
      <c r="L1410" s="45" t="s">
        <v>263</v>
      </c>
      <c r="M1410" s="45" t="s">
        <v>259</v>
      </c>
      <c r="N1410" s="45" t="s">
        <v>167</v>
      </c>
      <c r="O1410" s="47" t="n">
        <v>46241.5455208333</v>
      </c>
      <c r="P1410" s="47" t="n">
        <v>46241.5652893519</v>
      </c>
    </row>
    <row r="1411" customFormat="false" ht="15" hidden="false" customHeight="false" outlineLevel="0" collapsed="false">
      <c r="A1411" s="45" t="n">
        <v>1615</v>
      </c>
      <c r="B1411" s="46" t="n">
        <v>46241</v>
      </c>
      <c r="C1411" s="45" t="s">
        <v>133</v>
      </c>
      <c r="D1411" s="45" t="s">
        <v>134</v>
      </c>
      <c r="E1411" s="45" t="s">
        <v>2933</v>
      </c>
      <c r="F1411" s="45" t="s">
        <v>2934</v>
      </c>
      <c r="G1411" s="46" t="n">
        <v>46239</v>
      </c>
      <c r="H1411" s="45" t="s">
        <v>169</v>
      </c>
      <c r="I1411" s="45"/>
      <c r="J1411" s="45"/>
      <c r="K1411" s="45" t="n">
        <v>2.1</v>
      </c>
      <c r="L1411" s="45" t="s">
        <v>263</v>
      </c>
      <c r="M1411" s="45" t="s">
        <v>259</v>
      </c>
      <c r="N1411" s="45" t="s">
        <v>169</v>
      </c>
      <c r="O1411" s="47" t="n">
        <v>46241.5662037037</v>
      </c>
      <c r="P1411" s="47" t="n">
        <v>46241.567662037</v>
      </c>
    </row>
    <row r="1412" customFormat="false" ht="15" hidden="false" customHeight="false" outlineLevel="0" collapsed="false">
      <c r="A1412" s="45" t="n">
        <v>1616</v>
      </c>
      <c r="B1412" s="46" t="n">
        <v>46241</v>
      </c>
      <c r="C1412" s="45" t="s">
        <v>133</v>
      </c>
      <c r="D1412" s="45" t="s">
        <v>134</v>
      </c>
      <c r="E1412" s="45" t="s">
        <v>2462</v>
      </c>
      <c r="F1412" s="45" t="s">
        <v>2935</v>
      </c>
      <c r="G1412" s="46" t="n">
        <v>46239</v>
      </c>
      <c r="H1412" s="45" t="s">
        <v>167</v>
      </c>
      <c r="I1412" s="45" t="s">
        <v>179</v>
      </c>
      <c r="J1412" s="45" t="s">
        <v>2936</v>
      </c>
      <c r="K1412" s="45" t="n">
        <v>32.3</v>
      </c>
      <c r="L1412" s="45" t="s">
        <v>263</v>
      </c>
      <c r="M1412" s="45" t="s">
        <v>259</v>
      </c>
      <c r="N1412" s="45" t="s">
        <v>167</v>
      </c>
      <c r="O1412" s="47" t="n">
        <v>46241.5677314815</v>
      </c>
      <c r="P1412" s="47" t="n">
        <v>46241.5901851852</v>
      </c>
    </row>
    <row r="1413" customFormat="false" ht="15" hidden="false" customHeight="false" outlineLevel="0" collapsed="false">
      <c r="A1413" s="45" t="n">
        <v>1617</v>
      </c>
      <c r="B1413" s="46" t="n">
        <v>46241</v>
      </c>
      <c r="C1413" s="45" t="s">
        <v>133</v>
      </c>
      <c r="D1413" s="45" t="s">
        <v>134</v>
      </c>
      <c r="E1413" s="45" t="s">
        <v>2465</v>
      </c>
      <c r="F1413" s="45" t="s">
        <v>2937</v>
      </c>
      <c r="G1413" s="46" t="n">
        <v>46239</v>
      </c>
      <c r="H1413" s="45" t="s">
        <v>167</v>
      </c>
      <c r="I1413" s="45" t="s">
        <v>176</v>
      </c>
      <c r="J1413" s="45" t="s">
        <v>2938</v>
      </c>
      <c r="K1413" s="45" t="n">
        <v>8</v>
      </c>
      <c r="L1413" s="45" t="s">
        <v>263</v>
      </c>
      <c r="M1413" s="45" t="s">
        <v>259</v>
      </c>
      <c r="N1413" s="45" t="s">
        <v>167</v>
      </c>
      <c r="O1413" s="47" t="n">
        <v>46241.5902893519</v>
      </c>
      <c r="P1413" s="47" t="n">
        <v>46241.5958680556</v>
      </c>
    </row>
    <row r="1414" customFormat="false" ht="15" hidden="false" customHeight="false" outlineLevel="0" collapsed="false">
      <c r="A1414" s="45" t="n">
        <v>1618</v>
      </c>
      <c r="B1414" s="46" t="n">
        <v>46241</v>
      </c>
      <c r="C1414" s="45" t="s">
        <v>133</v>
      </c>
      <c r="D1414" s="45" t="s">
        <v>134</v>
      </c>
      <c r="E1414" s="45" t="s">
        <v>405</v>
      </c>
      <c r="F1414" s="45" t="s">
        <v>2939</v>
      </c>
      <c r="G1414" s="46" t="n">
        <v>46240</v>
      </c>
      <c r="H1414" s="45" t="s">
        <v>167</v>
      </c>
      <c r="I1414" s="45" t="s">
        <v>178</v>
      </c>
      <c r="J1414" s="45" t="s">
        <v>2940</v>
      </c>
      <c r="K1414" s="45" t="n">
        <v>27</v>
      </c>
      <c r="L1414" s="45" t="s">
        <v>263</v>
      </c>
      <c r="M1414" s="45" t="s">
        <v>259</v>
      </c>
      <c r="N1414" s="45" t="s">
        <v>167</v>
      </c>
      <c r="O1414" s="47" t="n">
        <v>46241.59625</v>
      </c>
      <c r="P1414" s="47" t="n">
        <v>46241.615</v>
      </c>
    </row>
    <row r="1415" customFormat="false" ht="15" hidden="false" customHeight="false" outlineLevel="0" collapsed="false">
      <c r="A1415" s="45" t="n">
        <v>1619</v>
      </c>
      <c r="B1415" s="46" t="n">
        <v>46241</v>
      </c>
      <c r="C1415" s="45" t="s">
        <v>133</v>
      </c>
      <c r="D1415" s="45" t="s">
        <v>134</v>
      </c>
      <c r="E1415" s="45" t="s">
        <v>2465</v>
      </c>
      <c r="F1415" s="45" t="s">
        <v>2941</v>
      </c>
      <c r="G1415" s="46" t="n">
        <v>46240</v>
      </c>
      <c r="H1415" s="45" t="s">
        <v>57</v>
      </c>
      <c r="I1415" s="45" t="s">
        <v>200</v>
      </c>
      <c r="J1415" s="45" t="s">
        <v>2942</v>
      </c>
      <c r="K1415" s="45" t="n">
        <v>21.6</v>
      </c>
      <c r="L1415" s="45" t="s">
        <v>263</v>
      </c>
      <c r="M1415" s="45" t="s">
        <v>259</v>
      </c>
      <c r="N1415" s="45" t="s">
        <v>57</v>
      </c>
      <c r="O1415" s="47" t="n">
        <v>46241.6150347222</v>
      </c>
      <c r="P1415" s="47" t="n">
        <v>46241.6300694444</v>
      </c>
    </row>
    <row r="1416" customFormat="false" ht="15" hidden="false" customHeight="false" outlineLevel="0" collapsed="false">
      <c r="A1416" s="45" t="n">
        <v>1620</v>
      </c>
      <c r="B1416" s="46" t="n">
        <v>46241</v>
      </c>
      <c r="C1416" s="45" t="s">
        <v>133</v>
      </c>
      <c r="D1416" s="45" t="s">
        <v>134</v>
      </c>
      <c r="E1416" s="45" t="s">
        <v>241</v>
      </c>
      <c r="F1416" s="45" t="s">
        <v>2943</v>
      </c>
      <c r="G1416" s="46" t="n">
        <v>46240</v>
      </c>
      <c r="H1416" s="45" t="s">
        <v>57</v>
      </c>
      <c r="I1416" s="45" t="s">
        <v>200</v>
      </c>
      <c r="J1416" s="45" t="s">
        <v>2944</v>
      </c>
      <c r="K1416" s="45" t="n">
        <v>8.1</v>
      </c>
      <c r="L1416" s="45" t="s">
        <v>263</v>
      </c>
      <c r="M1416" s="45" t="s">
        <v>259</v>
      </c>
      <c r="N1416" s="45" t="s">
        <v>57</v>
      </c>
      <c r="O1416" s="47" t="n">
        <v>46241.6301967593</v>
      </c>
      <c r="P1416" s="47" t="n">
        <v>46241.6358333333</v>
      </c>
    </row>
    <row r="1417" customFormat="false" ht="15" hidden="false" customHeight="false" outlineLevel="0" collapsed="false">
      <c r="A1417" s="45" t="n">
        <v>1621</v>
      </c>
      <c r="B1417" s="46" t="n">
        <v>46241</v>
      </c>
      <c r="C1417" s="45" t="s">
        <v>133</v>
      </c>
      <c r="D1417" s="45" t="s">
        <v>134</v>
      </c>
      <c r="E1417" s="45" t="s">
        <v>2594</v>
      </c>
      <c r="F1417" s="45" t="s">
        <v>2945</v>
      </c>
      <c r="G1417" s="46" t="n">
        <v>46240</v>
      </c>
      <c r="H1417" s="45" t="s">
        <v>167</v>
      </c>
      <c r="I1417" s="45" t="s">
        <v>177</v>
      </c>
      <c r="J1417" s="45" t="s">
        <v>2946</v>
      </c>
      <c r="K1417" s="45" t="n">
        <v>13.2</v>
      </c>
      <c r="L1417" s="45" t="s">
        <v>263</v>
      </c>
      <c r="M1417" s="45" t="s">
        <v>259</v>
      </c>
      <c r="N1417" s="45" t="s">
        <v>167</v>
      </c>
      <c r="O1417" s="47" t="n">
        <v>46241.6358680556</v>
      </c>
      <c r="P1417" s="47" t="n">
        <v>46241.6450694444</v>
      </c>
    </row>
    <row r="1418" customFormat="false" ht="15" hidden="false" customHeight="false" outlineLevel="0" collapsed="false">
      <c r="A1418" s="45" t="n">
        <v>1622</v>
      </c>
      <c r="B1418" s="46" t="n">
        <v>46241</v>
      </c>
      <c r="C1418" s="45" t="s">
        <v>133</v>
      </c>
      <c r="D1418" s="45" t="s">
        <v>134</v>
      </c>
      <c r="E1418" s="45" t="s">
        <v>241</v>
      </c>
      <c r="F1418" s="45" t="s">
        <v>2947</v>
      </c>
      <c r="G1418" s="46" t="n">
        <v>46240</v>
      </c>
      <c r="H1418" s="45" t="s">
        <v>57</v>
      </c>
      <c r="I1418" s="45" t="s">
        <v>201</v>
      </c>
      <c r="J1418" s="45" t="s">
        <v>2948</v>
      </c>
      <c r="K1418" s="45" t="n">
        <v>43.1</v>
      </c>
      <c r="L1418" s="45" t="s">
        <v>263</v>
      </c>
      <c r="M1418" s="45" t="s">
        <v>259</v>
      </c>
      <c r="N1418" s="45" t="s">
        <v>57</v>
      </c>
      <c r="O1418" s="47" t="n">
        <v>46241.645162037</v>
      </c>
      <c r="P1418" s="47" t="n">
        <v>46241.6750925926</v>
      </c>
    </row>
    <row r="1419" customFormat="false" ht="15" hidden="false" customHeight="false" outlineLevel="0" collapsed="false">
      <c r="A1419" s="45" t="n">
        <v>1623</v>
      </c>
      <c r="B1419" s="46" t="n">
        <v>46241</v>
      </c>
      <c r="C1419" s="45" t="s">
        <v>133</v>
      </c>
      <c r="D1419" s="45" t="s">
        <v>134</v>
      </c>
      <c r="E1419" s="45" t="s">
        <v>2462</v>
      </c>
      <c r="F1419" s="45" t="s">
        <v>2949</v>
      </c>
      <c r="G1419" s="46" t="n">
        <v>46234</v>
      </c>
      <c r="H1419" s="45" t="s">
        <v>169</v>
      </c>
      <c r="I1419" s="45"/>
      <c r="J1419" s="45"/>
      <c r="K1419" s="45" t="n">
        <v>0.8</v>
      </c>
      <c r="L1419" s="45" t="s">
        <v>263</v>
      </c>
      <c r="M1419" s="45" t="s">
        <v>259</v>
      </c>
      <c r="N1419" s="45" t="s">
        <v>169</v>
      </c>
      <c r="O1419" s="47" t="n">
        <v>46241.6787962963</v>
      </c>
      <c r="P1419" s="47" t="n">
        <v>46241.6793287037</v>
      </c>
    </row>
    <row r="1420" customFormat="false" ht="15" hidden="false" customHeight="false" outlineLevel="0" collapsed="false">
      <c r="A1420" s="45" t="n">
        <v>1624</v>
      </c>
      <c r="B1420" s="46" t="n">
        <v>46241</v>
      </c>
      <c r="C1420" s="45" t="s">
        <v>133</v>
      </c>
      <c r="D1420" s="45" t="s">
        <v>134</v>
      </c>
      <c r="E1420" s="45" t="s">
        <v>2539</v>
      </c>
      <c r="F1420" s="45" t="s">
        <v>2950</v>
      </c>
      <c r="G1420" s="46" t="n">
        <v>46229</v>
      </c>
      <c r="H1420" s="45" t="s">
        <v>169</v>
      </c>
      <c r="I1420" s="45"/>
      <c r="J1420" s="45"/>
      <c r="K1420" s="45" t="n">
        <v>2.3</v>
      </c>
      <c r="L1420" s="45" t="s">
        <v>263</v>
      </c>
      <c r="M1420" s="45" t="s">
        <v>259</v>
      </c>
      <c r="N1420" s="45" t="s">
        <v>169</v>
      </c>
      <c r="O1420" s="47" t="n">
        <v>46241.6803125</v>
      </c>
      <c r="P1420" s="47" t="n">
        <v>46241.6819097222</v>
      </c>
    </row>
    <row r="1421" customFormat="false" ht="15" hidden="false" customHeight="false" outlineLevel="0" collapsed="false">
      <c r="A1421" s="45" t="n">
        <v>1625</v>
      </c>
      <c r="B1421" s="46" t="n">
        <v>46241</v>
      </c>
      <c r="C1421" s="45" t="s">
        <v>131</v>
      </c>
      <c r="D1421" s="45" t="s">
        <v>132</v>
      </c>
      <c r="E1421" s="45" t="s">
        <v>2508</v>
      </c>
      <c r="F1421" s="45" t="s">
        <v>2951</v>
      </c>
      <c r="G1421" s="46" t="n">
        <v>46239</v>
      </c>
      <c r="H1421" s="45" t="s">
        <v>167</v>
      </c>
      <c r="I1421" s="45" t="s">
        <v>176</v>
      </c>
      <c r="J1421" s="45" t="s">
        <v>2952</v>
      </c>
      <c r="K1421" s="45" t="n">
        <v>16.1</v>
      </c>
      <c r="L1421" s="45" t="s">
        <v>263</v>
      </c>
      <c r="M1421" s="45" t="s">
        <v>259</v>
      </c>
      <c r="N1421" s="45" t="s">
        <v>167</v>
      </c>
      <c r="O1421" s="47" t="n">
        <v>46241.720474537</v>
      </c>
      <c r="P1421" s="47" t="n">
        <v>46241.7316319444</v>
      </c>
    </row>
    <row r="1422" customFormat="false" ht="15" hidden="false" customHeight="false" outlineLevel="0" collapsed="false">
      <c r="A1422" s="45" t="n">
        <v>1626</v>
      </c>
      <c r="B1422" s="46" t="n">
        <v>46241</v>
      </c>
      <c r="C1422" s="45" t="s">
        <v>131</v>
      </c>
      <c r="D1422" s="45" t="s">
        <v>132</v>
      </c>
      <c r="E1422" s="45" t="s">
        <v>2226</v>
      </c>
      <c r="F1422" s="45" t="s">
        <v>2953</v>
      </c>
      <c r="G1422" s="46" t="n">
        <v>46240</v>
      </c>
      <c r="H1422" s="45" t="s">
        <v>167</v>
      </c>
      <c r="I1422" s="45" t="s">
        <v>177</v>
      </c>
      <c r="J1422" s="45" t="s">
        <v>2954</v>
      </c>
      <c r="K1422" s="45" t="n">
        <v>0.6</v>
      </c>
      <c r="L1422" s="45" t="s">
        <v>263</v>
      </c>
      <c r="M1422" s="45" t="s">
        <v>259</v>
      </c>
      <c r="N1422" s="45" t="s">
        <v>167</v>
      </c>
      <c r="O1422" s="47" t="n">
        <v>46241.7483912037</v>
      </c>
      <c r="P1422" s="47" t="n">
        <v>46241.7488078704</v>
      </c>
    </row>
    <row r="1423" customFormat="false" ht="15" hidden="false" customHeight="false" outlineLevel="0" collapsed="false">
      <c r="A1423" s="45" t="n">
        <v>1627</v>
      </c>
      <c r="B1423" s="46" t="n">
        <v>46241</v>
      </c>
      <c r="C1423" s="45" t="s">
        <v>131</v>
      </c>
      <c r="D1423" s="45" t="s">
        <v>132</v>
      </c>
      <c r="E1423" s="45" t="s">
        <v>2508</v>
      </c>
      <c r="F1423" s="45" t="s">
        <v>2955</v>
      </c>
      <c r="G1423" s="46" t="n">
        <v>46240</v>
      </c>
      <c r="H1423" s="45" t="s">
        <v>167</v>
      </c>
      <c r="I1423" s="45" t="s">
        <v>176</v>
      </c>
      <c r="J1423" s="45" t="s">
        <v>2956</v>
      </c>
      <c r="K1423" s="45" t="n">
        <v>1.8</v>
      </c>
      <c r="L1423" s="45" t="s">
        <v>263</v>
      </c>
      <c r="M1423" s="45" t="s">
        <v>259</v>
      </c>
      <c r="N1423" s="45" t="s">
        <v>167</v>
      </c>
      <c r="O1423" s="47" t="n">
        <v>46241.7584953704</v>
      </c>
      <c r="P1423" s="47" t="n">
        <v>46241.7597106482</v>
      </c>
    </row>
    <row r="1424" customFormat="false" ht="15" hidden="false" customHeight="false" outlineLevel="0" collapsed="false">
      <c r="A1424" s="45" t="n">
        <v>1628</v>
      </c>
      <c r="B1424" s="46" t="n">
        <v>46241</v>
      </c>
      <c r="C1424" s="45" t="s">
        <v>131</v>
      </c>
      <c r="D1424" s="45" t="s">
        <v>132</v>
      </c>
      <c r="E1424" s="45" t="s">
        <v>2122</v>
      </c>
      <c r="F1424" s="45" t="s">
        <v>2957</v>
      </c>
      <c r="G1424" s="46" t="n">
        <v>46240</v>
      </c>
      <c r="H1424" s="45" t="s">
        <v>168</v>
      </c>
      <c r="I1424" s="45" t="s">
        <v>192</v>
      </c>
      <c r="J1424" s="45" t="s">
        <v>2958</v>
      </c>
      <c r="K1424" s="45" t="n">
        <v>1.5</v>
      </c>
      <c r="L1424" s="45" t="s">
        <v>263</v>
      </c>
      <c r="M1424" s="45" t="s">
        <v>259</v>
      </c>
      <c r="N1424" s="45" t="s">
        <v>2559</v>
      </c>
      <c r="O1424" s="47" t="n">
        <v>46241.8073958333</v>
      </c>
      <c r="P1424" s="47" t="n">
        <v>46241.8084143519</v>
      </c>
    </row>
    <row r="1425" customFormat="false" ht="15" hidden="false" customHeight="false" outlineLevel="0" collapsed="false">
      <c r="A1425" s="45" t="n">
        <v>1629</v>
      </c>
      <c r="B1425" s="46" t="n">
        <v>46241</v>
      </c>
      <c r="C1425" s="45" t="s">
        <v>131</v>
      </c>
      <c r="D1425" s="45" t="s">
        <v>132</v>
      </c>
      <c r="E1425" s="45" t="s">
        <v>2143</v>
      </c>
      <c r="F1425" s="45" t="s">
        <v>2959</v>
      </c>
      <c r="G1425" s="46" t="n">
        <v>46241</v>
      </c>
      <c r="H1425" s="45" t="s">
        <v>168</v>
      </c>
      <c r="I1425" s="45" t="s">
        <v>196</v>
      </c>
      <c r="J1425" s="45" t="s">
        <v>2960</v>
      </c>
      <c r="K1425" s="45" t="n">
        <v>1.2</v>
      </c>
      <c r="L1425" s="45" t="s">
        <v>263</v>
      </c>
      <c r="M1425" s="45" t="s">
        <v>259</v>
      </c>
      <c r="N1425" s="45" t="s">
        <v>2559</v>
      </c>
      <c r="O1425" s="47" t="n">
        <v>46241.8775810185</v>
      </c>
      <c r="P1425" s="47" t="n">
        <v>46241.8784375</v>
      </c>
    </row>
    <row r="1426" customFormat="false" ht="15" hidden="false" customHeight="false" outlineLevel="0" collapsed="false">
      <c r="A1426" s="45" t="n">
        <v>1630</v>
      </c>
      <c r="B1426" s="46" t="n">
        <v>46241</v>
      </c>
      <c r="C1426" s="45" t="s">
        <v>131</v>
      </c>
      <c r="D1426" s="45" t="s">
        <v>132</v>
      </c>
      <c r="E1426" s="45" t="s">
        <v>240</v>
      </c>
      <c r="F1426" s="45" t="s">
        <v>2961</v>
      </c>
      <c r="G1426" s="46" t="n">
        <v>46240</v>
      </c>
      <c r="H1426" s="45" t="s">
        <v>167</v>
      </c>
      <c r="I1426" s="45" t="s">
        <v>176</v>
      </c>
      <c r="J1426" s="45" t="s">
        <v>2962</v>
      </c>
      <c r="K1426" s="45" t="n">
        <v>12.3</v>
      </c>
      <c r="L1426" s="45" t="s">
        <v>259</v>
      </c>
      <c r="M1426" s="45" t="s">
        <v>259</v>
      </c>
      <c r="N1426" s="45" t="s">
        <v>167</v>
      </c>
      <c r="O1426" s="47" t="n">
        <v>46241.8831134259</v>
      </c>
      <c r="P1426" s="47" t="n">
        <v>46241.8916319445</v>
      </c>
    </row>
    <row r="1427" customFormat="false" ht="15" hidden="false" customHeight="false" outlineLevel="0" collapsed="false">
      <c r="A1427" s="45" t="n">
        <v>1631</v>
      </c>
      <c r="B1427" s="46" t="n">
        <v>46241</v>
      </c>
      <c r="C1427" s="45" t="s">
        <v>131</v>
      </c>
      <c r="D1427" s="45" t="s">
        <v>132</v>
      </c>
      <c r="E1427" s="45" t="s">
        <v>2122</v>
      </c>
      <c r="F1427" s="45" t="s">
        <v>2963</v>
      </c>
      <c r="G1427" s="46" t="n">
        <v>46241</v>
      </c>
      <c r="H1427" s="45" t="s">
        <v>167</v>
      </c>
      <c r="I1427" s="45" t="s">
        <v>178</v>
      </c>
      <c r="J1427" s="45" t="s">
        <v>2964</v>
      </c>
      <c r="K1427" s="45" t="n">
        <v>0.7</v>
      </c>
      <c r="L1427" s="45" t="s">
        <v>263</v>
      </c>
      <c r="M1427" s="45" t="s">
        <v>259</v>
      </c>
      <c r="N1427" s="45" t="s">
        <v>167</v>
      </c>
      <c r="O1427" s="47" t="n">
        <v>46241.9806018519</v>
      </c>
      <c r="P1427" s="47" t="n">
        <v>46241.981099537</v>
      </c>
    </row>
    <row r="1428" customFormat="false" ht="15" hidden="false" customHeight="false" outlineLevel="0" collapsed="false">
      <c r="A1428" s="45" t="n">
        <v>1632</v>
      </c>
      <c r="B1428" s="46" t="n">
        <v>46242</v>
      </c>
      <c r="C1428" s="45" t="s">
        <v>139</v>
      </c>
      <c r="D1428" s="45" t="s">
        <v>140</v>
      </c>
      <c r="E1428" s="45" t="s">
        <v>2652</v>
      </c>
      <c r="F1428" s="45" t="s">
        <v>2965</v>
      </c>
      <c r="G1428" s="46" t="n">
        <v>46240</v>
      </c>
      <c r="H1428" s="45" t="s">
        <v>168</v>
      </c>
      <c r="I1428" s="45" t="s">
        <v>192</v>
      </c>
      <c r="J1428" s="45" t="s">
        <v>2966</v>
      </c>
      <c r="K1428" s="45" t="n">
        <v>15.8</v>
      </c>
      <c r="L1428" s="45" t="s">
        <v>263</v>
      </c>
      <c r="M1428" s="45" t="s">
        <v>259</v>
      </c>
      <c r="N1428" s="45" t="s">
        <v>2559</v>
      </c>
      <c r="O1428" s="47" t="n">
        <v>46242.230462963</v>
      </c>
      <c r="P1428" s="47" t="n">
        <v>46242.2414583333</v>
      </c>
    </row>
    <row r="1429" customFormat="false" ht="15" hidden="false" customHeight="false" outlineLevel="0" collapsed="false">
      <c r="A1429" s="45" t="n">
        <v>1633</v>
      </c>
      <c r="B1429" s="46" t="n">
        <v>46242</v>
      </c>
      <c r="C1429" s="45" t="s">
        <v>139</v>
      </c>
      <c r="D1429" s="45" t="s">
        <v>140</v>
      </c>
      <c r="E1429" s="45" t="s">
        <v>2606</v>
      </c>
      <c r="F1429" s="45" t="s">
        <v>2967</v>
      </c>
      <c r="G1429" s="46" t="n">
        <v>46240</v>
      </c>
      <c r="H1429" s="45" t="s">
        <v>167</v>
      </c>
      <c r="I1429" s="45" t="s">
        <v>176</v>
      </c>
      <c r="J1429" s="45" t="s">
        <v>2968</v>
      </c>
      <c r="K1429" s="45" t="n">
        <v>0.7</v>
      </c>
      <c r="L1429" s="45" t="s">
        <v>259</v>
      </c>
      <c r="M1429" s="45" t="s">
        <v>259</v>
      </c>
      <c r="N1429" s="45" t="s">
        <v>167</v>
      </c>
      <c r="O1429" s="47" t="n">
        <v>46242.2415162037</v>
      </c>
      <c r="P1429" s="47" t="n">
        <v>46242.2419675926</v>
      </c>
    </row>
    <row r="1430" customFormat="false" ht="15" hidden="false" customHeight="false" outlineLevel="0" collapsed="false">
      <c r="A1430" s="45" t="n">
        <v>1634</v>
      </c>
      <c r="B1430" s="46" t="n">
        <v>46242</v>
      </c>
      <c r="C1430" s="45" t="s">
        <v>139</v>
      </c>
      <c r="D1430" s="45" t="s">
        <v>140</v>
      </c>
      <c r="E1430" s="45" t="s">
        <v>2606</v>
      </c>
      <c r="F1430" s="45" t="s">
        <v>2967</v>
      </c>
      <c r="G1430" s="46" t="n">
        <v>46240</v>
      </c>
      <c r="H1430" s="45" t="s">
        <v>167</v>
      </c>
      <c r="I1430" s="45" t="s">
        <v>180</v>
      </c>
      <c r="J1430" s="45" t="s">
        <v>2969</v>
      </c>
      <c r="K1430" s="45" t="n">
        <v>0.6</v>
      </c>
      <c r="L1430" s="45" t="s">
        <v>259</v>
      </c>
      <c r="M1430" s="45" t="s">
        <v>259</v>
      </c>
      <c r="N1430" s="45" t="s">
        <v>167</v>
      </c>
      <c r="O1430" s="47" t="n">
        <v>46242.2444212963</v>
      </c>
      <c r="P1430" s="47" t="n">
        <v>46242.2448148148</v>
      </c>
    </row>
    <row r="1431" customFormat="false" ht="15" hidden="false" customHeight="false" outlineLevel="0" collapsed="false">
      <c r="A1431" s="45" t="n">
        <v>1635</v>
      </c>
      <c r="B1431" s="46" t="n">
        <v>46242</v>
      </c>
      <c r="C1431" s="45" t="s">
        <v>149</v>
      </c>
      <c r="D1431" s="45" t="s">
        <v>150</v>
      </c>
      <c r="E1431" s="45" t="s">
        <v>2671</v>
      </c>
      <c r="F1431" s="45" t="s">
        <v>2970</v>
      </c>
      <c r="G1431" s="46" t="n">
        <v>46237</v>
      </c>
      <c r="H1431" s="45" t="s">
        <v>167</v>
      </c>
      <c r="I1431" s="45" t="s">
        <v>185</v>
      </c>
      <c r="J1431" s="45" t="s">
        <v>2971</v>
      </c>
      <c r="K1431" s="45" t="n">
        <v>40.2</v>
      </c>
      <c r="L1431" s="45" t="s">
        <v>263</v>
      </c>
      <c r="M1431" s="45" t="s">
        <v>259</v>
      </c>
      <c r="N1431" s="45" t="s">
        <v>167</v>
      </c>
      <c r="O1431" s="47" t="n">
        <v>46242.5766203704</v>
      </c>
      <c r="P1431" s="47" t="n">
        <v>46242.6045138889</v>
      </c>
    </row>
    <row r="1432" customFormat="false" ht="15" hidden="false" customHeight="false" outlineLevel="0" collapsed="false">
      <c r="A1432" s="45" t="n">
        <v>1636</v>
      </c>
      <c r="B1432" s="46" t="n">
        <v>46242</v>
      </c>
      <c r="C1432" s="45" t="s">
        <v>131</v>
      </c>
      <c r="D1432" s="45" t="s">
        <v>132</v>
      </c>
      <c r="E1432" s="45" t="s">
        <v>2226</v>
      </c>
      <c r="F1432" s="45" t="s">
        <v>2972</v>
      </c>
      <c r="G1432" s="46" t="n">
        <v>46241</v>
      </c>
      <c r="H1432" s="45" t="s">
        <v>167</v>
      </c>
      <c r="I1432" s="45" t="s">
        <v>176</v>
      </c>
      <c r="J1432" s="45" t="s">
        <v>2973</v>
      </c>
      <c r="K1432" s="45" t="n">
        <v>20.4</v>
      </c>
      <c r="L1432" s="45" t="s">
        <v>263</v>
      </c>
      <c r="M1432" s="45" t="s">
        <v>259</v>
      </c>
      <c r="N1432" s="45" t="s">
        <v>167</v>
      </c>
      <c r="O1432" s="47" t="n">
        <v>46242.7215277778</v>
      </c>
      <c r="P1432" s="47" t="n">
        <v>46242.7356597222</v>
      </c>
    </row>
    <row r="1433" customFormat="false" ht="15" hidden="false" customHeight="false" outlineLevel="0" collapsed="false">
      <c r="A1433" s="45" t="n">
        <v>1637</v>
      </c>
      <c r="B1433" s="46" t="n">
        <v>46242</v>
      </c>
      <c r="C1433" s="45" t="s">
        <v>131</v>
      </c>
      <c r="D1433" s="45" t="s">
        <v>132</v>
      </c>
      <c r="E1433" s="45" t="s">
        <v>2226</v>
      </c>
      <c r="F1433" s="45" t="s">
        <v>2974</v>
      </c>
      <c r="G1433" s="46" t="n">
        <v>46241</v>
      </c>
      <c r="H1433" s="45" t="s">
        <v>167</v>
      </c>
      <c r="I1433" s="45" t="s">
        <v>176</v>
      </c>
      <c r="J1433" s="45" t="s">
        <v>2975</v>
      </c>
      <c r="K1433" s="45" t="n">
        <v>12.2</v>
      </c>
      <c r="L1433" s="45" t="s">
        <v>263</v>
      </c>
      <c r="M1433" s="45" t="s">
        <v>259</v>
      </c>
      <c r="N1433" s="45" t="s">
        <v>167</v>
      </c>
      <c r="O1433" s="47" t="n">
        <v>46242.7369328704</v>
      </c>
      <c r="P1433" s="47" t="n">
        <v>46242.7454050926</v>
      </c>
    </row>
    <row r="1434" customFormat="false" ht="15" hidden="false" customHeight="false" outlineLevel="0" collapsed="false">
      <c r="A1434" s="45" t="n">
        <v>1638</v>
      </c>
      <c r="B1434" s="46" t="n">
        <v>46242</v>
      </c>
      <c r="C1434" s="45" t="s">
        <v>131</v>
      </c>
      <c r="D1434" s="45" t="s">
        <v>132</v>
      </c>
      <c r="E1434" s="45" t="s">
        <v>2127</v>
      </c>
      <c r="F1434" s="45" t="s">
        <v>2976</v>
      </c>
      <c r="G1434" s="46" t="n">
        <v>46241</v>
      </c>
      <c r="H1434" s="45" t="s">
        <v>57</v>
      </c>
      <c r="I1434" s="45" t="s">
        <v>201</v>
      </c>
      <c r="J1434" s="45" t="s">
        <v>2977</v>
      </c>
      <c r="K1434" s="45" t="n">
        <v>1.6</v>
      </c>
      <c r="L1434" s="45" t="s">
        <v>263</v>
      </c>
      <c r="M1434" s="45" t="s">
        <v>259</v>
      </c>
      <c r="N1434" s="45" t="s">
        <v>57</v>
      </c>
      <c r="O1434" s="47" t="n">
        <v>46242.7462615741</v>
      </c>
      <c r="P1434" s="47" t="n">
        <v>46242.7473726852</v>
      </c>
    </row>
    <row r="1435" customFormat="false" ht="15" hidden="false" customHeight="false" outlineLevel="0" collapsed="false">
      <c r="A1435" s="45" t="n">
        <v>1639</v>
      </c>
      <c r="B1435" s="46" t="n">
        <v>46242</v>
      </c>
      <c r="C1435" s="45" t="s">
        <v>131</v>
      </c>
      <c r="D1435" s="45" t="s">
        <v>132</v>
      </c>
      <c r="E1435" s="45" t="s">
        <v>2508</v>
      </c>
      <c r="F1435" s="45" t="s">
        <v>2978</v>
      </c>
      <c r="G1435" s="46" t="n">
        <v>46241</v>
      </c>
      <c r="H1435" s="45" t="s">
        <v>167</v>
      </c>
      <c r="I1435" s="45" t="s">
        <v>181</v>
      </c>
      <c r="J1435" s="45" t="s">
        <v>2979</v>
      </c>
      <c r="K1435" s="45" t="n">
        <v>6.2</v>
      </c>
      <c r="L1435" s="45" t="s">
        <v>263</v>
      </c>
      <c r="M1435" s="45" t="s">
        <v>259</v>
      </c>
      <c r="N1435" s="45" t="s">
        <v>167</v>
      </c>
      <c r="O1435" s="47" t="n">
        <v>46242.7504282407</v>
      </c>
      <c r="P1435" s="47" t="n">
        <v>46242.7547337963</v>
      </c>
    </row>
    <row r="1436" customFormat="false" ht="15" hidden="false" customHeight="false" outlineLevel="0" collapsed="false">
      <c r="A1436" s="45" t="n">
        <v>1640</v>
      </c>
      <c r="B1436" s="46" t="n">
        <v>46242</v>
      </c>
      <c r="C1436" s="45" t="s">
        <v>131</v>
      </c>
      <c r="D1436" s="45" t="s">
        <v>132</v>
      </c>
      <c r="E1436" s="45" t="s">
        <v>2508</v>
      </c>
      <c r="F1436" s="45" t="s">
        <v>2980</v>
      </c>
      <c r="G1436" s="46" t="n">
        <v>46241</v>
      </c>
      <c r="H1436" s="45" t="s">
        <v>167</v>
      </c>
      <c r="I1436" s="45" t="s">
        <v>177</v>
      </c>
      <c r="J1436" s="45" t="s">
        <v>2981</v>
      </c>
      <c r="K1436" s="45" t="n">
        <v>3.7</v>
      </c>
      <c r="L1436" s="45" t="s">
        <v>263</v>
      </c>
      <c r="M1436" s="45" t="s">
        <v>259</v>
      </c>
      <c r="N1436" s="45" t="s">
        <v>167</v>
      </c>
      <c r="O1436" s="47" t="n">
        <v>46242.7605092593</v>
      </c>
      <c r="P1436" s="47" t="n">
        <v>46242.7630787037</v>
      </c>
    </row>
    <row r="1437" customFormat="false" ht="15" hidden="false" customHeight="false" outlineLevel="0" collapsed="false">
      <c r="A1437" s="45" t="n">
        <v>1641</v>
      </c>
      <c r="B1437" s="46" t="n">
        <v>46242</v>
      </c>
      <c r="C1437" s="45" t="s">
        <v>131</v>
      </c>
      <c r="D1437" s="45" t="s">
        <v>132</v>
      </c>
      <c r="E1437" s="45" t="s">
        <v>240</v>
      </c>
      <c r="F1437" s="45" t="s">
        <v>2961</v>
      </c>
      <c r="G1437" s="46" t="n">
        <v>46240</v>
      </c>
      <c r="H1437" s="45" t="s">
        <v>167</v>
      </c>
      <c r="I1437" s="45" t="s">
        <v>176</v>
      </c>
      <c r="J1437" s="45" t="s">
        <v>2982</v>
      </c>
      <c r="K1437" s="45" t="n">
        <v>3.1</v>
      </c>
      <c r="L1437" s="45" t="s">
        <v>259</v>
      </c>
      <c r="M1437" s="45" t="s">
        <v>259</v>
      </c>
      <c r="N1437" s="45" t="s">
        <v>167</v>
      </c>
      <c r="O1437" s="47" t="n">
        <v>46242.7649305556</v>
      </c>
      <c r="P1437" s="47" t="n">
        <v>46242.7670601852</v>
      </c>
    </row>
    <row r="1438" customFormat="false" ht="15" hidden="false" customHeight="false" outlineLevel="0" collapsed="false">
      <c r="A1438" s="45" t="n">
        <v>1643</v>
      </c>
      <c r="B1438" s="46" t="n">
        <v>46243</v>
      </c>
      <c r="C1438" s="45" t="s">
        <v>141</v>
      </c>
      <c r="D1438" s="45" t="s">
        <v>142</v>
      </c>
      <c r="E1438" s="45" t="s">
        <v>917</v>
      </c>
      <c r="F1438" s="45" t="s">
        <v>2983</v>
      </c>
      <c r="G1438" s="46" t="n">
        <v>46233</v>
      </c>
      <c r="H1438" s="45" t="s">
        <v>57</v>
      </c>
      <c r="I1438" s="45" t="s">
        <v>200</v>
      </c>
      <c r="J1438" s="45" t="s">
        <v>2984</v>
      </c>
      <c r="K1438" s="45" t="n">
        <v>81.6</v>
      </c>
      <c r="L1438" s="45" t="s">
        <v>263</v>
      </c>
      <c r="M1438" s="45" t="s">
        <v>259</v>
      </c>
      <c r="N1438" s="45" t="s">
        <v>57</v>
      </c>
      <c r="O1438" s="47" t="n">
        <v>46243.1243981482</v>
      </c>
      <c r="P1438" s="47" t="n">
        <v>46243.1810648148</v>
      </c>
    </row>
    <row r="1439" customFormat="false" ht="15" hidden="false" customHeight="false" outlineLevel="0" collapsed="false">
      <c r="A1439" s="45" t="n">
        <v>1644</v>
      </c>
      <c r="B1439" s="46" t="n">
        <v>46243</v>
      </c>
      <c r="C1439" s="45" t="s">
        <v>141</v>
      </c>
      <c r="D1439" s="45" t="s">
        <v>142</v>
      </c>
      <c r="E1439" s="45" t="s">
        <v>227</v>
      </c>
      <c r="F1439" s="45" t="s">
        <v>2985</v>
      </c>
      <c r="G1439" s="46" t="n">
        <v>46231</v>
      </c>
      <c r="H1439" s="45" t="s">
        <v>170</v>
      </c>
      <c r="I1439" s="45" t="s">
        <v>206</v>
      </c>
      <c r="J1439" s="45" t="s">
        <v>2986</v>
      </c>
      <c r="K1439" s="45" t="n">
        <v>2.5</v>
      </c>
      <c r="L1439" s="45" t="s">
        <v>263</v>
      </c>
      <c r="M1439" s="45" t="s">
        <v>259</v>
      </c>
      <c r="N1439" s="45" t="s">
        <v>2649</v>
      </c>
      <c r="O1439" s="47" t="n">
        <v>46243.2604976852</v>
      </c>
      <c r="P1439" s="47" t="n">
        <v>46243.2622222222</v>
      </c>
    </row>
    <row r="1440" customFormat="false" ht="15" hidden="false" customHeight="false" outlineLevel="0" collapsed="false">
      <c r="A1440" s="45" t="n">
        <v>1645</v>
      </c>
      <c r="B1440" s="46" t="n">
        <v>46243</v>
      </c>
      <c r="C1440" s="45" t="s">
        <v>141</v>
      </c>
      <c r="D1440" s="45" t="s">
        <v>142</v>
      </c>
      <c r="E1440" s="45" t="s">
        <v>227</v>
      </c>
      <c r="F1440" s="45" t="s">
        <v>2987</v>
      </c>
      <c r="G1440" s="46" t="n">
        <v>46231</v>
      </c>
      <c r="H1440" s="45" t="s">
        <v>168</v>
      </c>
      <c r="I1440" s="45" t="s">
        <v>193</v>
      </c>
      <c r="J1440" s="45" t="s">
        <v>2988</v>
      </c>
      <c r="K1440" s="45" t="n">
        <v>0.6</v>
      </c>
      <c r="L1440" s="45" t="s">
        <v>263</v>
      </c>
      <c r="M1440" s="45" t="s">
        <v>259</v>
      </c>
      <c r="N1440" s="45" t="s">
        <v>2559</v>
      </c>
      <c r="O1440" s="47" t="n">
        <v>46243.2690162037</v>
      </c>
      <c r="P1440" s="47" t="n">
        <v>46243.2693981482</v>
      </c>
    </row>
    <row r="1441" customFormat="false" ht="15" hidden="false" customHeight="false" outlineLevel="0" collapsed="false">
      <c r="A1441" s="45" t="n">
        <v>1646</v>
      </c>
      <c r="B1441" s="46" t="n">
        <v>46243</v>
      </c>
      <c r="C1441" s="45" t="s">
        <v>141</v>
      </c>
      <c r="D1441" s="45" t="s">
        <v>142</v>
      </c>
      <c r="E1441" s="45" t="s">
        <v>227</v>
      </c>
      <c r="F1441" s="45" t="s">
        <v>2989</v>
      </c>
      <c r="G1441" s="46" t="n">
        <v>46238</v>
      </c>
      <c r="H1441" s="45" t="s">
        <v>167</v>
      </c>
      <c r="I1441" s="45" t="s">
        <v>176</v>
      </c>
      <c r="J1441" s="45" t="s">
        <v>2990</v>
      </c>
      <c r="K1441" s="45" t="n">
        <v>18.8</v>
      </c>
      <c r="L1441" s="45" t="s">
        <v>263</v>
      </c>
      <c r="M1441" s="45" t="s">
        <v>259</v>
      </c>
      <c r="N1441" s="45" t="s">
        <v>167</v>
      </c>
      <c r="O1441" s="47" t="n">
        <v>46243.2696875</v>
      </c>
      <c r="P1441" s="47" t="n">
        <v>46243.2827314815</v>
      </c>
    </row>
    <row r="1442" customFormat="false" ht="15" hidden="false" customHeight="false" outlineLevel="0" collapsed="false">
      <c r="A1442" s="45" t="n">
        <v>1647</v>
      </c>
      <c r="B1442" s="46" t="n">
        <v>46243</v>
      </c>
      <c r="C1442" s="45" t="s">
        <v>131</v>
      </c>
      <c r="D1442" s="45" t="s">
        <v>132</v>
      </c>
      <c r="E1442" s="45" t="s">
        <v>2226</v>
      </c>
      <c r="F1442" s="45" t="s">
        <v>2991</v>
      </c>
      <c r="G1442" s="46" t="n">
        <v>46242</v>
      </c>
      <c r="H1442" s="45" t="s">
        <v>167</v>
      </c>
      <c r="I1442" s="45" t="s">
        <v>176</v>
      </c>
      <c r="J1442" s="45" t="s">
        <v>2992</v>
      </c>
      <c r="K1442" s="45" t="n">
        <v>2.4</v>
      </c>
      <c r="L1442" s="45" t="s">
        <v>263</v>
      </c>
      <c r="M1442" s="45" t="s">
        <v>259</v>
      </c>
      <c r="N1442" s="45" t="s">
        <v>167</v>
      </c>
      <c r="O1442" s="47" t="n">
        <v>46243.8254398148</v>
      </c>
      <c r="P1442" s="47" t="n">
        <v>46243.8270949074</v>
      </c>
    </row>
    <row r="1443" customFormat="false" ht="15" hidden="false" customHeight="false" outlineLevel="0" collapsed="false">
      <c r="A1443" s="45" t="n">
        <v>1648</v>
      </c>
      <c r="B1443" s="46" t="n">
        <v>46243</v>
      </c>
      <c r="C1443" s="45" t="s">
        <v>131</v>
      </c>
      <c r="D1443" s="45" t="s">
        <v>132</v>
      </c>
      <c r="E1443" s="45" t="s">
        <v>487</v>
      </c>
      <c r="F1443" s="45" t="s">
        <v>2993</v>
      </c>
      <c r="G1443" s="46" t="n">
        <v>46242</v>
      </c>
      <c r="H1443" s="45" t="s">
        <v>168</v>
      </c>
      <c r="I1443" s="45" t="s">
        <v>194</v>
      </c>
      <c r="J1443" s="45" t="s">
        <v>2994</v>
      </c>
      <c r="K1443" s="45" t="n">
        <v>1.6</v>
      </c>
      <c r="L1443" s="45" t="s">
        <v>263</v>
      </c>
      <c r="M1443" s="45" t="s">
        <v>259</v>
      </c>
      <c r="N1443" s="45" t="s">
        <v>2559</v>
      </c>
      <c r="O1443" s="47" t="n">
        <v>46243.8271180556</v>
      </c>
      <c r="P1443" s="47" t="n">
        <v>46243.8282175926</v>
      </c>
    </row>
    <row r="1444" customFormat="false" ht="15" hidden="false" customHeight="false" outlineLevel="0" collapsed="false">
      <c r="A1444" s="45" t="n">
        <v>1649</v>
      </c>
      <c r="B1444" s="46" t="n">
        <v>46243</v>
      </c>
      <c r="C1444" s="45" t="s">
        <v>131</v>
      </c>
      <c r="D1444" s="45" t="s">
        <v>132</v>
      </c>
      <c r="E1444" s="45" t="s">
        <v>2508</v>
      </c>
      <c r="F1444" s="45" t="s">
        <v>2995</v>
      </c>
      <c r="G1444" s="46" t="n">
        <v>46241</v>
      </c>
      <c r="H1444" s="45" t="s">
        <v>167</v>
      </c>
      <c r="I1444" s="45" t="s">
        <v>176</v>
      </c>
      <c r="J1444" s="45" t="s">
        <v>2996</v>
      </c>
      <c r="K1444" s="45" t="n">
        <v>7.5</v>
      </c>
      <c r="L1444" s="45" t="s">
        <v>263</v>
      </c>
      <c r="M1444" s="45" t="s">
        <v>259</v>
      </c>
      <c r="N1444" s="45" t="s">
        <v>167</v>
      </c>
      <c r="O1444" s="47" t="n">
        <v>46243.8285763889</v>
      </c>
      <c r="P1444" s="47" t="n">
        <v>46243.8337962963</v>
      </c>
    </row>
    <row r="1445" customFormat="false" ht="15" hidden="false" customHeight="false" outlineLevel="0" collapsed="false">
      <c r="A1445" s="45" t="n">
        <v>1650</v>
      </c>
      <c r="B1445" s="46" t="n">
        <v>46243</v>
      </c>
      <c r="C1445" s="45" t="s">
        <v>131</v>
      </c>
      <c r="D1445" s="45" t="s">
        <v>132</v>
      </c>
      <c r="E1445" s="45" t="s">
        <v>2508</v>
      </c>
      <c r="F1445" s="45" t="s">
        <v>2997</v>
      </c>
      <c r="G1445" s="46" t="n">
        <v>46242</v>
      </c>
      <c r="H1445" s="45" t="s">
        <v>167</v>
      </c>
      <c r="I1445" s="45" t="s">
        <v>176</v>
      </c>
      <c r="J1445" s="45" t="s">
        <v>2998</v>
      </c>
      <c r="K1445" s="45" t="n">
        <v>1.4</v>
      </c>
      <c r="L1445" s="45" t="s">
        <v>263</v>
      </c>
      <c r="M1445" s="45" t="s">
        <v>259</v>
      </c>
      <c r="N1445" s="45" t="s">
        <v>167</v>
      </c>
      <c r="O1445" s="47" t="n">
        <v>46243.8352083333</v>
      </c>
      <c r="P1445" s="47" t="n">
        <v>46243.8361805556</v>
      </c>
    </row>
    <row r="1446" customFormat="false" ht="15" hidden="false" customHeight="false" outlineLevel="0" collapsed="false">
      <c r="A1446" s="45" t="n">
        <v>1651</v>
      </c>
      <c r="B1446" s="46" t="n">
        <v>46243</v>
      </c>
      <c r="C1446" s="45" t="s">
        <v>141</v>
      </c>
      <c r="D1446" s="45" t="s">
        <v>142</v>
      </c>
      <c r="E1446" s="45" t="s">
        <v>284</v>
      </c>
      <c r="F1446" s="45" t="s">
        <v>2999</v>
      </c>
      <c r="G1446" s="46" t="n">
        <v>46232</v>
      </c>
      <c r="H1446" s="45" t="s">
        <v>169</v>
      </c>
      <c r="I1446" s="45"/>
      <c r="J1446" s="45"/>
      <c r="K1446" s="45" t="n">
        <v>0.1</v>
      </c>
      <c r="L1446" s="45" t="s">
        <v>263</v>
      </c>
      <c r="M1446" s="45" t="s">
        <v>259</v>
      </c>
      <c r="N1446" s="45" t="s">
        <v>169</v>
      </c>
      <c r="O1446" s="47" t="n">
        <v>46243.995474537</v>
      </c>
      <c r="P1446" s="47" t="n">
        <v>46243.9955787037</v>
      </c>
    </row>
    <row r="1447" customFormat="false" ht="15" hidden="false" customHeight="false" outlineLevel="0" collapsed="false">
      <c r="A1447" s="45" t="n">
        <v>1653</v>
      </c>
      <c r="B1447" s="46" t="n">
        <v>46243</v>
      </c>
      <c r="C1447" s="45" t="s">
        <v>141</v>
      </c>
      <c r="D1447" s="45" t="s">
        <v>142</v>
      </c>
      <c r="E1447" s="45" t="s">
        <v>227</v>
      </c>
      <c r="F1447" s="45" t="s">
        <v>3000</v>
      </c>
      <c r="G1447" s="46" t="n">
        <v>46240</v>
      </c>
      <c r="H1447" s="45" t="s">
        <v>168</v>
      </c>
      <c r="I1447" s="45" t="s">
        <v>192</v>
      </c>
      <c r="J1447" s="45" t="s">
        <v>3001</v>
      </c>
      <c r="K1447" s="45" t="n">
        <v>132.5</v>
      </c>
      <c r="L1447" s="45" t="s">
        <v>263</v>
      </c>
      <c r="M1447" s="45" t="s">
        <v>259</v>
      </c>
      <c r="N1447" s="45" t="s">
        <v>2559</v>
      </c>
      <c r="O1447" s="47" t="n">
        <v>46243.9956134259</v>
      </c>
      <c r="P1447" s="47" t="n">
        <v>46244.0876273148</v>
      </c>
    </row>
    <row r="1448" customFormat="false" ht="15" hidden="false" customHeight="false" outlineLevel="0" collapsed="false">
      <c r="A1448" s="45" t="n">
        <v>1652</v>
      </c>
      <c r="B1448" s="46" t="n">
        <v>46244</v>
      </c>
      <c r="C1448" s="45" t="s">
        <v>139</v>
      </c>
      <c r="D1448" s="45" t="s">
        <v>140</v>
      </c>
      <c r="E1448" s="45" t="s">
        <v>2801</v>
      </c>
      <c r="F1448" s="45" t="s">
        <v>3002</v>
      </c>
      <c r="G1448" s="46" t="n">
        <v>46240</v>
      </c>
      <c r="H1448" s="45" t="s">
        <v>167</v>
      </c>
      <c r="I1448" s="45" t="s">
        <v>176</v>
      </c>
      <c r="J1448" s="45" t="s">
        <v>3003</v>
      </c>
      <c r="K1448" s="45" t="n">
        <v>0.6</v>
      </c>
      <c r="L1448" s="45" t="s">
        <v>263</v>
      </c>
      <c r="M1448" s="45" t="s">
        <v>259</v>
      </c>
      <c r="N1448" s="45" t="s">
        <v>167</v>
      </c>
      <c r="O1448" s="47" t="n">
        <v>46244.0593055556</v>
      </c>
      <c r="P1448" s="47" t="n">
        <v>46244.0596875</v>
      </c>
    </row>
    <row r="1449" customFormat="false" ht="15" hidden="false" customHeight="false" outlineLevel="0" collapsed="false">
      <c r="A1449" s="45" t="n">
        <v>1654</v>
      </c>
      <c r="B1449" s="46" t="n">
        <v>46244</v>
      </c>
      <c r="C1449" s="45" t="s">
        <v>139</v>
      </c>
      <c r="D1449" s="45" t="s">
        <v>140</v>
      </c>
      <c r="E1449" s="45" t="s">
        <v>2652</v>
      </c>
      <c r="F1449" s="45" t="s">
        <v>3004</v>
      </c>
      <c r="G1449" s="46" t="n">
        <v>46241</v>
      </c>
      <c r="H1449" s="45" t="s">
        <v>168</v>
      </c>
      <c r="I1449" s="45" t="s">
        <v>191</v>
      </c>
      <c r="J1449" s="45" t="s">
        <v>3005</v>
      </c>
      <c r="K1449" s="45" t="n">
        <v>2.1</v>
      </c>
      <c r="L1449" s="45" t="s">
        <v>263</v>
      </c>
      <c r="M1449" s="45" t="s">
        <v>259</v>
      </c>
      <c r="N1449" s="45" t="s">
        <v>2559</v>
      </c>
      <c r="O1449" s="47" t="n">
        <v>46244.0891898148</v>
      </c>
      <c r="P1449" s="47" t="n">
        <v>46244.0906597222</v>
      </c>
    </row>
    <row r="1450" customFormat="false" ht="15" hidden="false" customHeight="false" outlineLevel="0" collapsed="false">
      <c r="A1450" s="45" t="n">
        <v>1655</v>
      </c>
      <c r="B1450" s="46" t="n">
        <v>46244</v>
      </c>
      <c r="C1450" s="45" t="s">
        <v>141</v>
      </c>
      <c r="D1450" s="45" t="s">
        <v>142</v>
      </c>
      <c r="E1450" s="45" t="s">
        <v>1704</v>
      </c>
      <c r="F1450" s="45" t="s">
        <v>3006</v>
      </c>
      <c r="G1450" s="46" t="n">
        <v>46235</v>
      </c>
      <c r="H1450" s="45" t="s">
        <v>167</v>
      </c>
      <c r="I1450" s="45" t="s">
        <v>178</v>
      </c>
      <c r="J1450" s="45" t="s">
        <v>3007</v>
      </c>
      <c r="K1450" s="45" t="n">
        <v>0.5</v>
      </c>
      <c r="L1450" s="45" t="s">
        <v>263</v>
      </c>
      <c r="M1450" s="45" t="s">
        <v>259</v>
      </c>
      <c r="N1450" s="45" t="s">
        <v>167</v>
      </c>
      <c r="O1450" s="47" t="n">
        <v>46244.0973148148</v>
      </c>
      <c r="P1450" s="47" t="n">
        <v>46244.0976851852</v>
      </c>
    </row>
    <row r="1451" customFormat="false" ht="15" hidden="false" customHeight="false" outlineLevel="0" collapsed="false">
      <c r="A1451" s="45" t="n">
        <v>1656</v>
      </c>
      <c r="B1451" s="46" t="n">
        <v>46244</v>
      </c>
      <c r="C1451" s="45" t="s">
        <v>141</v>
      </c>
      <c r="D1451" s="45" t="s">
        <v>142</v>
      </c>
      <c r="E1451" s="45" t="s">
        <v>231</v>
      </c>
      <c r="F1451" s="45" t="s">
        <v>3008</v>
      </c>
      <c r="G1451" s="46" t="n">
        <v>46231</v>
      </c>
      <c r="H1451" s="45" t="s">
        <v>169</v>
      </c>
      <c r="I1451" s="45"/>
      <c r="J1451" s="45"/>
      <c r="K1451" s="45" t="n">
        <v>0.1</v>
      </c>
      <c r="L1451" s="45" t="s">
        <v>259</v>
      </c>
      <c r="M1451" s="45" t="s">
        <v>259</v>
      </c>
      <c r="N1451" s="45" t="s">
        <v>169</v>
      </c>
      <c r="O1451" s="47" t="n">
        <v>46244.1238425926</v>
      </c>
      <c r="P1451" s="47" t="n">
        <v>46244.1239351852</v>
      </c>
    </row>
    <row r="1452" customFormat="false" ht="15" hidden="false" customHeight="false" outlineLevel="0" collapsed="false">
      <c r="A1452" s="45" t="n">
        <v>1657</v>
      </c>
      <c r="B1452" s="46" t="n">
        <v>46244</v>
      </c>
      <c r="C1452" s="45" t="s">
        <v>141</v>
      </c>
      <c r="D1452" s="45" t="s">
        <v>142</v>
      </c>
      <c r="E1452" s="45" t="s">
        <v>231</v>
      </c>
      <c r="F1452" s="45" t="s">
        <v>3008</v>
      </c>
      <c r="G1452" s="46" t="n">
        <v>46231</v>
      </c>
      <c r="H1452" s="45" t="s">
        <v>167</v>
      </c>
      <c r="I1452" s="45" t="s">
        <v>178</v>
      </c>
      <c r="J1452" s="45" t="s">
        <v>3009</v>
      </c>
      <c r="K1452" s="45" t="n">
        <v>0.9</v>
      </c>
      <c r="L1452" s="45" t="s">
        <v>259</v>
      </c>
      <c r="M1452" s="45" t="s">
        <v>259</v>
      </c>
      <c r="N1452" s="45" t="s">
        <v>167</v>
      </c>
      <c r="O1452" s="47" t="n">
        <v>46244.1317939815</v>
      </c>
      <c r="P1452" s="47" t="n">
        <v>46244.1324074074</v>
      </c>
    </row>
    <row r="1453" customFormat="false" ht="15" hidden="false" customHeight="false" outlineLevel="0" collapsed="false">
      <c r="A1453" s="45" t="n">
        <v>1658</v>
      </c>
      <c r="B1453" s="46" t="n">
        <v>46244</v>
      </c>
      <c r="C1453" s="45" t="s">
        <v>141</v>
      </c>
      <c r="D1453" s="45" t="s">
        <v>142</v>
      </c>
      <c r="E1453" s="45" t="s">
        <v>3010</v>
      </c>
      <c r="F1453" s="45" t="s">
        <v>3011</v>
      </c>
      <c r="G1453" s="46" t="n">
        <v>46237</v>
      </c>
      <c r="H1453" s="45" t="s">
        <v>167</v>
      </c>
      <c r="I1453" s="45" t="s">
        <v>176</v>
      </c>
      <c r="J1453" s="45" t="s">
        <v>3012</v>
      </c>
      <c r="K1453" s="45" t="n">
        <v>92.9</v>
      </c>
      <c r="L1453" s="45" t="s">
        <v>263</v>
      </c>
      <c r="M1453" s="45" t="s">
        <v>263</v>
      </c>
      <c r="N1453" s="45" t="s">
        <v>167</v>
      </c>
      <c r="O1453" s="47" t="n">
        <v>46244.1324537037</v>
      </c>
      <c r="P1453" s="47" t="n">
        <v>46244.1969675926</v>
      </c>
    </row>
    <row r="1454" customFormat="false" ht="15" hidden="false" customHeight="false" outlineLevel="0" collapsed="false">
      <c r="A1454" s="45" t="n">
        <v>1659</v>
      </c>
      <c r="B1454" s="46" t="n">
        <v>46244</v>
      </c>
      <c r="C1454" s="45" t="s">
        <v>133</v>
      </c>
      <c r="D1454" s="45" t="s">
        <v>134</v>
      </c>
      <c r="E1454" s="45" t="s">
        <v>2537</v>
      </c>
      <c r="F1454" s="45" t="s">
        <v>3013</v>
      </c>
      <c r="G1454" s="46" t="n">
        <v>46242</v>
      </c>
      <c r="H1454" s="45" t="s">
        <v>167</v>
      </c>
      <c r="I1454" s="45" t="s">
        <v>176</v>
      </c>
      <c r="J1454" s="45" t="s">
        <v>3014</v>
      </c>
      <c r="K1454" s="45" t="n">
        <v>4</v>
      </c>
      <c r="L1454" s="45" t="s">
        <v>263</v>
      </c>
      <c r="M1454" s="45" t="s">
        <v>259</v>
      </c>
      <c r="N1454" s="45" t="s">
        <v>167</v>
      </c>
      <c r="O1454" s="47" t="n">
        <v>46244.2106597222</v>
      </c>
      <c r="P1454" s="47" t="n">
        <v>46244.2134027778</v>
      </c>
    </row>
    <row r="1455" customFormat="false" ht="15" hidden="false" customHeight="false" outlineLevel="0" collapsed="false">
      <c r="A1455" s="45" t="n">
        <v>1660</v>
      </c>
      <c r="B1455" s="46" t="n">
        <v>46244</v>
      </c>
      <c r="C1455" s="45" t="s">
        <v>133</v>
      </c>
      <c r="D1455" s="45" t="s">
        <v>134</v>
      </c>
      <c r="E1455" s="45" t="s">
        <v>2591</v>
      </c>
      <c r="F1455" s="45" t="s">
        <v>2907</v>
      </c>
      <c r="G1455" s="46" t="n">
        <v>46236</v>
      </c>
      <c r="H1455" s="45" t="s">
        <v>167</v>
      </c>
      <c r="I1455" s="45" t="s">
        <v>176</v>
      </c>
      <c r="J1455" s="45" t="s">
        <v>3015</v>
      </c>
      <c r="K1455" s="45" t="n">
        <v>2.3</v>
      </c>
      <c r="L1455" s="45" t="s">
        <v>259</v>
      </c>
      <c r="M1455" s="45" t="s">
        <v>259</v>
      </c>
      <c r="N1455" s="45" t="s">
        <v>167</v>
      </c>
      <c r="O1455" s="47" t="n">
        <v>46244.2134375</v>
      </c>
      <c r="P1455" s="47" t="n">
        <v>46244.2150578704</v>
      </c>
    </row>
    <row r="1456" customFormat="false" ht="15" hidden="false" customHeight="false" outlineLevel="0" collapsed="false">
      <c r="A1456" s="45" t="n">
        <v>1661</v>
      </c>
      <c r="B1456" s="46" t="n">
        <v>46244</v>
      </c>
      <c r="C1456" s="45" t="s">
        <v>133</v>
      </c>
      <c r="D1456" s="45" t="s">
        <v>134</v>
      </c>
      <c r="E1456" s="45" t="s">
        <v>2594</v>
      </c>
      <c r="F1456" s="45" t="s">
        <v>3016</v>
      </c>
      <c r="G1456" s="46" t="n">
        <v>46242</v>
      </c>
      <c r="H1456" s="45" t="s">
        <v>167</v>
      </c>
      <c r="I1456" s="45" t="s">
        <v>176</v>
      </c>
      <c r="J1456" s="45" t="s">
        <v>3017</v>
      </c>
      <c r="K1456" s="45" t="n">
        <v>2.8</v>
      </c>
      <c r="L1456" s="45" t="s">
        <v>263</v>
      </c>
      <c r="M1456" s="45" t="s">
        <v>259</v>
      </c>
      <c r="N1456" s="45" t="s">
        <v>167</v>
      </c>
      <c r="O1456" s="47" t="n">
        <v>46244.2151273148</v>
      </c>
      <c r="P1456" s="47" t="n">
        <v>46244.2170949074</v>
      </c>
    </row>
    <row r="1457" customFormat="false" ht="15" hidden="false" customHeight="false" outlineLevel="0" collapsed="false">
      <c r="A1457" s="45" t="n">
        <v>1662</v>
      </c>
      <c r="B1457" s="46" t="n">
        <v>46244</v>
      </c>
      <c r="C1457" s="45" t="s">
        <v>133</v>
      </c>
      <c r="D1457" s="45" t="s">
        <v>134</v>
      </c>
      <c r="E1457" s="45" t="s">
        <v>241</v>
      </c>
      <c r="F1457" s="45" t="s">
        <v>3018</v>
      </c>
      <c r="G1457" s="46" t="n">
        <v>46241</v>
      </c>
      <c r="H1457" s="45" t="s">
        <v>167</v>
      </c>
      <c r="I1457" s="45" t="s">
        <v>176</v>
      </c>
      <c r="J1457" s="45" t="s">
        <v>3019</v>
      </c>
      <c r="K1457" s="45" t="n">
        <v>2.2</v>
      </c>
      <c r="L1457" s="45" t="s">
        <v>263</v>
      </c>
      <c r="M1457" s="45" t="s">
        <v>259</v>
      </c>
      <c r="N1457" s="45" t="s">
        <v>167</v>
      </c>
      <c r="O1457" s="47" t="n">
        <v>46244.2173148148</v>
      </c>
      <c r="P1457" s="47" t="n">
        <v>46244.2188541667</v>
      </c>
    </row>
    <row r="1458" customFormat="false" ht="15" hidden="false" customHeight="false" outlineLevel="0" collapsed="false">
      <c r="A1458" s="45" t="n">
        <v>1663</v>
      </c>
      <c r="B1458" s="46" t="n">
        <v>46244</v>
      </c>
      <c r="C1458" s="45" t="s">
        <v>141</v>
      </c>
      <c r="D1458" s="45" t="s">
        <v>142</v>
      </c>
      <c r="E1458" s="45" t="s">
        <v>225</v>
      </c>
      <c r="F1458" s="45" t="s">
        <v>3020</v>
      </c>
      <c r="G1458" s="46" t="n">
        <v>46237</v>
      </c>
      <c r="H1458" s="45" t="s">
        <v>167</v>
      </c>
      <c r="I1458" s="45" t="s">
        <v>176</v>
      </c>
      <c r="J1458" s="45" t="s">
        <v>3021</v>
      </c>
      <c r="K1458" s="45" t="n">
        <v>0.6</v>
      </c>
      <c r="L1458" s="45" t="s">
        <v>263</v>
      </c>
      <c r="M1458" s="45" t="s">
        <v>259</v>
      </c>
      <c r="N1458" s="45" t="s">
        <v>167</v>
      </c>
      <c r="O1458" s="47" t="n">
        <v>46244.2315856482</v>
      </c>
      <c r="P1458" s="47" t="n">
        <v>46244.2319675926</v>
      </c>
    </row>
    <row r="1459" customFormat="false" ht="15" hidden="false" customHeight="false" outlineLevel="0" collapsed="false">
      <c r="A1459" s="45" t="n">
        <v>1664</v>
      </c>
      <c r="B1459" s="46" t="n">
        <v>46244</v>
      </c>
      <c r="C1459" s="45" t="s">
        <v>141</v>
      </c>
      <c r="D1459" s="45" t="s">
        <v>142</v>
      </c>
      <c r="E1459" s="45" t="s">
        <v>232</v>
      </c>
      <c r="F1459" s="45" t="s">
        <v>3022</v>
      </c>
      <c r="G1459" s="46" t="n">
        <v>46233</v>
      </c>
      <c r="H1459" s="45" t="s">
        <v>57</v>
      </c>
      <c r="I1459" s="45" t="s">
        <v>200</v>
      </c>
      <c r="J1459" s="45" t="s">
        <v>3023</v>
      </c>
      <c r="K1459" s="45" t="n">
        <v>13.6</v>
      </c>
      <c r="L1459" s="45" t="s">
        <v>263</v>
      </c>
      <c r="M1459" s="45" t="s">
        <v>259</v>
      </c>
      <c r="N1459" s="45" t="s">
        <v>57</v>
      </c>
      <c r="O1459" s="47" t="n">
        <v>46244.2360532407</v>
      </c>
      <c r="P1459" s="47" t="n">
        <v>46244.245474537</v>
      </c>
    </row>
    <row r="1460" customFormat="false" ht="15" hidden="false" customHeight="false" outlineLevel="0" collapsed="false">
      <c r="A1460" s="45" t="n">
        <v>1665</v>
      </c>
      <c r="B1460" s="46" t="n">
        <v>46244</v>
      </c>
      <c r="C1460" s="45" t="s">
        <v>141</v>
      </c>
      <c r="D1460" s="45" t="s">
        <v>142</v>
      </c>
      <c r="E1460" s="45" t="s">
        <v>232</v>
      </c>
      <c r="F1460" s="45" t="s">
        <v>3024</v>
      </c>
      <c r="G1460" s="46" t="n">
        <v>46230</v>
      </c>
      <c r="H1460" s="45" t="s">
        <v>168</v>
      </c>
      <c r="I1460" s="45" t="s">
        <v>191</v>
      </c>
      <c r="J1460" s="45" t="s">
        <v>3025</v>
      </c>
      <c r="K1460" s="45" t="n">
        <v>1.3</v>
      </c>
      <c r="L1460" s="45" t="s">
        <v>263</v>
      </c>
      <c r="M1460" s="45" t="s">
        <v>259</v>
      </c>
      <c r="N1460" s="45" t="s">
        <v>2559</v>
      </c>
      <c r="O1460" s="47" t="n">
        <v>46244.2460648148</v>
      </c>
      <c r="P1460" s="47" t="n">
        <v>46244.2469560185</v>
      </c>
    </row>
    <row r="1461" customFormat="false" ht="15" hidden="false" customHeight="false" outlineLevel="0" collapsed="false">
      <c r="A1461" s="45" t="n">
        <v>1666</v>
      </c>
      <c r="B1461" s="46" t="n">
        <v>46244</v>
      </c>
      <c r="C1461" s="45" t="s">
        <v>141</v>
      </c>
      <c r="D1461" s="45" t="s">
        <v>142</v>
      </c>
      <c r="E1461" s="45" t="s">
        <v>917</v>
      </c>
      <c r="F1461" s="45" t="s">
        <v>3026</v>
      </c>
      <c r="G1461" s="46" t="n">
        <v>46231</v>
      </c>
      <c r="H1461" s="45" t="s">
        <v>167</v>
      </c>
      <c r="I1461" s="45" t="s">
        <v>176</v>
      </c>
      <c r="J1461" s="45" t="s">
        <v>3027</v>
      </c>
      <c r="K1461" s="45" t="n">
        <v>13.4</v>
      </c>
      <c r="L1461" s="45" t="s">
        <v>259</v>
      </c>
      <c r="M1461" s="45" t="s">
        <v>259</v>
      </c>
      <c r="N1461" s="45" t="s">
        <v>167</v>
      </c>
      <c r="O1461" s="47" t="n">
        <v>46244.2593518519</v>
      </c>
      <c r="P1461" s="47" t="n">
        <v>46244.2686342593</v>
      </c>
    </row>
    <row r="1462" customFormat="false" ht="15" hidden="false" customHeight="false" outlineLevel="0" collapsed="false">
      <c r="A1462" s="45" t="n">
        <v>1667</v>
      </c>
      <c r="B1462" s="46" t="n">
        <v>46244</v>
      </c>
      <c r="C1462" s="45" t="s">
        <v>141</v>
      </c>
      <c r="D1462" s="45" t="s">
        <v>142</v>
      </c>
      <c r="E1462" s="45" t="s">
        <v>917</v>
      </c>
      <c r="F1462" s="45" t="s">
        <v>3028</v>
      </c>
      <c r="G1462" s="46" t="n">
        <v>46229</v>
      </c>
      <c r="H1462" s="45" t="s">
        <v>167</v>
      </c>
      <c r="I1462" s="45" t="s">
        <v>176</v>
      </c>
      <c r="J1462" s="45" t="s">
        <v>3029</v>
      </c>
      <c r="K1462" s="45" t="n">
        <v>12</v>
      </c>
      <c r="L1462" s="45" t="s">
        <v>259</v>
      </c>
      <c r="M1462" s="45" t="s">
        <v>259</v>
      </c>
      <c r="N1462" s="45" t="s">
        <v>167</v>
      </c>
      <c r="O1462" s="47" t="n">
        <v>46244.2686689815</v>
      </c>
      <c r="P1462" s="47" t="n">
        <v>46244.2769907407</v>
      </c>
    </row>
    <row r="1463" customFormat="false" ht="15" hidden="false" customHeight="false" outlineLevel="0" collapsed="false">
      <c r="A1463" s="45" t="n">
        <v>1668</v>
      </c>
      <c r="B1463" s="46" t="n">
        <v>46244</v>
      </c>
      <c r="C1463" s="45" t="s">
        <v>141</v>
      </c>
      <c r="D1463" s="45" t="s">
        <v>142</v>
      </c>
      <c r="E1463" s="45" t="s">
        <v>917</v>
      </c>
      <c r="F1463" s="45" t="s">
        <v>3026</v>
      </c>
      <c r="G1463" s="46" t="n">
        <v>46229</v>
      </c>
      <c r="H1463" s="45" t="s">
        <v>57</v>
      </c>
      <c r="I1463" s="45" t="s">
        <v>202</v>
      </c>
      <c r="J1463" s="45" t="s">
        <v>3030</v>
      </c>
      <c r="K1463" s="45" t="n">
        <v>0.7</v>
      </c>
      <c r="L1463" s="45" t="s">
        <v>259</v>
      </c>
      <c r="M1463" s="45" t="s">
        <v>259</v>
      </c>
      <c r="N1463" s="45" t="s">
        <v>57</v>
      </c>
      <c r="O1463" s="47" t="n">
        <v>46244.2793171296</v>
      </c>
      <c r="P1463" s="47" t="n">
        <v>46244.2798263889</v>
      </c>
    </row>
    <row r="1464" customFormat="false" ht="15" hidden="false" customHeight="false" outlineLevel="0" collapsed="false">
      <c r="A1464" s="45" t="n">
        <v>1669</v>
      </c>
      <c r="B1464" s="46" t="n">
        <v>46244</v>
      </c>
      <c r="C1464" s="45" t="s">
        <v>141</v>
      </c>
      <c r="D1464" s="45" t="s">
        <v>142</v>
      </c>
      <c r="E1464" s="45" t="s">
        <v>917</v>
      </c>
      <c r="F1464" s="45" t="s">
        <v>3028</v>
      </c>
      <c r="G1464" s="46" t="n">
        <v>46229</v>
      </c>
      <c r="H1464" s="45" t="s">
        <v>57</v>
      </c>
      <c r="I1464" s="45" t="s">
        <v>202</v>
      </c>
      <c r="J1464" s="45" t="s">
        <v>3029</v>
      </c>
      <c r="K1464" s="45" t="n">
        <v>0.3</v>
      </c>
      <c r="L1464" s="45" t="s">
        <v>259</v>
      </c>
      <c r="M1464" s="45" t="s">
        <v>259</v>
      </c>
      <c r="N1464" s="45" t="s">
        <v>57</v>
      </c>
      <c r="O1464" s="47" t="n">
        <v>46244.2799768519</v>
      </c>
      <c r="P1464" s="47" t="n">
        <v>46244.2801967593</v>
      </c>
    </row>
    <row r="1465" customFormat="false" ht="15" hidden="false" customHeight="false" outlineLevel="0" collapsed="false">
      <c r="A1465" s="45" t="n">
        <v>1670</v>
      </c>
      <c r="B1465" s="46" t="n">
        <v>46244</v>
      </c>
      <c r="C1465" s="45" t="s">
        <v>141</v>
      </c>
      <c r="D1465" s="45" t="s">
        <v>142</v>
      </c>
      <c r="E1465" s="45" t="s">
        <v>230</v>
      </c>
      <c r="F1465" s="45" t="s">
        <v>3031</v>
      </c>
      <c r="G1465" s="46" t="n">
        <v>46231</v>
      </c>
      <c r="H1465" s="45" t="s">
        <v>167</v>
      </c>
      <c r="I1465" s="45" t="s">
        <v>181</v>
      </c>
      <c r="J1465" s="45" t="s">
        <v>3032</v>
      </c>
      <c r="K1465" s="45" t="n">
        <v>1.7</v>
      </c>
      <c r="L1465" s="45" t="s">
        <v>263</v>
      </c>
      <c r="M1465" s="45" t="s">
        <v>259</v>
      </c>
      <c r="N1465" s="45" t="s">
        <v>167</v>
      </c>
      <c r="O1465" s="47" t="n">
        <v>46244.2806712963</v>
      </c>
      <c r="P1465" s="47" t="n">
        <v>46244.281875</v>
      </c>
    </row>
    <row r="1466" customFormat="false" ht="15" hidden="false" customHeight="false" outlineLevel="0" collapsed="false">
      <c r="A1466" s="45" t="n">
        <v>1671</v>
      </c>
      <c r="B1466" s="46" t="n">
        <v>46244</v>
      </c>
      <c r="C1466" s="45" t="s">
        <v>137</v>
      </c>
      <c r="D1466" s="45" t="s">
        <v>138</v>
      </c>
      <c r="E1466" s="45" t="s">
        <v>219</v>
      </c>
      <c r="F1466" s="45" t="s">
        <v>3033</v>
      </c>
      <c r="G1466" s="46" t="n">
        <v>46241</v>
      </c>
      <c r="H1466" s="45" t="s">
        <v>167</v>
      </c>
      <c r="I1466" s="45" t="s">
        <v>186</v>
      </c>
      <c r="J1466" s="45" t="s">
        <v>3034</v>
      </c>
      <c r="K1466" s="45" t="n">
        <v>2.4</v>
      </c>
      <c r="L1466" s="45" t="s">
        <v>263</v>
      </c>
      <c r="M1466" s="45" t="s">
        <v>259</v>
      </c>
      <c r="N1466" s="45" t="s">
        <v>167</v>
      </c>
      <c r="O1466" s="47" t="n">
        <v>46244.4994560185</v>
      </c>
      <c r="P1466" s="47" t="n">
        <v>46244.501099537</v>
      </c>
    </row>
    <row r="1467" customFormat="false" ht="15" hidden="false" customHeight="false" outlineLevel="0" collapsed="false">
      <c r="A1467" s="45" t="n">
        <v>1672</v>
      </c>
      <c r="B1467" s="46" t="n">
        <v>46244</v>
      </c>
      <c r="C1467" s="45" t="s">
        <v>137</v>
      </c>
      <c r="D1467" s="45" t="s">
        <v>138</v>
      </c>
      <c r="E1467" s="45" t="s">
        <v>219</v>
      </c>
      <c r="F1467" s="45" t="s">
        <v>3035</v>
      </c>
      <c r="G1467" s="46" t="n">
        <v>46240</v>
      </c>
      <c r="H1467" s="45" t="s">
        <v>167</v>
      </c>
      <c r="I1467" s="45" t="s">
        <v>180</v>
      </c>
      <c r="J1467" s="45" t="s">
        <v>3036</v>
      </c>
      <c r="K1467" s="45" t="n">
        <v>0.4</v>
      </c>
      <c r="L1467" s="45" t="s">
        <v>263</v>
      </c>
      <c r="M1467" s="45" t="s">
        <v>259</v>
      </c>
      <c r="N1467" s="45" t="s">
        <v>167</v>
      </c>
      <c r="O1467" s="47" t="n">
        <v>46244.5011574074</v>
      </c>
      <c r="P1467" s="47" t="n">
        <v>46244.5014467593</v>
      </c>
    </row>
    <row r="1468" customFormat="false" ht="15" hidden="false" customHeight="false" outlineLevel="0" collapsed="false">
      <c r="A1468" s="45" t="n">
        <v>1673</v>
      </c>
      <c r="B1468" s="46" t="n">
        <v>46244</v>
      </c>
      <c r="C1468" s="45" t="s">
        <v>137</v>
      </c>
      <c r="D1468" s="45" t="s">
        <v>138</v>
      </c>
      <c r="E1468" s="45" t="s">
        <v>1616</v>
      </c>
      <c r="F1468" s="45" t="s">
        <v>3037</v>
      </c>
      <c r="G1468" s="46" t="n">
        <v>46241</v>
      </c>
      <c r="H1468" s="45" t="s">
        <v>167</v>
      </c>
      <c r="I1468" s="45" t="s">
        <v>178</v>
      </c>
      <c r="J1468" s="45" t="s">
        <v>1242</v>
      </c>
      <c r="K1468" s="45" t="n">
        <v>0.3</v>
      </c>
      <c r="L1468" s="45" t="s">
        <v>263</v>
      </c>
      <c r="M1468" s="45" t="s">
        <v>259</v>
      </c>
      <c r="N1468" s="45" t="s">
        <v>167</v>
      </c>
      <c r="O1468" s="47" t="n">
        <v>46244.5015162037</v>
      </c>
      <c r="P1468" s="47" t="n">
        <v>46244.5017592593</v>
      </c>
    </row>
    <row r="1469" customFormat="false" ht="15" hidden="false" customHeight="false" outlineLevel="0" collapsed="false">
      <c r="A1469" s="45" t="n">
        <v>1674</v>
      </c>
      <c r="B1469" s="46" t="n">
        <v>46244</v>
      </c>
      <c r="C1469" s="45" t="s">
        <v>137</v>
      </c>
      <c r="D1469" s="45" t="s">
        <v>138</v>
      </c>
      <c r="E1469" s="45" t="s">
        <v>1616</v>
      </c>
      <c r="F1469" s="45" t="s">
        <v>3038</v>
      </c>
      <c r="G1469" s="46" t="n">
        <v>46240</v>
      </c>
      <c r="H1469" s="45" t="s">
        <v>167</v>
      </c>
      <c r="I1469" s="45" t="s">
        <v>178</v>
      </c>
      <c r="J1469" s="45" t="s">
        <v>445</v>
      </c>
      <c r="K1469" s="45" t="n">
        <v>0.3</v>
      </c>
      <c r="L1469" s="45" t="s">
        <v>263</v>
      </c>
      <c r="M1469" s="45" t="s">
        <v>259</v>
      </c>
      <c r="N1469" s="45" t="s">
        <v>167</v>
      </c>
      <c r="O1469" s="47" t="n">
        <v>46244.5018171296</v>
      </c>
      <c r="P1469" s="47" t="n">
        <v>46244.502025463</v>
      </c>
    </row>
    <row r="1470" customFormat="false" ht="15" hidden="false" customHeight="false" outlineLevel="0" collapsed="false">
      <c r="A1470" s="45" t="n">
        <v>1675</v>
      </c>
      <c r="B1470" s="46" t="n">
        <v>46244</v>
      </c>
      <c r="C1470" s="45" t="s">
        <v>137</v>
      </c>
      <c r="D1470" s="45" t="s">
        <v>138</v>
      </c>
      <c r="E1470" s="45" t="s">
        <v>1616</v>
      </c>
      <c r="F1470" s="45" t="s">
        <v>3039</v>
      </c>
      <c r="G1470" s="46" t="n">
        <v>46238</v>
      </c>
      <c r="H1470" s="45" t="s">
        <v>167</v>
      </c>
      <c r="I1470" s="45" t="s">
        <v>183</v>
      </c>
      <c r="J1470" s="45" t="s">
        <v>3034</v>
      </c>
      <c r="K1470" s="45" t="n">
        <v>0.3</v>
      </c>
      <c r="L1470" s="45" t="s">
        <v>263</v>
      </c>
      <c r="M1470" s="45" t="s">
        <v>259</v>
      </c>
      <c r="N1470" s="45" t="s">
        <v>167</v>
      </c>
      <c r="O1470" s="47" t="n">
        <v>46244.5022800926</v>
      </c>
      <c r="P1470" s="47" t="n">
        <v>46244.5025</v>
      </c>
    </row>
    <row r="1471" customFormat="false" ht="15" hidden="false" customHeight="false" outlineLevel="0" collapsed="false">
      <c r="A1471" s="45" t="n">
        <v>1676</v>
      </c>
      <c r="B1471" s="46" t="n">
        <v>46244</v>
      </c>
      <c r="C1471" s="45" t="s">
        <v>137</v>
      </c>
      <c r="D1471" s="45" t="s">
        <v>138</v>
      </c>
      <c r="E1471" s="45" t="s">
        <v>1732</v>
      </c>
      <c r="F1471" s="45" t="s">
        <v>3040</v>
      </c>
      <c r="G1471" s="46" t="n">
        <v>46241</v>
      </c>
      <c r="H1471" s="45" t="s">
        <v>57</v>
      </c>
      <c r="I1471" s="45" t="s">
        <v>200</v>
      </c>
      <c r="J1471" s="45" t="s">
        <v>3041</v>
      </c>
      <c r="K1471" s="45" t="n">
        <v>0.3</v>
      </c>
      <c r="L1471" s="45" t="s">
        <v>263</v>
      </c>
      <c r="M1471" s="45" t="s">
        <v>259</v>
      </c>
      <c r="N1471" s="45" t="s">
        <v>57</v>
      </c>
      <c r="O1471" s="47" t="n">
        <v>46244.5025810185</v>
      </c>
      <c r="P1471" s="47" t="n">
        <v>46244.5027662037</v>
      </c>
    </row>
    <row r="1472" customFormat="false" ht="15" hidden="false" customHeight="false" outlineLevel="0" collapsed="false">
      <c r="A1472" s="45" t="n">
        <v>1677</v>
      </c>
      <c r="B1472" s="46" t="n">
        <v>46244</v>
      </c>
      <c r="C1472" s="45" t="s">
        <v>137</v>
      </c>
      <c r="D1472" s="45" t="s">
        <v>138</v>
      </c>
      <c r="E1472" s="45" t="s">
        <v>1732</v>
      </c>
      <c r="F1472" s="45" t="s">
        <v>3042</v>
      </c>
      <c r="G1472" s="46" t="n">
        <v>46240</v>
      </c>
      <c r="H1472" s="45" t="s">
        <v>167</v>
      </c>
      <c r="I1472" s="45" t="s">
        <v>180</v>
      </c>
      <c r="J1472" s="45" t="s">
        <v>3043</v>
      </c>
      <c r="K1472" s="45" t="n">
        <v>2.5</v>
      </c>
      <c r="L1472" s="45" t="s">
        <v>263</v>
      </c>
      <c r="M1472" s="45" t="s">
        <v>259</v>
      </c>
      <c r="N1472" s="45" t="s">
        <v>167</v>
      </c>
      <c r="O1472" s="47" t="n">
        <v>46244.5027893519</v>
      </c>
      <c r="P1472" s="47" t="n">
        <v>46244.504537037</v>
      </c>
    </row>
    <row r="1473" customFormat="false" ht="15" hidden="false" customHeight="false" outlineLevel="0" collapsed="false">
      <c r="A1473" s="45" t="n">
        <v>1678</v>
      </c>
      <c r="B1473" s="46" t="n">
        <v>46244</v>
      </c>
      <c r="C1473" s="45" t="s">
        <v>137</v>
      </c>
      <c r="D1473" s="45" t="s">
        <v>138</v>
      </c>
      <c r="E1473" s="45" t="s">
        <v>309</v>
      </c>
      <c r="F1473" s="45" t="s">
        <v>3044</v>
      </c>
      <c r="G1473" s="46" t="n">
        <v>46244</v>
      </c>
      <c r="H1473" s="45" t="s">
        <v>167</v>
      </c>
      <c r="I1473" s="45" t="s">
        <v>178</v>
      </c>
      <c r="J1473" s="45" t="s">
        <v>1260</v>
      </c>
      <c r="K1473" s="45" t="n">
        <v>0.2</v>
      </c>
      <c r="L1473" s="45" t="s">
        <v>263</v>
      </c>
      <c r="M1473" s="45" t="s">
        <v>259</v>
      </c>
      <c r="N1473" s="45" t="s">
        <v>167</v>
      </c>
      <c r="O1473" s="47" t="n">
        <v>46244.5046064815</v>
      </c>
      <c r="P1473" s="47" t="n">
        <v>46244.5047337963</v>
      </c>
    </row>
    <row r="1474" customFormat="false" ht="15" hidden="false" customHeight="false" outlineLevel="0" collapsed="false">
      <c r="A1474" s="45" t="n">
        <v>1679</v>
      </c>
      <c r="B1474" s="46" t="n">
        <v>46244</v>
      </c>
      <c r="C1474" s="45" t="s">
        <v>137</v>
      </c>
      <c r="D1474" s="45" t="s">
        <v>138</v>
      </c>
      <c r="E1474" s="45" t="s">
        <v>1613</v>
      </c>
      <c r="F1474" s="45" t="s">
        <v>3045</v>
      </c>
      <c r="G1474" s="46" t="n">
        <v>46241</v>
      </c>
      <c r="H1474" s="45" t="s">
        <v>167</v>
      </c>
      <c r="I1474" s="45" t="s">
        <v>178</v>
      </c>
      <c r="J1474" s="45" t="s">
        <v>445</v>
      </c>
      <c r="K1474" s="45" t="n">
        <v>0.3</v>
      </c>
      <c r="L1474" s="45" t="s">
        <v>263</v>
      </c>
      <c r="M1474" s="45" t="s">
        <v>259</v>
      </c>
      <c r="N1474" s="45" t="s">
        <v>167</v>
      </c>
      <c r="O1474" s="47" t="n">
        <v>46244.504837963</v>
      </c>
      <c r="P1474" s="47" t="n">
        <v>46244.5050462963</v>
      </c>
    </row>
    <row r="1475" customFormat="false" ht="15" hidden="false" customHeight="false" outlineLevel="0" collapsed="false">
      <c r="A1475" s="45" t="n">
        <v>1680</v>
      </c>
      <c r="B1475" s="46" t="n">
        <v>46244</v>
      </c>
      <c r="C1475" s="45" t="s">
        <v>137</v>
      </c>
      <c r="D1475" s="45" t="s">
        <v>138</v>
      </c>
      <c r="E1475" s="45" t="s">
        <v>1613</v>
      </c>
      <c r="F1475" s="45" t="s">
        <v>3046</v>
      </c>
      <c r="G1475" s="46" t="n">
        <v>46241</v>
      </c>
      <c r="H1475" s="45" t="s">
        <v>168</v>
      </c>
      <c r="I1475" s="45" t="s">
        <v>192</v>
      </c>
      <c r="J1475" s="45" t="s">
        <v>3047</v>
      </c>
      <c r="K1475" s="45" t="n">
        <v>0.3</v>
      </c>
      <c r="L1475" s="45" t="s">
        <v>263</v>
      </c>
      <c r="M1475" s="45" t="s">
        <v>259</v>
      </c>
      <c r="N1475" s="45" t="s">
        <v>2559</v>
      </c>
      <c r="O1475" s="47" t="n">
        <v>46244.5051157407</v>
      </c>
      <c r="P1475" s="47" t="n">
        <v>46244.5053472222</v>
      </c>
    </row>
    <row r="1476" customFormat="false" ht="15" hidden="false" customHeight="false" outlineLevel="0" collapsed="false">
      <c r="A1476" s="45" t="n">
        <v>1681</v>
      </c>
      <c r="B1476" s="46" t="n">
        <v>46244</v>
      </c>
      <c r="C1476" s="45" t="s">
        <v>137</v>
      </c>
      <c r="D1476" s="45" t="s">
        <v>138</v>
      </c>
      <c r="E1476" s="45" t="s">
        <v>223</v>
      </c>
      <c r="F1476" s="45" t="s">
        <v>3048</v>
      </c>
      <c r="G1476" s="46" t="n">
        <v>46242</v>
      </c>
      <c r="H1476" s="45" t="s">
        <v>167</v>
      </c>
      <c r="I1476" s="45" t="s">
        <v>178</v>
      </c>
      <c r="J1476" s="45" t="s">
        <v>445</v>
      </c>
      <c r="K1476" s="45" t="n">
        <v>0.2</v>
      </c>
      <c r="L1476" s="45" t="s">
        <v>263</v>
      </c>
      <c r="M1476" s="45" t="s">
        <v>259</v>
      </c>
      <c r="N1476" s="45" t="s">
        <v>167</v>
      </c>
      <c r="O1476" s="47" t="n">
        <v>46244.5054050926</v>
      </c>
      <c r="P1476" s="47" t="n">
        <v>46244.5055671296</v>
      </c>
    </row>
    <row r="1477" customFormat="false" ht="15" hidden="false" customHeight="false" outlineLevel="0" collapsed="false">
      <c r="A1477" s="45" t="n">
        <v>1682</v>
      </c>
      <c r="B1477" s="46" t="n">
        <v>46244</v>
      </c>
      <c r="C1477" s="45" t="s">
        <v>137</v>
      </c>
      <c r="D1477" s="45" t="s">
        <v>138</v>
      </c>
      <c r="E1477" s="45" t="s">
        <v>223</v>
      </c>
      <c r="F1477" s="45" t="s">
        <v>3049</v>
      </c>
      <c r="G1477" s="46" t="n">
        <v>46240</v>
      </c>
      <c r="H1477" s="45" t="s">
        <v>168</v>
      </c>
      <c r="I1477" s="45" t="s">
        <v>193</v>
      </c>
      <c r="J1477" s="45" t="s">
        <v>2212</v>
      </c>
      <c r="K1477" s="45" t="n">
        <v>0.2</v>
      </c>
      <c r="L1477" s="45" t="s">
        <v>263</v>
      </c>
      <c r="M1477" s="45" t="s">
        <v>259</v>
      </c>
      <c r="N1477" s="45" t="s">
        <v>2559</v>
      </c>
      <c r="O1477" s="47" t="n">
        <v>46244.505625</v>
      </c>
      <c r="P1477" s="47" t="n">
        <v>46244.505775463</v>
      </c>
    </row>
    <row r="1478" customFormat="false" ht="15" hidden="false" customHeight="false" outlineLevel="0" collapsed="false">
      <c r="A1478" s="45" t="n">
        <v>1683</v>
      </c>
      <c r="B1478" s="46" t="n">
        <v>46244</v>
      </c>
      <c r="C1478" s="45" t="s">
        <v>137</v>
      </c>
      <c r="D1478" s="45" t="s">
        <v>138</v>
      </c>
      <c r="E1478" s="45" t="s">
        <v>219</v>
      </c>
      <c r="F1478" s="45" t="s">
        <v>3050</v>
      </c>
      <c r="G1478" s="46" t="n">
        <v>46240</v>
      </c>
      <c r="H1478" s="45" t="s">
        <v>167</v>
      </c>
      <c r="I1478" s="45" t="s">
        <v>183</v>
      </c>
      <c r="J1478" s="45" t="s">
        <v>3034</v>
      </c>
      <c r="K1478" s="45" t="n">
        <v>0.2</v>
      </c>
      <c r="L1478" s="45" t="s">
        <v>263</v>
      </c>
      <c r="M1478" s="45" t="s">
        <v>259</v>
      </c>
      <c r="N1478" s="45" t="s">
        <v>167</v>
      </c>
      <c r="O1478" s="47" t="n">
        <v>46244.5058333333</v>
      </c>
      <c r="P1478" s="47" t="n">
        <v>46244.5059722222</v>
      </c>
    </row>
    <row r="1479" customFormat="false" ht="15" hidden="false" customHeight="false" outlineLevel="0" collapsed="false">
      <c r="A1479" s="45" t="n">
        <v>1684</v>
      </c>
      <c r="B1479" s="46" t="n">
        <v>46244</v>
      </c>
      <c r="C1479" s="45" t="s">
        <v>137</v>
      </c>
      <c r="D1479" s="45" t="s">
        <v>138</v>
      </c>
      <c r="E1479" s="45" t="s">
        <v>229</v>
      </c>
      <c r="F1479" s="45" t="s">
        <v>3051</v>
      </c>
      <c r="G1479" s="46" t="n">
        <v>46237</v>
      </c>
      <c r="H1479" s="45" t="s">
        <v>167</v>
      </c>
      <c r="I1479" s="45" t="s">
        <v>179</v>
      </c>
      <c r="J1479" s="45" t="s">
        <v>3052</v>
      </c>
      <c r="K1479" s="45" t="n">
        <v>0.4</v>
      </c>
      <c r="L1479" s="45" t="s">
        <v>263</v>
      </c>
      <c r="M1479" s="45" t="s">
        <v>259</v>
      </c>
      <c r="N1479" s="45" t="s">
        <v>167</v>
      </c>
      <c r="O1479" s="47" t="n">
        <v>46244.5060416667</v>
      </c>
      <c r="P1479" s="47" t="n">
        <v>46244.5063425926</v>
      </c>
    </row>
    <row r="1480" customFormat="false" ht="15" hidden="false" customHeight="false" outlineLevel="0" collapsed="false">
      <c r="A1480" s="45" t="n">
        <v>1685</v>
      </c>
      <c r="B1480" s="46" t="n">
        <v>46244</v>
      </c>
      <c r="C1480" s="45" t="s">
        <v>137</v>
      </c>
      <c r="D1480" s="45" t="s">
        <v>138</v>
      </c>
      <c r="E1480" s="45" t="s">
        <v>1688</v>
      </c>
      <c r="F1480" s="45" t="s">
        <v>3053</v>
      </c>
      <c r="G1480" s="46" t="n">
        <v>46244</v>
      </c>
      <c r="H1480" s="45" t="s">
        <v>167</v>
      </c>
      <c r="I1480" s="45" t="s">
        <v>178</v>
      </c>
      <c r="J1480" s="45" t="s">
        <v>445</v>
      </c>
      <c r="K1480" s="45" t="n">
        <v>0.2</v>
      </c>
      <c r="L1480" s="45" t="s">
        <v>263</v>
      </c>
      <c r="M1480" s="45" t="s">
        <v>259</v>
      </c>
      <c r="N1480" s="45" t="s">
        <v>167</v>
      </c>
      <c r="O1480" s="47" t="n">
        <v>46244.506400463</v>
      </c>
      <c r="P1480" s="47" t="n">
        <v>46244.5065509259</v>
      </c>
    </row>
    <row r="1481" customFormat="false" ht="15" hidden="false" customHeight="false" outlineLevel="0" collapsed="false">
      <c r="A1481" s="45" t="n">
        <v>1686</v>
      </c>
      <c r="B1481" s="46" t="n">
        <v>46244</v>
      </c>
      <c r="C1481" s="45" t="s">
        <v>137</v>
      </c>
      <c r="D1481" s="45" t="s">
        <v>138</v>
      </c>
      <c r="E1481" s="45" t="s">
        <v>223</v>
      </c>
      <c r="F1481" s="45" t="s">
        <v>3054</v>
      </c>
      <c r="G1481" s="46" t="n">
        <v>46242</v>
      </c>
      <c r="H1481" s="45" t="s">
        <v>168</v>
      </c>
      <c r="I1481" s="45" t="s">
        <v>194</v>
      </c>
      <c r="J1481" s="45" t="s">
        <v>3055</v>
      </c>
      <c r="K1481" s="45" t="n">
        <v>1.5</v>
      </c>
      <c r="L1481" s="45" t="s">
        <v>263</v>
      </c>
      <c r="M1481" s="45" t="s">
        <v>259</v>
      </c>
      <c r="N1481" s="45" t="s">
        <v>2559</v>
      </c>
      <c r="O1481" s="47" t="n">
        <v>46244.5082638889</v>
      </c>
      <c r="P1481" s="47" t="n">
        <v>46244.5092824074</v>
      </c>
    </row>
    <row r="1482" customFormat="false" ht="15" hidden="false" customHeight="false" outlineLevel="0" collapsed="false">
      <c r="A1482" s="45" t="n">
        <v>1687</v>
      </c>
      <c r="B1482" s="46" t="n">
        <v>46244</v>
      </c>
      <c r="C1482" s="45" t="s">
        <v>137</v>
      </c>
      <c r="D1482" s="45" t="s">
        <v>138</v>
      </c>
      <c r="E1482" s="45" t="s">
        <v>1732</v>
      </c>
      <c r="F1482" s="45" t="s">
        <v>3056</v>
      </c>
      <c r="G1482" s="46" t="n">
        <v>46238</v>
      </c>
      <c r="H1482" s="45" t="s">
        <v>168</v>
      </c>
      <c r="I1482" s="45" t="s">
        <v>194</v>
      </c>
      <c r="J1482" s="45" t="s">
        <v>3057</v>
      </c>
      <c r="K1482" s="45" t="n">
        <v>0.2</v>
      </c>
      <c r="L1482" s="45" t="s">
        <v>263</v>
      </c>
      <c r="M1482" s="45" t="s">
        <v>259</v>
      </c>
      <c r="N1482" s="45" t="s">
        <v>2559</v>
      </c>
      <c r="O1482" s="47" t="n">
        <v>46244.5093518519</v>
      </c>
      <c r="P1482" s="47" t="n">
        <v>46244.509525463</v>
      </c>
    </row>
    <row r="1483" customFormat="false" ht="15" hidden="false" customHeight="false" outlineLevel="0" collapsed="false">
      <c r="A1483" s="45" t="n">
        <v>1688</v>
      </c>
      <c r="B1483" s="46" t="n">
        <v>46244</v>
      </c>
      <c r="C1483" s="45" t="s">
        <v>137</v>
      </c>
      <c r="D1483" s="45" t="s">
        <v>138</v>
      </c>
      <c r="E1483" s="45" t="s">
        <v>219</v>
      </c>
      <c r="F1483" s="45" t="s">
        <v>3058</v>
      </c>
      <c r="G1483" s="46" t="n">
        <v>46239</v>
      </c>
      <c r="H1483" s="45" t="s">
        <v>167</v>
      </c>
      <c r="I1483" s="45" t="s">
        <v>186</v>
      </c>
      <c r="J1483" s="45" t="s">
        <v>186</v>
      </c>
      <c r="K1483" s="45" t="n">
        <v>0.4</v>
      </c>
      <c r="L1483" s="45" t="s">
        <v>263</v>
      </c>
      <c r="M1483" s="45" t="s">
        <v>259</v>
      </c>
      <c r="N1483" s="45" t="s">
        <v>167</v>
      </c>
      <c r="O1483" s="47" t="n">
        <v>46244.5205092593</v>
      </c>
      <c r="P1483" s="47" t="n">
        <v>46244.5207638889</v>
      </c>
    </row>
    <row r="1484" customFormat="false" ht="15" hidden="false" customHeight="false" outlineLevel="0" collapsed="false">
      <c r="A1484" s="45" t="n">
        <v>1689</v>
      </c>
      <c r="B1484" s="46" t="n">
        <v>46244</v>
      </c>
      <c r="C1484" s="45" t="s">
        <v>137</v>
      </c>
      <c r="D1484" s="45" t="s">
        <v>138</v>
      </c>
      <c r="E1484" s="45" t="s">
        <v>1613</v>
      </c>
      <c r="F1484" s="45" t="s">
        <v>3059</v>
      </c>
      <c r="G1484" s="46" t="n">
        <v>46240</v>
      </c>
      <c r="H1484" s="45" t="s">
        <v>167</v>
      </c>
      <c r="I1484" s="45" t="s">
        <v>178</v>
      </c>
      <c r="J1484" s="45" t="s">
        <v>445</v>
      </c>
      <c r="K1484" s="45" t="n">
        <v>0.3</v>
      </c>
      <c r="L1484" s="45" t="s">
        <v>263</v>
      </c>
      <c r="M1484" s="45" t="s">
        <v>259</v>
      </c>
      <c r="N1484" s="45" t="s">
        <v>167</v>
      </c>
      <c r="O1484" s="47" t="n">
        <v>46244.5208680556</v>
      </c>
      <c r="P1484" s="47" t="n">
        <v>46244.521099537</v>
      </c>
    </row>
    <row r="1485" customFormat="false" ht="15" hidden="false" customHeight="false" outlineLevel="0" collapsed="false">
      <c r="A1485" s="45" t="n">
        <v>1690</v>
      </c>
      <c r="B1485" s="46" t="n">
        <v>46244</v>
      </c>
      <c r="C1485" s="45" t="s">
        <v>137</v>
      </c>
      <c r="D1485" s="45" t="s">
        <v>138</v>
      </c>
      <c r="E1485" s="45" t="s">
        <v>1613</v>
      </c>
      <c r="F1485" s="45" t="s">
        <v>3060</v>
      </c>
      <c r="G1485" s="46" t="n">
        <v>46241</v>
      </c>
      <c r="H1485" s="45" t="s">
        <v>168</v>
      </c>
      <c r="I1485" s="45" t="s">
        <v>196</v>
      </c>
      <c r="J1485" s="45" t="s">
        <v>3061</v>
      </c>
      <c r="K1485" s="45" t="n">
        <v>0.7</v>
      </c>
      <c r="L1485" s="45" t="s">
        <v>263</v>
      </c>
      <c r="M1485" s="45" t="s">
        <v>259</v>
      </c>
      <c r="N1485" s="45" t="s">
        <v>2559</v>
      </c>
      <c r="O1485" s="47" t="n">
        <v>46244.5211226852</v>
      </c>
      <c r="P1485" s="47" t="n">
        <v>46244.5215972222</v>
      </c>
    </row>
    <row r="1486" customFormat="false" ht="15" hidden="false" customHeight="false" outlineLevel="0" collapsed="false">
      <c r="A1486" s="45" t="n">
        <v>1691</v>
      </c>
      <c r="B1486" s="46" t="n">
        <v>46244</v>
      </c>
      <c r="C1486" s="45" t="s">
        <v>137</v>
      </c>
      <c r="D1486" s="45" t="s">
        <v>138</v>
      </c>
      <c r="E1486" s="45" t="s">
        <v>219</v>
      </c>
      <c r="F1486" s="45" t="s">
        <v>3062</v>
      </c>
      <c r="G1486" s="46" t="n">
        <v>46227</v>
      </c>
      <c r="H1486" s="45" t="s">
        <v>167</v>
      </c>
      <c r="I1486" s="45" t="s">
        <v>181</v>
      </c>
      <c r="J1486" s="45" t="s">
        <v>445</v>
      </c>
      <c r="K1486" s="45" t="n">
        <v>13.1</v>
      </c>
      <c r="L1486" s="45" t="s">
        <v>263</v>
      </c>
      <c r="M1486" s="45" t="s">
        <v>259</v>
      </c>
      <c r="N1486" s="45" t="s">
        <v>167</v>
      </c>
      <c r="O1486" s="47" t="n">
        <v>46244.8103819444</v>
      </c>
      <c r="P1486" s="47" t="n">
        <v>46244.8194560185</v>
      </c>
    </row>
    <row r="1487" customFormat="false" ht="15" hidden="false" customHeight="false" outlineLevel="0" collapsed="false">
      <c r="A1487" s="45" t="n">
        <v>1696</v>
      </c>
      <c r="B1487" s="46" t="n">
        <v>46245</v>
      </c>
      <c r="C1487" s="45" t="s">
        <v>141</v>
      </c>
      <c r="D1487" s="45" t="s">
        <v>142</v>
      </c>
      <c r="E1487" s="45" t="s">
        <v>225</v>
      </c>
      <c r="F1487" s="45" t="s">
        <v>3063</v>
      </c>
      <c r="G1487" s="46" t="n">
        <v>46243</v>
      </c>
      <c r="H1487" s="45" t="s">
        <v>167</v>
      </c>
      <c r="I1487" s="45" t="s">
        <v>176</v>
      </c>
      <c r="J1487" s="45" t="s">
        <v>3064</v>
      </c>
      <c r="K1487" s="45" t="n">
        <v>170</v>
      </c>
      <c r="L1487" s="45" t="s">
        <v>263</v>
      </c>
      <c r="M1487" s="45" t="s">
        <v>259</v>
      </c>
      <c r="N1487" s="45" t="s">
        <v>167</v>
      </c>
      <c r="O1487" s="47" t="n">
        <v>46245.0928703704</v>
      </c>
      <c r="P1487" s="47" t="n">
        <v>46245.2109027778</v>
      </c>
    </row>
    <row r="1488" customFormat="false" ht="15" hidden="false" customHeight="false" outlineLevel="0" collapsed="false">
      <c r="A1488" s="45" t="n">
        <v>1692</v>
      </c>
      <c r="B1488" s="46" t="n">
        <v>46245</v>
      </c>
      <c r="C1488" s="45" t="s">
        <v>135</v>
      </c>
      <c r="D1488" s="45" t="s">
        <v>136</v>
      </c>
      <c r="E1488" s="45" t="s">
        <v>218</v>
      </c>
      <c r="F1488" s="45" t="s">
        <v>3065</v>
      </c>
      <c r="G1488" s="46" t="n">
        <v>46242</v>
      </c>
      <c r="H1488" s="45" t="s">
        <v>167</v>
      </c>
      <c r="I1488" s="45" t="s">
        <v>180</v>
      </c>
      <c r="J1488" s="45" t="s">
        <v>3066</v>
      </c>
      <c r="K1488" s="45" t="n">
        <v>26.1</v>
      </c>
      <c r="L1488" s="45" t="s">
        <v>263</v>
      </c>
      <c r="M1488" s="45" t="s">
        <v>259</v>
      </c>
      <c r="N1488" s="45" t="s">
        <v>167</v>
      </c>
      <c r="O1488" s="47" t="n">
        <v>46245.1164930556</v>
      </c>
      <c r="P1488" s="47" t="n">
        <v>46245.1346412037</v>
      </c>
    </row>
    <row r="1489" customFormat="false" ht="15" hidden="false" customHeight="false" outlineLevel="0" collapsed="false">
      <c r="A1489" s="45" t="n">
        <v>1693</v>
      </c>
      <c r="B1489" s="46" t="n">
        <v>46245</v>
      </c>
      <c r="C1489" s="45" t="s">
        <v>135</v>
      </c>
      <c r="D1489" s="45" t="s">
        <v>136</v>
      </c>
      <c r="E1489" s="45" t="s">
        <v>218</v>
      </c>
      <c r="F1489" s="45" t="s">
        <v>3067</v>
      </c>
      <c r="G1489" s="46" t="n">
        <v>46242</v>
      </c>
      <c r="H1489" s="45" t="s">
        <v>167</v>
      </c>
      <c r="I1489" s="45" t="s">
        <v>178</v>
      </c>
      <c r="J1489" s="45" t="s">
        <v>3068</v>
      </c>
      <c r="K1489" s="45" t="n">
        <v>1.1</v>
      </c>
      <c r="L1489" s="45" t="s">
        <v>263</v>
      </c>
      <c r="M1489" s="45" t="s">
        <v>259</v>
      </c>
      <c r="N1489" s="45" t="s">
        <v>167</v>
      </c>
      <c r="O1489" s="47" t="n">
        <v>46245.1346643519</v>
      </c>
      <c r="P1489" s="47" t="n">
        <v>46245.1354513889</v>
      </c>
    </row>
    <row r="1490" customFormat="false" ht="15" hidden="false" customHeight="false" outlineLevel="0" collapsed="false">
      <c r="A1490" s="45" t="n">
        <v>1694</v>
      </c>
      <c r="B1490" s="46" t="n">
        <v>46245</v>
      </c>
      <c r="C1490" s="45" t="s">
        <v>139</v>
      </c>
      <c r="D1490" s="45" t="s">
        <v>140</v>
      </c>
      <c r="E1490" s="45" t="s">
        <v>2705</v>
      </c>
      <c r="F1490" s="45" t="s">
        <v>3069</v>
      </c>
      <c r="G1490" s="46" t="n">
        <v>46243</v>
      </c>
      <c r="H1490" s="45" t="s">
        <v>167</v>
      </c>
      <c r="I1490" s="45" t="s">
        <v>178</v>
      </c>
      <c r="J1490" s="45" t="s">
        <v>3070</v>
      </c>
      <c r="K1490" s="45" t="n">
        <v>0</v>
      </c>
      <c r="L1490" s="45" t="s">
        <v>263</v>
      </c>
      <c r="M1490" s="45" t="s">
        <v>259</v>
      </c>
      <c r="N1490" s="45" t="s">
        <v>167</v>
      </c>
      <c r="O1490" s="47" t="n">
        <v>46245.1815509259</v>
      </c>
      <c r="P1490" s="47" t="n">
        <v>46245.1815740741</v>
      </c>
    </row>
    <row r="1491" customFormat="false" ht="15" hidden="false" customHeight="false" outlineLevel="0" collapsed="false">
      <c r="A1491" s="45" t="n">
        <v>1695</v>
      </c>
      <c r="B1491" s="46" t="n">
        <v>46245</v>
      </c>
      <c r="C1491" s="45" t="s">
        <v>139</v>
      </c>
      <c r="D1491" s="45" t="s">
        <v>140</v>
      </c>
      <c r="E1491" s="45" t="s">
        <v>2705</v>
      </c>
      <c r="F1491" s="45" t="s">
        <v>3071</v>
      </c>
      <c r="G1491" s="46" t="n">
        <v>46243</v>
      </c>
      <c r="H1491" s="45" t="s">
        <v>167</v>
      </c>
      <c r="I1491" s="45" t="s">
        <v>184</v>
      </c>
      <c r="J1491" s="45" t="s">
        <v>3072</v>
      </c>
      <c r="K1491" s="45" t="n">
        <v>5.5</v>
      </c>
      <c r="L1491" s="45" t="s">
        <v>263</v>
      </c>
      <c r="M1491" s="45" t="s">
        <v>259</v>
      </c>
      <c r="N1491" s="45" t="s">
        <v>167</v>
      </c>
      <c r="O1491" s="47" t="n">
        <v>46245.1821180556</v>
      </c>
      <c r="P1491" s="47" t="n">
        <v>46245.1859259259</v>
      </c>
    </row>
    <row r="1492" customFormat="false" ht="15" hidden="false" customHeight="false" outlineLevel="0" collapsed="false">
      <c r="A1492" s="45" t="n">
        <v>1697</v>
      </c>
      <c r="B1492" s="46" t="n">
        <v>46245</v>
      </c>
      <c r="C1492" s="45" t="s">
        <v>141</v>
      </c>
      <c r="D1492" s="45" t="s">
        <v>142</v>
      </c>
      <c r="E1492" s="45" t="s">
        <v>225</v>
      </c>
      <c r="F1492" s="45" t="s">
        <v>3073</v>
      </c>
      <c r="G1492" s="46" t="n">
        <v>46243</v>
      </c>
      <c r="H1492" s="45" t="s">
        <v>167</v>
      </c>
      <c r="I1492" s="45" t="s">
        <v>176</v>
      </c>
      <c r="J1492" s="45" t="s">
        <v>3074</v>
      </c>
      <c r="K1492" s="45" t="n">
        <v>0.4</v>
      </c>
      <c r="L1492" s="45" t="s">
        <v>263</v>
      </c>
      <c r="M1492" s="45" t="s">
        <v>259</v>
      </c>
      <c r="N1492" s="45" t="s">
        <v>167</v>
      </c>
      <c r="O1492" s="47" t="n">
        <v>46245.2109259259</v>
      </c>
      <c r="P1492" s="47" t="n">
        <v>46245.2112268519</v>
      </c>
    </row>
    <row r="1493" customFormat="false" ht="15" hidden="false" customHeight="false" outlineLevel="0" collapsed="false">
      <c r="A1493" s="45" t="n">
        <v>1698</v>
      </c>
      <c r="B1493" s="46" t="n">
        <v>46245</v>
      </c>
      <c r="C1493" s="45" t="s">
        <v>141</v>
      </c>
      <c r="D1493" s="45" t="s">
        <v>142</v>
      </c>
      <c r="E1493" s="45" t="s">
        <v>225</v>
      </c>
      <c r="F1493" s="45" t="s">
        <v>3075</v>
      </c>
      <c r="G1493" s="46" t="n">
        <v>46243</v>
      </c>
      <c r="H1493" s="45" t="s">
        <v>167</v>
      </c>
      <c r="I1493" s="45" t="s">
        <v>176</v>
      </c>
      <c r="J1493" s="45" t="s">
        <v>3076</v>
      </c>
      <c r="K1493" s="45" t="n">
        <v>0.4</v>
      </c>
      <c r="L1493" s="45" t="s">
        <v>263</v>
      </c>
      <c r="M1493" s="45" t="s">
        <v>259</v>
      </c>
      <c r="N1493" s="45" t="s">
        <v>167</v>
      </c>
      <c r="O1493" s="47" t="n">
        <v>46245.2112615741</v>
      </c>
      <c r="P1493" s="47" t="n">
        <v>46245.2115277778</v>
      </c>
    </row>
    <row r="1494" customFormat="false" ht="15" hidden="false" customHeight="false" outlineLevel="0" collapsed="false">
      <c r="A1494" s="45" t="n">
        <v>1699</v>
      </c>
      <c r="B1494" s="46" t="n">
        <v>46245</v>
      </c>
      <c r="C1494" s="45" t="s">
        <v>141</v>
      </c>
      <c r="D1494" s="45" t="s">
        <v>142</v>
      </c>
      <c r="E1494" s="45" t="s">
        <v>225</v>
      </c>
      <c r="F1494" s="45" t="s">
        <v>3077</v>
      </c>
      <c r="G1494" s="46" t="n">
        <v>46242</v>
      </c>
      <c r="H1494" s="45" t="s">
        <v>167</v>
      </c>
      <c r="I1494" s="45" t="s">
        <v>176</v>
      </c>
      <c r="J1494" s="45" t="s">
        <v>3078</v>
      </c>
      <c r="K1494" s="45" t="n">
        <v>0.2</v>
      </c>
      <c r="L1494" s="45" t="s">
        <v>263</v>
      </c>
      <c r="M1494" s="45" t="s">
        <v>259</v>
      </c>
      <c r="N1494" s="45" t="s">
        <v>167</v>
      </c>
      <c r="O1494" s="47" t="n">
        <v>46245.2116087963</v>
      </c>
      <c r="P1494" s="47" t="n">
        <v>46245.2117476852</v>
      </c>
    </row>
    <row r="1495" customFormat="false" ht="15" hidden="false" customHeight="false" outlineLevel="0" collapsed="false">
      <c r="A1495" s="45" t="n">
        <v>1700</v>
      </c>
      <c r="B1495" s="46" t="n">
        <v>46245</v>
      </c>
      <c r="C1495" s="45" t="s">
        <v>133</v>
      </c>
      <c r="D1495" s="45" t="s">
        <v>134</v>
      </c>
      <c r="E1495" s="45" t="s">
        <v>1933</v>
      </c>
      <c r="F1495" s="45" t="s">
        <v>3079</v>
      </c>
      <c r="G1495" s="46" t="n">
        <v>46241</v>
      </c>
      <c r="H1495" s="45" t="s">
        <v>167</v>
      </c>
      <c r="I1495" s="45" t="s">
        <v>176</v>
      </c>
      <c r="J1495" s="45" t="s">
        <v>3080</v>
      </c>
      <c r="K1495" s="45" t="n">
        <v>16.5</v>
      </c>
      <c r="L1495" s="45" t="s">
        <v>263</v>
      </c>
      <c r="M1495" s="45" t="s">
        <v>259</v>
      </c>
      <c r="N1495" s="45" t="s">
        <v>167</v>
      </c>
      <c r="O1495" s="47" t="n">
        <v>46245.261712963</v>
      </c>
      <c r="P1495" s="47" t="n">
        <v>46245.2731828704</v>
      </c>
    </row>
    <row r="1496" customFormat="false" ht="15" hidden="false" customHeight="false" outlineLevel="0" collapsed="false">
      <c r="A1496" s="45" t="n">
        <v>1701</v>
      </c>
      <c r="B1496" s="46" t="n">
        <v>46245</v>
      </c>
      <c r="C1496" s="45" t="s">
        <v>133</v>
      </c>
      <c r="D1496" s="45" t="s">
        <v>134</v>
      </c>
      <c r="E1496" s="45" t="s">
        <v>2462</v>
      </c>
      <c r="F1496" s="45" t="s">
        <v>3081</v>
      </c>
      <c r="G1496" s="46" t="n">
        <v>46242</v>
      </c>
      <c r="H1496" s="45" t="s">
        <v>167</v>
      </c>
      <c r="I1496" s="45" t="s">
        <v>178</v>
      </c>
      <c r="J1496" s="45" t="s">
        <v>3082</v>
      </c>
      <c r="K1496" s="45" t="n">
        <v>15.4</v>
      </c>
      <c r="L1496" s="45" t="s">
        <v>263</v>
      </c>
      <c r="M1496" s="45" t="s">
        <v>259</v>
      </c>
      <c r="N1496" s="45" t="s">
        <v>167</v>
      </c>
      <c r="O1496" s="47" t="n">
        <v>46245.2732175926</v>
      </c>
      <c r="P1496" s="47" t="n">
        <v>46245.283900463</v>
      </c>
    </row>
    <row r="1497" customFormat="false" ht="15" hidden="false" customHeight="false" outlineLevel="0" collapsed="false">
      <c r="A1497" s="45" t="n">
        <v>1702</v>
      </c>
      <c r="B1497" s="46" t="n">
        <v>46245</v>
      </c>
      <c r="C1497" s="45" t="s">
        <v>133</v>
      </c>
      <c r="D1497" s="45" t="s">
        <v>134</v>
      </c>
      <c r="E1497" s="45" t="s">
        <v>2539</v>
      </c>
      <c r="F1497" s="45" t="s">
        <v>3083</v>
      </c>
      <c r="G1497" s="46" t="n">
        <v>46242</v>
      </c>
      <c r="H1497" s="45" t="s">
        <v>167</v>
      </c>
      <c r="I1497" s="45" t="s">
        <v>185</v>
      </c>
      <c r="J1497" s="45" t="s">
        <v>3084</v>
      </c>
      <c r="K1497" s="45" t="n">
        <v>10.6</v>
      </c>
      <c r="L1497" s="45" t="s">
        <v>263</v>
      </c>
      <c r="M1497" s="45" t="s">
        <v>259</v>
      </c>
      <c r="N1497" s="45" t="s">
        <v>167</v>
      </c>
      <c r="O1497" s="47" t="n">
        <v>46245.2839351852</v>
      </c>
      <c r="P1497" s="47" t="n">
        <v>46245.2912731482</v>
      </c>
    </row>
    <row r="1498" customFormat="false" ht="15" hidden="false" customHeight="false" outlineLevel="0" collapsed="false">
      <c r="A1498" s="45" t="n">
        <v>1703</v>
      </c>
      <c r="B1498" s="46" t="n">
        <v>46245</v>
      </c>
      <c r="C1498" s="45" t="s">
        <v>139</v>
      </c>
      <c r="D1498" s="45" t="s">
        <v>140</v>
      </c>
      <c r="E1498" s="45" t="s">
        <v>2666</v>
      </c>
      <c r="F1498" s="45" t="s">
        <v>3085</v>
      </c>
      <c r="G1498" s="46" t="n">
        <v>46244</v>
      </c>
      <c r="H1498" s="45" t="s">
        <v>168</v>
      </c>
      <c r="I1498" s="45" t="s">
        <v>191</v>
      </c>
      <c r="J1498" s="45" t="s">
        <v>3086</v>
      </c>
      <c r="K1498" s="45" t="n">
        <v>184.6</v>
      </c>
      <c r="L1498" s="45" t="s">
        <v>263</v>
      </c>
      <c r="M1498" s="45" t="s">
        <v>259</v>
      </c>
      <c r="N1498" s="45" t="s">
        <v>2559</v>
      </c>
      <c r="O1498" s="47" t="n">
        <v>46245.7800810185</v>
      </c>
      <c r="P1498" s="47" t="n">
        <v>46245.9082407407</v>
      </c>
    </row>
    <row r="1499" customFormat="false" ht="15" hidden="false" customHeight="false" outlineLevel="0" collapsed="false">
      <c r="A1499" s="45" t="n">
        <v>1707</v>
      </c>
      <c r="B1499" s="46" t="n">
        <v>46245</v>
      </c>
      <c r="C1499" s="45" t="s">
        <v>135</v>
      </c>
      <c r="D1499" s="45" t="s">
        <v>136</v>
      </c>
      <c r="E1499" s="45" t="s">
        <v>218</v>
      </c>
      <c r="F1499" s="45" t="s">
        <v>3087</v>
      </c>
      <c r="G1499" s="46" t="n">
        <v>46242</v>
      </c>
      <c r="H1499" s="45" t="s">
        <v>167</v>
      </c>
      <c r="I1499" s="45" t="s">
        <v>180</v>
      </c>
      <c r="J1499" s="45" t="s">
        <v>3088</v>
      </c>
      <c r="K1499" s="45" t="n">
        <v>157.8</v>
      </c>
      <c r="L1499" s="45" t="s">
        <v>263</v>
      </c>
      <c r="M1499" s="45" t="s">
        <v>259</v>
      </c>
      <c r="N1499" s="45" t="s">
        <v>167</v>
      </c>
      <c r="O1499" s="47" t="n">
        <v>46245.830150463</v>
      </c>
      <c r="P1499" s="47" t="n">
        <v>46245.9397453704</v>
      </c>
    </row>
    <row r="1500" customFormat="false" ht="15" hidden="false" customHeight="false" outlineLevel="0" collapsed="false">
      <c r="A1500" s="45" t="n">
        <v>1704</v>
      </c>
      <c r="B1500" s="46" t="n">
        <v>46245</v>
      </c>
      <c r="C1500" s="45" t="s">
        <v>139</v>
      </c>
      <c r="D1500" s="45" t="s">
        <v>140</v>
      </c>
      <c r="E1500" s="45" t="s">
        <v>2826</v>
      </c>
      <c r="F1500" s="45" t="s">
        <v>3089</v>
      </c>
      <c r="G1500" s="46" t="n">
        <v>46243</v>
      </c>
      <c r="H1500" s="45" t="s">
        <v>169</v>
      </c>
      <c r="I1500" s="45"/>
      <c r="J1500" s="45"/>
      <c r="K1500" s="45" t="n">
        <v>6.7</v>
      </c>
      <c r="L1500" s="45" t="s">
        <v>259</v>
      </c>
      <c r="M1500" s="45" t="s">
        <v>259</v>
      </c>
      <c r="N1500" s="45" t="s">
        <v>169</v>
      </c>
      <c r="O1500" s="47" t="n">
        <v>46245.9093402778</v>
      </c>
      <c r="P1500" s="47" t="n">
        <v>46245.9139583333</v>
      </c>
    </row>
    <row r="1501" customFormat="false" ht="15" hidden="false" customHeight="false" outlineLevel="0" collapsed="false">
      <c r="A1501" s="45" t="n">
        <v>1705</v>
      </c>
      <c r="B1501" s="46" t="n">
        <v>46245</v>
      </c>
      <c r="C1501" s="45" t="s">
        <v>139</v>
      </c>
      <c r="D1501" s="45" t="s">
        <v>140</v>
      </c>
      <c r="E1501" s="45" t="s">
        <v>2826</v>
      </c>
      <c r="F1501" s="45" t="s">
        <v>3089</v>
      </c>
      <c r="G1501" s="46" t="n">
        <v>46243</v>
      </c>
      <c r="H1501" s="45" t="s">
        <v>169</v>
      </c>
      <c r="I1501" s="45"/>
      <c r="J1501" s="45"/>
      <c r="K1501" s="45" t="n">
        <v>0.8</v>
      </c>
      <c r="L1501" s="45" t="s">
        <v>259</v>
      </c>
      <c r="M1501" s="45" t="s">
        <v>259</v>
      </c>
      <c r="N1501" s="45" t="s">
        <v>169</v>
      </c>
      <c r="O1501" s="47" t="n">
        <v>46245.9139814815</v>
      </c>
      <c r="P1501" s="47" t="n">
        <v>46245.9145138889</v>
      </c>
    </row>
    <row r="1502" customFormat="false" ht="15" hidden="false" customHeight="false" outlineLevel="0" collapsed="false">
      <c r="A1502" s="45" t="n">
        <v>1706</v>
      </c>
      <c r="B1502" s="46" t="n">
        <v>46245</v>
      </c>
      <c r="C1502" s="45" t="s">
        <v>139</v>
      </c>
      <c r="D1502" s="45" t="s">
        <v>140</v>
      </c>
      <c r="E1502" s="45" t="s">
        <v>2666</v>
      </c>
      <c r="F1502" s="45" t="s">
        <v>3090</v>
      </c>
      <c r="G1502" s="46" t="n">
        <v>46243</v>
      </c>
      <c r="H1502" s="45" t="s">
        <v>168</v>
      </c>
      <c r="I1502" s="45" t="s">
        <v>192</v>
      </c>
      <c r="J1502" s="45" t="s">
        <v>3091</v>
      </c>
      <c r="K1502" s="45" t="n">
        <v>18.9</v>
      </c>
      <c r="L1502" s="45" t="s">
        <v>263</v>
      </c>
      <c r="M1502" s="45" t="s">
        <v>259</v>
      </c>
      <c r="N1502" s="45" t="s">
        <v>2559</v>
      </c>
      <c r="O1502" s="47" t="n">
        <v>46245.9146875</v>
      </c>
      <c r="P1502" s="47" t="n">
        <v>46245.9278240741</v>
      </c>
    </row>
    <row r="1503" customFormat="false" ht="15" hidden="false" customHeight="false" outlineLevel="0" collapsed="false">
      <c r="A1503" s="45" t="n">
        <v>1709</v>
      </c>
      <c r="B1503" s="46" t="n">
        <v>46245</v>
      </c>
      <c r="C1503" s="45" t="s">
        <v>139</v>
      </c>
      <c r="D1503" s="45" t="s">
        <v>140</v>
      </c>
      <c r="E1503" s="45" t="s">
        <v>2677</v>
      </c>
      <c r="F1503" s="45" t="s">
        <v>3092</v>
      </c>
      <c r="G1503" s="46" t="n">
        <v>46243</v>
      </c>
      <c r="H1503" s="45" t="s">
        <v>168</v>
      </c>
      <c r="I1503" s="45" t="s">
        <v>191</v>
      </c>
      <c r="J1503" s="45" t="s">
        <v>3093</v>
      </c>
      <c r="K1503" s="45" t="n">
        <v>264.7</v>
      </c>
      <c r="L1503" s="45" t="s">
        <v>263</v>
      </c>
      <c r="M1503" s="45" t="s">
        <v>259</v>
      </c>
      <c r="N1503" s="45" t="s">
        <v>2559</v>
      </c>
      <c r="O1503" s="47" t="n">
        <v>46245.9399074074</v>
      </c>
      <c r="P1503" s="47" t="n">
        <v>46246.1237037037</v>
      </c>
    </row>
    <row r="1504" customFormat="false" ht="15" hidden="false" customHeight="false" outlineLevel="0" collapsed="false">
      <c r="A1504" s="45" t="n">
        <v>1708</v>
      </c>
      <c r="B1504" s="46" t="n">
        <v>46245</v>
      </c>
      <c r="C1504" s="45" t="s">
        <v>135</v>
      </c>
      <c r="D1504" s="45" t="s">
        <v>136</v>
      </c>
      <c r="E1504" s="45" t="s">
        <v>492</v>
      </c>
      <c r="F1504" s="45" t="s">
        <v>3094</v>
      </c>
      <c r="G1504" s="46" t="n">
        <v>46242</v>
      </c>
      <c r="H1504" s="45" t="s">
        <v>169</v>
      </c>
      <c r="I1504" s="45"/>
      <c r="J1504" s="45"/>
      <c r="K1504" s="45" t="n">
        <v>0.2</v>
      </c>
      <c r="L1504" s="45" t="s">
        <v>263</v>
      </c>
      <c r="M1504" s="45" t="s">
        <v>259</v>
      </c>
      <c r="N1504" s="45" t="s">
        <v>169</v>
      </c>
      <c r="O1504" s="47" t="n">
        <v>46245.9418287037</v>
      </c>
      <c r="P1504" s="47" t="n">
        <v>46245.9419444444</v>
      </c>
    </row>
    <row r="1505" customFormat="false" ht="15" hidden="false" customHeight="false" outlineLevel="0" collapsed="false">
      <c r="A1505" s="45" t="n">
        <v>1710</v>
      </c>
      <c r="B1505" s="46" t="n">
        <v>46246</v>
      </c>
      <c r="C1505" s="45" t="s">
        <v>137</v>
      </c>
      <c r="D1505" s="45" t="s">
        <v>138</v>
      </c>
      <c r="E1505" s="45" t="s">
        <v>1613</v>
      </c>
      <c r="F1505" s="45" t="s">
        <v>3095</v>
      </c>
      <c r="G1505" s="46" t="n">
        <v>46239</v>
      </c>
      <c r="H1505" s="45" t="s">
        <v>168</v>
      </c>
      <c r="I1505" s="45" t="s">
        <v>192</v>
      </c>
      <c r="J1505" s="45" t="s">
        <v>3096</v>
      </c>
      <c r="K1505" s="45" t="n">
        <v>4.5</v>
      </c>
      <c r="L1505" s="45" t="s">
        <v>263</v>
      </c>
      <c r="M1505" s="45" t="s">
        <v>259</v>
      </c>
      <c r="N1505" s="45" t="s">
        <v>2559</v>
      </c>
      <c r="O1505" s="47" t="n">
        <v>46246.1332523148</v>
      </c>
      <c r="P1505" s="47" t="n">
        <v>46246.1363425926</v>
      </c>
    </row>
    <row r="1506" customFormat="false" ht="15" hidden="false" customHeight="false" outlineLevel="0" collapsed="false">
      <c r="A1506" s="45" t="n">
        <v>1711</v>
      </c>
      <c r="B1506" s="46" t="n">
        <v>46246</v>
      </c>
      <c r="C1506" s="45" t="s">
        <v>137</v>
      </c>
      <c r="D1506" s="45" t="s">
        <v>138</v>
      </c>
      <c r="E1506" s="45" t="s">
        <v>229</v>
      </c>
      <c r="F1506" s="45" t="s">
        <v>3097</v>
      </c>
      <c r="G1506" s="46" t="n">
        <v>46245</v>
      </c>
      <c r="H1506" s="45" t="s">
        <v>167</v>
      </c>
      <c r="I1506" s="45" t="s">
        <v>181</v>
      </c>
      <c r="J1506" s="45" t="s">
        <v>3098</v>
      </c>
      <c r="K1506" s="45" t="n">
        <v>1</v>
      </c>
      <c r="L1506" s="45" t="s">
        <v>263</v>
      </c>
      <c r="M1506" s="45" t="s">
        <v>259</v>
      </c>
      <c r="N1506" s="45" t="s">
        <v>167</v>
      </c>
      <c r="O1506" s="47" t="n">
        <v>46246.1363657407</v>
      </c>
      <c r="P1506" s="47" t="n">
        <v>46246.1370717593</v>
      </c>
    </row>
    <row r="1507" customFormat="false" ht="15" hidden="false" customHeight="false" outlineLevel="0" collapsed="false">
      <c r="A1507" s="45" t="n">
        <v>1712</v>
      </c>
      <c r="B1507" s="46" t="n">
        <v>46246</v>
      </c>
      <c r="C1507" s="45" t="s">
        <v>137</v>
      </c>
      <c r="D1507" s="45" t="s">
        <v>138</v>
      </c>
      <c r="E1507" s="45" t="s">
        <v>1732</v>
      </c>
      <c r="F1507" s="45" t="s">
        <v>3099</v>
      </c>
      <c r="G1507" s="46" t="n">
        <v>46245</v>
      </c>
      <c r="H1507" s="45" t="s">
        <v>167</v>
      </c>
      <c r="I1507" s="45" t="s">
        <v>177</v>
      </c>
      <c r="J1507" s="45" t="s">
        <v>3100</v>
      </c>
      <c r="K1507" s="45" t="n">
        <v>0.6</v>
      </c>
      <c r="L1507" s="45" t="s">
        <v>263</v>
      </c>
      <c r="M1507" s="45" t="s">
        <v>259</v>
      </c>
      <c r="N1507" s="45" t="s">
        <v>167</v>
      </c>
      <c r="O1507" s="47" t="n">
        <v>46246.1370833333</v>
      </c>
      <c r="P1507" s="47" t="n">
        <v>46246.1374768519</v>
      </c>
    </row>
    <row r="1508" customFormat="false" ht="15" hidden="false" customHeight="false" outlineLevel="0" collapsed="false">
      <c r="A1508" s="45" t="n">
        <v>1713</v>
      </c>
      <c r="B1508" s="46" t="n">
        <v>46246</v>
      </c>
      <c r="C1508" s="45" t="s">
        <v>137</v>
      </c>
      <c r="D1508" s="45" t="s">
        <v>138</v>
      </c>
      <c r="E1508" s="45" t="s">
        <v>1732</v>
      </c>
      <c r="F1508" s="45" t="s">
        <v>3101</v>
      </c>
      <c r="G1508" s="46" t="n">
        <v>46245</v>
      </c>
      <c r="H1508" s="45" t="s">
        <v>167</v>
      </c>
      <c r="I1508" s="45" t="s">
        <v>184</v>
      </c>
      <c r="J1508" s="45" t="s">
        <v>3102</v>
      </c>
      <c r="K1508" s="45" t="n">
        <v>0.9</v>
      </c>
      <c r="L1508" s="45" t="s">
        <v>263</v>
      </c>
      <c r="M1508" s="45" t="s">
        <v>259</v>
      </c>
      <c r="N1508" s="45" t="s">
        <v>167</v>
      </c>
      <c r="O1508" s="47" t="n">
        <v>46246.1375347222</v>
      </c>
      <c r="P1508" s="47" t="n">
        <v>46246.1381828704</v>
      </c>
    </row>
    <row r="1509" customFormat="false" ht="15" hidden="false" customHeight="false" outlineLevel="0" collapsed="false">
      <c r="A1509" s="45" t="n">
        <v>1714</v>
      </c>
      <c r="B1509" s="46" t="n">
        <v>46246</v>
      </c>
      <c r="C1509" s="45" t="s">
        <v>137</v>
      </c>
      <c r="D1509" s="45" t="s">
        <v>138</v>
      </c>
      <c r="E1509" s="45" t="s">
        <v>1732</v>
      </c>
      <c r="F1509" s="45" t="s">
        <v>3103</v>
      </c>
      <c r="G1509" s="46" t="n">
        <v>46244</v>
      </c>
      <c r="H1509" s="45" t="s">
        <v>168</v>
      </c>
      <c r="I1509" s="45" t="s">
        <v>192</v>
      </c>
      <c r="J1509" s="45" t="s">
        <v>3104</v>
      </c>
      <c r="K1509" s="45" t="n">
        <v>0.5</v>
      </c>
      <c r="L1509" s="45" t="s">
        <v>263</v>
      </c>
      <c r="M1509" s="45" t="s">
        <v>259</v>
      </c>
      <c r="N1509" s="45" t="s">
        <v>2559</v>
      </c>
      <c r="O1509" s="47" t="n">
        <v>46246.1382060185</v>
      </c>
      <c r="P1509" s="47" t="n">
        <v>46246.1385300926</v>
      </c>
    </row>
    <row r="1510" customFormat="false" ht="15" hidden="false" customHeight="false" outlineLevel="0" collapsed="false">
      <c r="A1510" s="45" t="n">
        <v>1715</v>
      </c>
      <c r="B1510" s="46" t="n">
        <v>46246</v>
      </c>
      <c r="C1510" s="45" t="s">
        <v>137</v>
      </c>
      <c r="D1510" s="45" t="s">
        <v>138</v>
      </c>
      <c r="E1510" s="45" t="s">
        <v>223</v>
      </c>
      <c r="F1510" s="45" t="s">
        <v>3105</v>
      </c>
      <c r="G1510" s="46" t="n">
        <v>46243</v>
      </c>
      <c r="H1510" s="45" t="s">
        <v>167</v>
      </c>
      <c r="I1510" s="45" t="s">
        <v>181</v>
      </c>
      <c r="J1510" s="45" t="s">
        <v>3106</v>
      </c>
      <c r="K1510" s="45" t="n">
        <v>0.3</v>
      </c>
      <c r="L1510" s="45" t="s">
        <v>263</v>
      </c>
      <c r="M1510" s="45" t="s">
        <v>259</v>
      </c>
      <c r="N1510" s="45" t="s">
        <v>167</v>
      </c>
      <c r="O1510" s="47" t="n">
        <v>46246.1385532407</v>
      </c>
      <c r="P1510" s="47" t="n">
        <v>46246.1387962963</v>
      </c>
    </row>
    <row r="1511" customFormat="false" ht="15" hidden="false" customHeight="false" outlineLevel="0" collapsed="false">
      <c r="A1511" s="45" t="n">
        <v>1716</v>
      </c>
      <c r="B1511" s="46" t="n">
        <v>46246</v>
      </c>
      <c r="C1511" s="45" t="s">
        <v>135</v>
      </c>
      <c r="D1511" s="45" t="s">
        <v>136</v>
      </c>
      <c r="E1511" s="45" t="s">
        <v>238</v>
      </c>
      <c r="F1511" s="45" t="s">
        <v>3107</v>
      </c>
      <c r="G1511" s="46" t="n">
        <v>46243</v>
      </c>
      <c r="H1511" s="45" t="s">
        <v>167</v>
      </c>
      <c r="I1511" s="45" t="s">
        <v>178</v>
      </c>
      <c r="J1511" s="45" t="s">
        <v>3108</v>
      </c>
      <c r="K1511" s="45" t="n">
        <v>1.3</v>
      </c>
      <c r="L1511" s="45" t="s">
        <v>263</v>
      </c>
      <c r="M1511" s="45" t="s">
        <v>259</v>
      </c>
      <c r="N1511" s="45" t="s">
        <v>167</v>
      </c>
      <c r="O1511" s="47" t="n">
        <v>46246.825162037</v>
      </c>
      <c r="P1511" s="47" t="n">
        <v>46246.826087963</v>
      </c>
    </row>
    <row r="1512" customFormat="false" ht="15" hidden="false" customHeight="false" outlineLevel="0" collapsed="false">
      <c r="A1512" s="45" t="n">
        <v>1717</v>
      </c>
      <c r="B1512" s="46" t="n">
        <v>46246</v>
      </c>
      <c r="C1512" s="45" t="s">
        <v>135</v>
      </c>
      <c r="D1512" s="45" t="s">
        <v>136</v>
      </c>
      <c r="E1512" s="45" t="s">
        <v>1606</v>
      </c>
      <c r="F1512" s="45" t="s">
        <v>3109</v>
      </c>
      <c r="G1512" s="46" t="n">
        <v>46242</v>
      </c>
      <c r="H1512" s="45" t="s">
        <v>168</v>
      </c>
      <c r="I1512" s="45" t="s">
        <v>192</v>
      </c>
      <c r="J1512" s="45" t="s">
        <v>3110</v>
      </c>
      <c r="K1512" s="45" t="n">
        <v>2.4</v>
      </c>
      <c r="L1512" s="45" t="s">
        <v>263</v>
      </c>
      <c r="M1512" s="45" t="s">
        <v>259</v>
      </c>
      <c r="N1512" s="45" t="s">
        <v>2559</v>
      </c>
      <c r="O1512" s="47" t="n">
        <v>46246.8263078704</v>
      </c>
      <c r="P1512" s="47" t="n">
        <v>46246.827974537</v>
      </c>
    </row>
    <row r="1513" customFormat="false" ht="15" hidden="false" customHeight="false" outlineLevel="0" collapsed="false">
      <c r="A1513" s="45" t="n">
        <v>1718</v>
      </c>
      <c r="B1513" s="46" t="n">
        <v>46246</v>
      </c>
      <c r="C1513" s="45" t="s">
        <v>131</v>
      </c>
      <c r="D1513" s="45" t="s">
        <v>132</v>
      </c>
      <c r="E1513" s="45" t="s">
        <v>487</v>
      </c>
      <c r="F1513" s="45" t="s">
        <v>487</v>
      </c>
      <c r="G1513" s="46" t="n">
        <v>46243</v>
      </c>
      <c r="H1513" s="45" t="s">
        <v>167</v>
      </c>
      <c r="I1513" s="45" t="s">
        <v>176</v>
      </c>
      <c r="J1513" s="45" t="s">
        <v>3111</v>
      </c>
      <c r="K1513" s="45" t="n">
        <v>0.7</v>
      </c>
      <c r="L1513" s="45" t="s">
        <v>263</v>
      </c>
      <c r="M1513" s="45" t="s">
        <v>259</v>
      </c>
      <c r="N1513" s="45" t="s">
        <v>167</v>
      </c>
      <c r="O1513" s="47" t="n">
        <v>46246.8754166667</v>
      </c>
      <c r="P1513" s="47" t="n">
        <v>46246.8758680556</v>
      </c>
    </row>
    <row r="1514" customFormat="false" ht="15" hidden="false" customHeight="false" outlineLevel="0" collapsed="false">
      <c r="A1514" s="45" t="n">
        <v>1719</v>
      </c>
      <c r="B1514" s="46" t="n">
        <v>46246</v>
      </c>
      <c r="C1514" s="45" t="s">
        <v>131</v>
      </c>
      <c r="D1514" s="45" t="s">
        <v>132</v>
      </c>
      <c r="E1514" s="45" t="s">
        <v>2127</v>
      </c>
      <c r="F1514" s="45" t="s">
        <v>3112</v>
      </c>
      <c r="G1514" s="46" t="n">
        <v>46243</v>
      </c>
      <c r="H1514" s="45" t="s">
        <v>167</v>
      </c>
      <c r="I1514" s="45" t="s">
        <v>181</v>
      </c>
      <c r="J1514" s="45" t="s">
        <v>3113</v>
      </c>
      <c r="K1514" s="45" t="n">
        <v>0.9</v>
      </c>
      <c r="L1514" s="45" t="s">
        <v>263</v>
      </c>
      <c r="M1514" s="45" t="s">
        <v>259</v>
      </c>
      <c r="N1514" s="45" t="s">
        <v>167</v>
      </c>
      <c r="O1514" s="47" t="n">
        <v>46246.9079398148</v>
      </c>
      <c r="P1514" s="47" t="n">
        <v>46246.9085532407</v>
      </c>
    </row>
    <row r="1515" customFormat="false" ht="15" hidden="false" customHeight="false" outlineLevel="0" collapsed="false">
      <c r="A1515" s="45" t="n">
        <v>1720</v>
      </c>
      <c r="B1515" s="46" t="n">
        <v>46246</v>
      </c>
      <c r="C1515" s="45" t="s">
        <v>131</v>
      </c>
      <c r="D1515" s="45" t="s">
        <v>132</v>
      </c>
      <c r="E1515" s="45" t="s">
        <v>2226</v>
      </c>
      <c r="F1515" s="45" t="s">
        <v>3114</v>
      </c>
      <c r="G1515" s="46" t="n">
        <v>46246</v>
      </c>
      <c r="H1515" s="45" t="s">
        <v>57</v>
      </c>
      <c r="I1515" s="45" t="s">
        <v>200</v>
      </c>
      <c r="J1515" s="45" t="s">
        <v>3115</v>
      </c>
      <c r="K1515" s="45" t="n">
        <v>1.9</v>
      </c>
      <c r="L1515" s="45" t="s">
        <v>263</v>
      </c>
      <c r="M1515" s="45" t="s">
        <v>259</v>
      </c>
      <c r="N1515" s="45" t="s">
        <v>57</v>
      </c>
      <c r="O1515" s="47" t="n">
        <v>46246.9087384259</v>
      </c>
      <c r="P1515" s="47" t="n">
        <v>46246.9100347222</v>
      </c>
    </row>
    <row r="1516" customFormat="false" ht="15" hidden="false" customHeight="false" outlineLevel="0" collapsed="false">
      <c r="A1516" s="45" t="n">
        <v>1721</v>
      </c>
      <c r="B1516" s="46" t="n">
        <v>46246</v>
      </c>
      <c r="C1516" s="45" t="s">
        <v>131</v>
      </c>
      <c r="D1516" s="45" t="s">
        <v>132</v>
      </c>
      <c r="E1516" s="45" t="s">
        <v>2127</v>
      </c>
      <c r="F1516" s="45" t="s">
        <v>3116</v>
      </c>
      <c r="G1516" s="46" t="n">
        <v>46244</v>
      </c>
      <c r="H1516" s="45" t="s">
        <v>170</v>
      </c>
      <c r="I1516" s="45" t="s">
        <v>207</v>
      </c>
      <c r="J1516" s="45" t="s">
        <v>3117</v>
      </c>
      <c r="K1516" s="45" t="n">
        <v>0.8</v>
      </c>
      <c r="L1516" s="45" t="s">
        <v>263</v>
      </c>
      <c r="M1516" s="45" t="s">
        <v>259</v>
      </c>
      <c r="N1516" s="45" t="s">
        <v>2649</v>
      </c>
      <c r="O1516" s="47" t="n">
        <v>46246.9117476852</v>
      </c>
      <c r="P1516" s="47" t="n">
        <v>46246.9123148148</v>
      </c>
    </row>
    <row r="1517" customFormat="false" ht="15" hidden="false" customHeight="false" outlineLevel="0" collapsed="false">
      <c r="A1517" s="45" t="n">
        <v>1722</v>
      </c>
      <c r="B1517" s="46" t="n">
        <v>46247</v>
      </c>
      <c r="C1517" s="45" t="s">
        <v>135</v>
      </c>
      <c r="D1517" s="45" t="s">
        <v>136</v>
      </c>
      <c r="E1517" s="45" t="s">
        <v>1606</v>
      </c>
      <c r="F1517" s="45" t="s">
        <v>3118</v>
      </c>
      <c r="G1517" s="46" t="n">
        <v>46242</v>
      </c>
      <c r="H1517" s="45" t="s">
        <v>168</v>
      </c>
      <c r="I1517" s="45" t="s">
        <v>191</v>
      </c>
      <c r="J1517" s="45" t="s">
        <v>3119</v>
      </c>
      <c r="K1517" s="45" t="n">
        <v>1</v>
      </c>
      <c r="L1517" s="45" t="s">
        <v>263</v>
      </c>
      <c r="M1517" s="45" t="s">
        <v>259</v>
      </c>
      <c r="N1517" s="45" t="s">
        <v>2559</v>
      </c>
      <c r="O1517" s="47" t="n">
        <v>46247.0620833333</v>
      </c>
      <c r="P1517" s="47" t="n">
        <v>46247.0627777778</v>
      </c>
    </row>
    <row r="1518" customFormat="false" ht="15" hidden="false" customHeight="false" outlineLevel="0" collapsed="false">
      <c r="A1518" s="45" t="n">
        <v>1723</v>
      </c>
      <c r="B1518" s="46" t="n">
        <v>46247</v>
      </c>
      <c r="C1518" s="45" t="s">
        <v>135</v>
      </c>
      <c r="D1518" s="45" t="s">
        <v>136</v>
      </c>
      <c r="E1518" s="45" t="s">
        <v>236</v>
      </c>
      <c r="F1518" s="45" t="s">
        <v>3120</v>
      </c>
      <c r="G1518" s="46" t="n">
        <v>46242</v>
      </c>
      <c r="H1518" s="45" t="s">
        <v>168</v>
      </c>
      <c r="I1518" s="45" t="s">
        <v>192</v>
      </c>
      <c r="J1518" s="45" t="s">
        <v>3121</v>
      </c>
      <c r="K1518" s="45" t="n">
        <v>1.4</v>
      </c>
      <c r="L1518" s="45" t="s">
        <v>263</v>
      </c>
      <c r="M1518" s="45" t="s">
        <v>259</v>
      </c>
      <c r="N1518" s="45" t="s">
        <v>2559</v>
      </c>
      <c r="O1518" s="47" t="n">
        <v>46247.0628125</v>
      </c>
      <c r="P1518" s="47" t="n">
        <v>46247.06375</v>
      </c>
    </row>
    <row r="1519" customFormat="false" ht="15" hidden="false" customHeight="false" outlineLevel="0" collapsed="false">
      <c r="A1519" s="45" t="n">
        <v>1724</v>
      </c>
      <c r="B1519" s="46" t="n">
        <v>46247</v>
      </c>
      <c r="C1519" s="45" t="s">
        <v>131</v>
      </c>
      <c r="D1519" s="45" t="s">
        <v>132</v>
      </c>
      <c r="E1519" s="45" t="s">
        <v>2143</v>
      </c>
      <c r="F1519" s="45" t="s">
        <v>3122</v>
      </c>
      <c r="G1519" s="46" t="n">
        <v>46246</v>
      </c>
      <c r="H1519" s="45" t="s">
        <v>167</v>
      </c>
      <c r="I1519" s="45" t="s">
        <v>176</v>
      </c>
      <c r="J1519" s="45" t="s">
        <v>3123</v>
      </c>
      <c r="K1519" s="45" t="n">
        <v>0.8</v>
      </c>
      <c r="L1519" s="45" t="s">
        <v>263</v>
      </c>
      <c r="M1519" s="45" t="s">
        <v>259</v>
      </c>
      <c r="N1519" s="45" t="s">
        <v>167</v>
      </c>
      <c r="O1519" s="47" t="n">
        <v>46247.8020601852</v>
      </c>
      <c r="P1519" s="47" t="n">
        <v>46247.8025810185</v>
      </c>
    </row>
    <row r="1520" customFormat="false" ht="15" hidden="false" customHeight="false" outlineLevel="0" collapsed="false">
      <c r="A1520" s="45" t="n">
        <v>1725</v>
      </c>
      <c r="B1520" s="46" t="n">
        <v>46247</v>
      </c>
      <c r="C1520" s="45" t="s">
        <v>131</v>
      </c>
      <c r="D1520" s="45" t="s">
        <v>132</v>
      </c>
      <c r="E1520" s="45" t="s">
        <v>2143</v>
      </c>
      <c r="F1520" s="45" t="s">
        <v>3124</v>
      </c>
      <c r="G1520" s="46" t="n">
        <v>46246</v>
      </c>
      <c r="H1520" s="45" t="s">
        <v>168</v>
      </c>
      <c r="I1520" s="45" t="s">
        <v>192</v>
      </c>
      <c r="J1520" s="45" t="s">
        <v>3125</v>
      </c>
      <c r="K1520" s="45" t="n">
        <v>1.1</v>
      </c>
      <c r="L1520" s="45" t="s">
        <v>263</v>
      </c>
      <c r="M1520" s="45" t="s">
        <v>259</v>
      </c>
      <c r="N1520" s="45" t="s">
        <v>2559</v>
      </c>
      <c r="O1520" s="47" t="n">
        <v>46247.8026273148</v>
      </c>
      <c r="P1520" s="47" t="n">
        <v>46247.8034143519</v>
      </c>
    </row>
    <row r="1521" customFormat="false" ht="15" hidden="false" customHeight="false" outlineLevel="0" collapsed="false">
      <c r="A1521" s="45" t="n">
        <v>1726</v>
      </c>
      <c r="B1521" s="46" t="n">
        <v>46248</v>
      </c>
      <c r="C1521" s="45" t="s">
        <v>133</v>
      </c>
      <c r="D1521" s="45" t="s">
        <v>134</v>
      </c>
      <c r="E1521" s="45" t="s">
        <v>2594</v>
      </c>
      <c r="F1521" s="45" t="s">
        <v>3126</v>
      </c>
      <c r="G1521" s="46" t="n">
        <v>46244</v>
      </c>
      <c r="H1521" s="45" t="s">
        <v>167</v>
      </c>
      <c r="I1521" s="45" t="s">
        <v>179</v>
      </c>
      <c r="J1521" s="45" t="s">
        <v>3127</v>
      </c>
      <c r="K1521" s="45" t="n">
        <v>33.5</v>
      </c>
      <c r="L1521" s="45" t="s">
        <v>259</v>
      </c>
      <c r="M1521" s="45" t="s">
        <v>259</v>
      </c>
      <c r="N1521" s="45" t="s">
        <v>167</v>
      </c>
      <c r="O1521" s="47" t="n">
        <v>46248.1631481482</v>
      </c>
      <c r="P1521" s="47" t="n">
        <v>46248.1863888889</v>
      </c>
    </row>
    <row r="1522" customFormat="false" ht="15" hidden="false" customHeight="false" outlineLevel="0" collapsed="false">
      <c r="A1522" s="45" t="n">
        <v>1727</v>
      </c>
      <c r="B1522" s="46" t="n">
        <v>46248</v>
      </c>
      <c r="C1522" s="45" t="s">
        <v>131</v>
      </c>
      <c r="D1522" s="45" t="s">
        <v>132</v>
      </c>
      <c r="E1522" s="45" t="s">
        <v>2254</v>
      </c>
      <c r="F1522" s="45" t="s">
        <v>3128</v>
      </c>
      <c r="G1522" s="46" t="n">
        <v>46248</v>
      </c>
      <c r="H1522" s="45" t="s">
        <v>170</v>
      </c>
      <c r="I1522" s="45" t="s">
        <v>206</v>
      </c>
      <c r="J1522" s="45" t="s">
        <v>3129</v>
      </c>
      <c r="K1522" s="45" t="n">
        <v>2.1</v>
      </c>
      <c r="L1522" s="45" t="s">
        <v>263</v>
      </c>
      <c r="M1522" s="45" t="s">
        <v>259</v>
      </c>
      <c r="N1522" s="45" t="s">
        <v>2649</v>
      </c>
      <c r="O1522" s="47" t="n">
        <v>46248.8845023148</v>
      </c>
      <c r="P1522" s="47" t="n">
        <v>46248.8859606482</v>
      </c>
    </row>
    <row r="1523" customFormat="false" ht="15" hidden="false" customHeight="false" outlineLevel="0" collapsed="false">
      <c r="A1523" s="45" t="n">
        <v>1728</v>
      </c>
      <c r="B1523" s="46" t="n">
        <v>46248</v>
      </c>
      <c r="C1523" s="45" t="s">
        <v>131</v>
      </c>
      <c r="D1523" s="45" t="s">
        <v>132</v>
      </c>
      <c r="E1523" s="45" t="s">
        <v>487</v>
      </c>
      <c r="F1523" s="45" t="s">
        <v>3130</v>
      </c>
      <c r="G1523" s="46" t="n">
        <v>46247</v>
      </c>
      <c r="H1523" s="45" t="s">
        <v>168</v>
      </c>
      <c r="I1523" s="45" t="s">
        <v>192</v>
      </c>
      <c r="J1523" s="45" t="s">
        <v>3131</v>
      </c>
      <c r="K1523" s="45" t="n">
        <v>1.5</v>
      </c>
      <c r="L1523" s="45" t="s">
        <v>263</v>
      </c>
      <c r="M1523" s="45" t="s">
        <v>259</v>
      </c>
      <c r="N1523" s="45" t="s">
        <v>2559</v>
      </c>
      <c r="O1523" s="47" t="n">
        <v>46248.8861574074</v>
      </c>
      <c r="P1523" s="47" t="n">
        <v>46248.8871759259</v>
      </c>
    </row>
    <row r="1524" customFormat="false" ht="15" hidden="false" customHeight="false" outlineLevel="0" collapsed="false">
      <c r="A1524" s="45" t="n">
        <v>1729</v>
      </c>
      <c r="B1524" s="46" t="n">
        <v>46248</v>
      </c>
      <c r="C1524" s="45" t="s">
        <v>131</v>
      </c>
      <c r="D1524" s="45" t="s">
        <v>132</v>
      </c>
      <c r="E1524" s="45" t="s">
        <v>240</v>
      </c>
      <c r="F1524" s="45" t="s">
        <v>240</v>
      </c>
      <c r="G1524" s="46" t="n">
        <v>46247</v>
      </c>
      <c r="H1524" s="45" t="s">
        <v>167</v>
      </c>
      <c r="I1524" s="45" t="s">
        <v>181</v>
      </c>
      <c r="J1524" s="45" t="s">
        <v>3132</v>
      </c>
      <c r="K1524" s="45" t="n">
        <v>1.8</v>
      </c>
      <c r="L1524" s="45" t="s">
        <v>263</v>
      </c>
      <c r="M1524" s="45" t="s">
        <v>259</v>
      </c>
      <c r="N1524" s="45" t="s">
        <v>167</v>
      </c>
      <c r="O1524" s="47" t="n">
        <v>46248.8875115741</v>
      </c>
      <c r="P1524" s="47" t="n">
        <v>46248.8887847222</v>
      </c>
    </row>
    <row r="1525" customFormat="false" ht="15" hidden="false" customHeight="false" outlineLevel="0" collapsed="false">
      <c r="A1525" s="45" t="n">
        <v>1730</v>
      </c>
      <c r="B1525" s="46" t="n">
        <v>46248</v>
      </c>
      <c r="C1525" s="45" t="s">
        <v>131</v>
      </c>
      <c r="D1525" s="45" t="s">
        <v>132</v>
      </c>
      <c r="E1525" s="45" t="s">
        <v>240</v>
      </c>
      <c r="F1525" s="45" t="s">
        <v>3133</v>
      </c>
      <c r="G1525" s="46" t="n">
        <v>46247</v>
      </c>
      <c r="H1525" s="45" t="s">
        <v>167</v>
      </c>
      <c r="I1525" s="45" t="s">
        <v>176</v>
      </c>
      <c r="J1525" s="45" t="s">
        <v>3134</v>
      </c>
      <c r="K1525" s="45" t="n">
        <v>1.1</v>
      </c>
      <c r="L1525" s="45" t="s">
        <v>259</v>
      </c>
      <c r="M1525" s="45" t="s">
        <v>259</v>
      </c>
      <c r="N1525" s="45" t="s">
        <v>167</v>
      </c>
      <c r="O1525" s="47" t="n">
        <v>46248.8890625</v>
      </c>
      <c r="P1525" s="47" t="n">
        <v>46248.8898611111</v>
      </c>
    </row>
    <row r="1526" customFormat="false" ht="15" hidden="false" customHeight="false" outlineLevel="0" collapsed="false">
      <c r="A1526" s="45" t="n">
        <v>1731</v>
      </c>
      <c r="B1526" s="46" t="n">
        <v>46249</v>
      </c>
      <c r="C1526" s="45" t="s">
        <v>131</v>
      </c>
      <c r="D1526" s="45" t="s">
        <v>132</v>
      </c>
      <c r="E1526" s="45" t="s">
        <v>240</v>
      </c>
      <c r="F1526" s="45" t="s">
        <v>3133</v>
      </c>
      <c r="G1526" s="46" t="n">
        <v>46248</v>
      </c>
      <c r="H1526" s="45" t="s">
        <v>167</v>
      </c>
      <c r="I1526" s="45" t="s">
        <v>181</v>
      </c>
      <c r="J1526" s="45" t="s">
        <v>3135</v>
      </c>
      <c r="K1526" s="45" t="n">
        <v>196.1</v>
      </c>
      <c r="L1526" s="45" t="s">
        <v>259</v>
      </c>
      <c r="M1526" s="45" t="s">
        <v>259</v>
      </c>
      <c r="N1526" s="45" t="s">
        <v>167</v>
      </c>
      <c r="O1526" s="47" t="n">
        <v>46249.8472106482</v>
      </c>
      <c r="P1526" s="47" t="n">
        <v>46249.9833796296</v>
      </c>
    </row>
    <row r="1527" customFormat="false" ht="15" hidden="false" customHeight="false" outlineLevel="0" collapsed="false">
      <c r="A1527" s="45" t="n">
        <v>1732</v>
      </c>
      <c r="B1527" s="46" t="n">
        <v>46250</v>
      </c>
      <c r="C1527" s="45" t="s">
        <v>133</v>
      </c>
      <c r="D1527" s="45" t="s">
        <v>134</v>
      </c>
      <c r="E1527" s="45" t="s">
        <v>241</v>
      </c>
      <c r="F1527" s="45" t="s">
        <v>3136</v>
      </c>
      <c r="G1527" s="46" t="n">
        <v>46245</v>
      </c>
      <c r="H1527" s="45" t="s">
        <v>167</v>
      </c>
      <c r="I1527" s="45" t="s">
        <v>177</v>
      </c>
      <c r="J1527" s="45" t="s">
        <v>3137</v>
      </c>
      <c r="K1527" s="45" t="n">
        <v>7.2</v>
      </c>
      <c r="L1527" s="45" t="s">
        <v>263</v>
      </c>
      <c r="M1527" s="45" t="s">
        <v>259</v>
      </c>
      <c r="N1527" s="45" t="s">
        <v>167</v>
      </c>
      <c r="O1527" s="47" t="n">
        <v>46250.3465856482</v>
      </c>
      <c r="P1527" s="47" t="n">
        <v>46250.3515972222</v>
      </c>
    </row>
    <row r="1528" customFormat="false" ht="15" hidden="false" customHeight="false" outlineLevel="0" collapsed="false">
      <c r="A1528" s="45" t="n">
        <v>1733</v>
      </c>
      <c r="B1528" s="46" t="n">
        <v>46250</v>
      </c>
      <c r="C1528" s="45" t="s">
        <v>133</v>
      </c>
      <c r="D1528" s="45" t="s">
        <v>134</v>
      </c>
      <c r="E1528" s="45" t="s">
        <v>241</v>
      </c>
      <c r="F1528" s="45" t="s">
        <v>3138</v>
      </c>
      <c r="G1528" s="46" t="n">
        <v>46245</v>
      </c>
      <c r="H1528" s="45" t="s">
        <v>167</v>
      </c>
      <c r="I1528" s="45" t="s">
        <v>179</v>
      </c>
      <c r="J1528" s="45" t="s">
        <v>3139</v>
      </c>
      <c r="K1528" s="45" t="n">
        <v>0.9</v>
      </c>
      <c r="L1528" s="45" t="s">
        <v>263</v>
      </c>
      <c r="M1528" s="45" t="s">
        <v>259</v>
      </c>
      <c r="N1528" s="45" t="s">
        <v>167</v>
      </c>
      <c r="O1528" s="47" t="n">
        <v>46250.3582986111</v>
      </c>
      <c r="P1528" s="47" t="n">
        <v>46250.358912037</v>
      </c>
    </row>
    <row r="1529" customFormat="false" ht="15" hidden="false" customHeight="false" outlineLevel="0" collapsed="false">
      <c r="A1529" s="45" t="n">
        <v>1734</v>
      </c>
      <c r="B1529" s="46" t="n">
        <v>46250</v>
      </c>
      <c r="C1529" s="45" t="s">
        <v>133</v>
      </c>
      <c r="D1529" s="45" t="s">
        <v>134</v>
      </c>
      <c r="E1529" s="45" t="s">
        <v>241</v>
      </c>
      <c r="F1529" s="45" t="s">
        <v>3140</v>
      </c>
      <c r="G1529" s="46" t="n">
        <v>46245</v>
      </c>
      <c r="H1529" s="45" t="s">
        <v>169</v>
      </c>
      <c r="I1529" s="45"/>
      <c r="J1529" s="45"/>
      <c r="K1529" s="45" t="n">
        <v>1.6</v>
      </c>
      <c r="L1529" s="45" t="s">
        <v>263</v>
      </c>
      <c r="M1529" s="45" t="s">
        <v>259</v>
      </c>
      <c r="N1529" s="45" t="s">
        <v>169</v>
      </c>
      <c r="O1529" s="47" t="n">
        <v>46250.3592824074</v>
      </c>
      <c r="P1529" s="47" t="n">
        <v>46250.3604050926</v>
      </c>
    </row>
    <row r="1530" customFormat="false" ht="15" hidden="false" customHeight="false" outlineLevel="0" collapsed="false">
      <c r="A1530" s="45" t="n">
        <v>1735</v>
      </c>
      <c r="B1530" s="46" t="n">
        <v>46250</v>
      </c>
      <c r="C1530" s="45" t="s">
        <v>133</v>
      </c>
      <c r="D1530" s="45" t="s">
        <v>134</v>
      </c>
      <c r="E1530" s="45" t="s">
        <v>241</v>
      </c>
      <c r="F1530" s="45" t="s">
        <v>3141</v>
      </c>
      <c r="G1530" s="46" t="n">
        <v>46244</v>
      </c>
      <c r="H1530" s="45" t="s">
        <v>167</v>
      </c>
      <c r="I1530" s="45" t="s">
        <v>176</v>
      </c>
      <c r="J1530" s="45" t="s">
        <v>3142</v>
      </c>
      <c r="K1530" s="45" t="n">
        <v>23.6</v>
      </c>
      <c r="L1530" s="45" t="s">
        <v>263</v>
      </c>
      <c r="M1530" s="45" t="s">
        <v>259</v>
      </c>
      <c r="N1530" s="45" t="s">
        <v>167</v>
      </c>
      <c r="O1530" s="47" t="n">
        <v>46250.3604398148</v>
      </c>
      <c r="P1530" s="47" t="n">
        <v>46250.3768287037</v>
      </c>
    </row>
    <row r="1531" customFormat="false" ht="15" hidden="false" customHeight="false" outlineLevel="0" collapsed="false">
      <c r="A1531" s="45" t="n">
        <v>1736</v>
      </c>
      <c r="B1531" s="46" t="n">
        <v>46250</v>
      </c>
      <c r="C1531" s="45" t="s">
        <v>133</v>
      </c>
      <c r="D1531" s="45" t="s">
        <v>134</v>
      </c>
      <c r="E1531" s="45" t="s">
        <v>1930</v>
      </c>
      <c r="F1531" s="45" t="s">
        <v>3143</v>
      </c>
      <c r="G1531" s="46" t="n">
        <v>46245</v>
      </c>
      <c r="H1531" s="45" t="s">
        <v>167</v>
      </c>
      <c r="I1531" s="45" t="s">
        <v>176</v>
      </c>
      <c r="J1531" s="45" t="s">
        <v>3144</v>
      </c>
      <c r="K1531" s="45" t="n">
        <v>14.1</v>
      </c>
      <c r="L1531" s="45" t="s">
        <v>263</v>
      </c>
      <c r="M1531" s="45" t="s">
        <v>259</v>
      </c>
      <c r="N1531" s="45" t="s">
        <v>167</v>
      </c>
      <c r="O1531" s="47" t="n">
        <v>46250.3778009259</v>
      </c>
      <c r="P1531" s="47" t="n">
        <v>46250.3875925926</v>
      </c>
    </row>
    <row r="1532" customFormat="false" ht="15" hidden="false" customHeight="false" outlineLevel="0" collapsed="false">
      <c r="A1532" s="45" t="n">
        <v>1737</v>
      </c>
      <c r="B1532" s="46" t="n">
        <v>46250</v>
      </c>
      <c r="C1532" s="45" t="s">
        <v>133</v>
      </c>
      <c r="D1532" s="45" t="s">
        <v>134</v>
      </c>
      <c r="E1532" s="45" t="s">
        <v>2542</v>
      </c>
      <c r="F1532" s="45" t="s">
        <v>3145</v>
      </c>
      <c r="G1532" s="46" t="n">
        <v>46244</v>
      </c>
      <c r="H1532" s="45" t="s">
        <v>57</v>
      </c>
      <c r="I1532" s="45" t="s">
        <v>200</v>
      </c>
      <c r="J1532" s="45" t="s">
        <v>3146</v>
      </c>
      <c r="K1532" s="45" t="n">
        <v>20.3</v>
      </c>
      <c r="L1532" s="45" t="s">
        <v>263</v>
      </c>
      <c r="M1532" s="45" t="s">
        <v>259</v>
      </c>
      <c r="N1532" s="45" t="s">
        <v>57</v>
      </c>
      <c r="O1532" s="47" t="n">
        <v>46250.3899305556</v>
      </c>
      <c r="P1532" s="47" t="n">
        <v>46250.4040046296</v>
      </c>
    </row>
    <row r="1533" customFormat="false" ht="15" hidden="false" customHeight="false" outlineLevel="0" collapsed="false">
      <c r="A1533" s="45" t="n">
        <v>1738</v>
      </c>
      <c r="B1533" s="46" t="n">
        <v>46250</v>
      </c>
      <c r="C1533" s="45" t="s">
        <v>133</v>
      </c>
      <c r="D1533" s="45" t="s">
        <v>134</v>
      </c>
      <c r="E1533" s="45" t="s">
        <v>2594</v>
      </c>
      <c r="F1533" s="45" t="s">
        <v>3126</v>
      </c>
      <c r="G1533" s="46" t="n">
        <v>46244</v>
      </c>
      <c r="H1533" s="45" t="s">
        <v>167</v>
      </c>
      <c r="I1533" s="45" t="s">
        <v>179</v>
      </c>
      <c r="J1533" s="45" t="s">
        <v>3147</v>
      </c>
      <c r="K1533" s="45" t="n">
        <v>6.2</v>
      </c>
      <c r="L1533" s="45" t="s">
        <v>259</v>
      </c>
      <c r="M1533" s="45" t="s">
        <v>259</v>
      </c>
      <c r="N1533" s="45" t="s">
        <v>167</v>
      </c>
      <c r="O1533" s="47" t="n">
        <v>46250.4040393519</v>
      </c>
      <c r="P1533" s="47" t="n">
        <v>46250.4083796296</v>
      </c>
    </row>
    <row r="1534" customFormat="false" ht="15" hidden="false" customHeight="false" outlineLevel="0" collapsed="false">
      <c r="A1534" s="45" t="n">
        <v>1739</v>
      </c>
      <c r="B1534" s="46" t="n">
        <v>46250</v>
      </c>
      <c r="C1534" s="45" t="s">
        <v>133</v>
      </c>
      <c r="D1534" s="45" t="s">
        <v>134</v>
      </c>
      <c r="E1534" s="45" t="s">
        <v>2457</v>
      </c>
      <c r="F1534" s="45" t="s">
        <v>3148</v>
      </c>
      <c r="G1534" s="46" t="n">
        <v>46245</v>
      </c>
      <c r="H1534" s="45" t="s">
        <v>168</v>
      </c>
      <c r="I1534" s="45" t="s">
        <v>191</v>
      </c>
      <c r="J1534" s="45" t="s">
        <v>3149</v>
      </c>
      <c r="K1534" s="45" t="n">
        <v>7.2</v>
      </c>
      <c r="L1534" s="45" t="s">
        <v>263</v>
      </c>
      <c r="M1534" s="45" t="s">
        <v>259</v>
      </c>
      <c r="N1534" s="45" t="s">
        <v>2559</v>
      </c>
      <c r="O1534" s="47" t="n">
        <v>46250.4111921296</v>
      </c>
      <c r="P1534" s="47" t="n">
        <v>46250.4161689815</v>
      </c>
    </row>
    <row r="1535" customFormat="false" ht="15" hidden="false" customHeight="false" outlineLevel="0" collapsed="false">
      <c r="A1535" s="45" t="n">
        <v>1740</v>
      </c>
      <c r="B1535" s="46" t="n">
        <v>46250</v>
      </c>
      <c r="C1535" s="45" t="s">
        <v>133</v>
      </c>
      <c r="D1535" s="45" t="s">
        <v>134</v>
      </c>
      <c r="E1535" s="45" t="s">
        <v>2539</v>
      </c>
      <c r="F1535" s="45" t="s">
        <v>3150</v>
      </c>
      <c r="G1535" s="46" t="n">
        <v>46245</v>
      </c>
      <c r="H1535" s="45" t="s">
        <v>167</v>
      </c>
      <c r="I1535" s="45" t="s">
        <v>179</v>
      </c>
      <c r="J1535" s="45" t="s">
        <v>3151</v>
      </c>
      <c r="K1535" s="45" t="n">
        <v>9.4</v>
      </c>
      <c r="L1535" s="45" t="s">
        <v>263</v>
      </c>
      <c r="M1535" s="45" t="s">
        <v>259</v>
      </c>
      <c r="N1535" s="45" t="s">
        <v>167</v>
      </c>
      <c r="O1535" s="47" t="n">
        <v>46250.4165972222</v>
      </c>
      <c r="P1535" s="47" t="n">
        <v>46250.4231481482</v>
      </c>
    </row>
    <row r="1536" customFormat="false" ht="15" hidden="false" customHeight="false" outlineLevel="0" collapsed="false">
      <c r="A1536" s="45" t="n">
        <v>1741</v>
      </c>
      <c r="B1536" s="46" t="n">
        <v>46250</v>
      </c>
      <c r="C1536" s="45" t="s">
        <v>133</v>
      </c>
      <c r="D1536" s="45" t="s">
        <v>134</v>
      </c>
      <c r="E1536" s="45" t="s">
        <v>2539</v>
      </c>
      <c r="F1536" s="45" t="s">
        <v>3152</v>
      </c>
      <c r="G1536" s="46" t="n">
        <v>46246</v>
      </c>
      <c r="H1536" s="45" t="s">
        <v>167</v>
      </c>
      <c r="I1536" s="45" t="s">
        <v>177</v>
      </c>
      <c r="J1536" s="45" t="s">
        <v>3153</v>
      </c>
      <c r="K1536" s="45" t="n">
        <v>6.3</v>
      </c>
      <c r="L1536" s="45" t="s">
        <v>263</v>
      </c>
      <c r="M1536" s="45" t="s">
        <v>259</v>
      </c>
      <c r="N1536" s="45" t="s">
        <v>167</v>
      </c>
      <c r="O1536" s="47" t="n">
        <v>46250.4232638889</v>
      </c>
      <c r="P1536" s="47" t="n">
        <v>46250.427650463</v>
      </c>
    </row>
    <row r="1537" customFormat="false" ht="15" hidden="false" customHeight="false" outlineLevel="0" collapsed="false">
      <c r="A1537" s="45" t="n">
        <v>1742</v>
      </c>
      <c r="B1537" s="46" t="n">
        <v>46250</v>
      </c>
      <c r="C1537" s="45" t="s">
        <v>133</v>
      </c>
      <c r="D1537" s="45" t="s">
        <v>134</v>
      </c>
      <c r="E1537" s="45" t="s">
        <v>2542</v>
      </c>
      <c r="F1537" s="45" t="s">
        <v>3154</v>
      </c>
      <c r="G1537" s="46" t="n">
        <v>46246</v>
      </c>
      <c r="H1537" s="45" t="s">
        <v>167</v>
      </c>
      <c r="I1537" s="45" t="s">
        <v>179</v>
      </c>
      <c r="J1537" s="45" t="s">
        <v>3155</v>
      </c>
      <c r="K1537" s="45" t="n">
        <v>12.3</v>
      </c>
      <c r="L1537" s="45" t="s">
        <v>263</v>
      </c>
      <c r="M1537" s="45" t="s">
        <v>259</v>
      </c>
      <c r="N1537" s="45" t="s">
        <v>167</v>
      </c>
      <c r="O1537" s="47" t="n">
        <v>46250.4286342593</v>
      </c>
      <c r="P1537" s="47" t="n">
        <v>46250.4371875</v>
      </c>
    </row>
    <row r="1538" customFormat="false" ht="15" hidden="false" customHeight="false" outlineLevel="0" collapsed="false">
      <c r="A1538" s="45" t="n">
        <v>1743</v>
      </c>
      <c r="B1538" s="46" t="n">
        <v>46250</v>
      </c>
      <c r="C1538" s="45" t="s">
        <v>137</v>
      </c>
      <c r="D1538" s="45" t="s">
        <v>138</v>
      </c>
      <c r="E1538" s="45" t="s">
        <v>1613</v>
      </c>
      <c r="F1538" s="45" t="s">
        <v>3156</v>
      </c>
      <c r="G1538" s="46" t="n">
        <v>46248</v>
      </c>
      <c r="H1538" s="45" t="s">
        <v>167</v>
      </c>
      <c r="I1538" s="45" t="s">
        <v>176</v>
      </c>
      <c r="J1538" s="45" t="s">
        <v>3157</v>
      </c>
      <c r="K1538" s="45" t="n">
        <v>1.6</v>
      </c>
      <c r="L1538" s="45" t="s">
        <v>263</v>
      </c>
      <c r="M1538" s="45" t="s">
        <v>259</v>
      </c>
      <c r="N1538" s="45" t="s">
        <v>167</v>
      </c>
      <c r="O1538" s="47" t="n">
        <v>46250.9487152778</v>
      </c>
      <c r="P1538" s="47" t="n">
        <v>46250.949849537</v>
      </c>
    </row>
    <row r="1539" customFormat="false" ht="15" hidden="false" customHeight="false" outlineLevel="0" collapsed="false">
      <c r="A1539" s="45" t="n">
        <v>1744</v>
      </c>
      <c r="B1539" s="46" t="n">
        <v>46250</v>
      </c>
      <c r="C1539" s="45" t="s">
        <v>137</v>
      </c>
      <c r="D1539" s="45" t="s">
        <v>138</v>
      </c>
      <c r="E1539" s="45" t="s">
        <v>223</v>
      </c>
      <c r="F1539" s="45" t="s">
        <v>3158</v>
      </c>
      <c r="G1539" s="46" t="n">
        <v>46247</v>
      </c>
      <c r="H1539" s="45" t="s">
        <v>167</v>
      </c>
      <c r="I1539" s="45" t="s">
        <v>184</v>
      </c>
      <c r="J1539" s="45" t="s">
        <v>3159</v>
      </c>
      <c r="K1539" s="45" t="n">
        <v>0.6</v>
      </c>
      <c r="L1539" s="45" t="s">
        <v>263</v>
      </c>
      <c r="M1539" s="45" t="s">
        <v>259</v>
      </c>
      <c r="N1539" s="45" t="s">
        <v>167</v>
      </c>
      <c r="O1539" s="47" t="n">
        <v>46250.9498726852</v>
      </c>
      <c r="P1539" s="47" t="n">
        <v>46250.9503009259</v>
      </c>
    </row>
    <row r="1540" customFormat="false" ht="15" hidden="false" customHeight="false" outlineLevel="0" collapsed="false">
      <c r="A1540" s="45" t="n">
        <v>1745</v>
      </c>
      <c r="B1540" s="46" t="n">
        <v>46250</v>
      </c>
      <c r="C1540" s="45" t="s">
        <v>137</v>
      </c>
      <c r="D1540" s="45" t="s">
        <v>138</v>
      </c>
      <c r="E1540" s="45" t="s">
        <v>1613</v>
      </c>
      <c r="F1540" s="45" t="s">
        <v>3160</v>
      </c>
      <c r="G1540" s="46" t="n">
        <v>46246</v>
      </c>
      <c r="H1540" s="45" t="s">
        <v>168</v>
      </c>
      <c r="I1540" s="45" t="s">
        <v>196</v>
      </c>
      <c r="J1540" s="45" t="s">
        <v>3161</v>
      </c>
      <c r="K1540" s="45" t="n">
        <v>0.8</v>
      </c>
      <c r="L1540" s="45" t="s">
        <v>263</v>
      </c>
      <c r="M1540" s="45" t="s">
        <v>259</v>
      </c>
      <c r="N1540" s="45" t="s">
        <v>2559</v>
      </c>
      <c r="O1540" s="47" t="n">
        <v>46250.9503240741</v>
      </c>
      <c r="P1540" s="47" t="n">
        <v>46250.9508796296</v>
      </c>
    </row>
    <row r="1541" customFormat="false" ht="15" hidden="false" customHeight="false" outlineLevel="0" collapsed="false">
      <c r="A1541" s="45" t="n">
        <v>1746</v>
      </c>
      <c r="B1541" s="46" t="n">
        <v>46250</v>
      </c>
      <c r="C1541" s="45" t="s">
        <v>137</v>
      </c>
      <c r="D1541" s="45" t="s">
        <v>138</v>
      </c>
      <c r="E1541" s="45" t="s">
        <v>223</v>
      </c>
      <c r="F1541" s="45" t="s">
        <v>3162</v>
      </c>
      <c r="G1541" s="46" t="n">
        <v>46237</v>
      </c>
      <c r="H1541" s="45" t="s">
        <v>168</v>
      </c>
      <c r="I1541" s="45" t="s">
        <v>194</v>
      </c>
      <c r="J1541" s="45" t="s">
        <v>3163</v>
      </c>
      <c r="K1541" s="45" t="n">
        <v>0.3</v>
      </c>
      <c r="L1541" s="45" t="s">
        <v>263</v>
      </c>
      <c r="M1541" s="45" t="s">
        <v>259</v>
      </c>
      <c r="N1541" s="45" t="s">
        <v>2559</v>
      </c>
      <c r="O1541" s="47" t="n">
        <v>46250.9508912037</v>
      </c>
      <c r="P1541" s="47" t="n">
        <v>46250.951099537</v>
      </c>
    </row>
    <row r="1542" customFormat="false" ht="15" hidden="false" customHeight="false" outlineLevel="0" collapsed="false">
      <c r="A1542" s="45" t="n">
        <v>1747</v>
      </c>
      <c r="B1542" s="46" t="n">
        <v>46250</v>
      </c>
      <c r="C1542" s="45" t="s">
        <v>137</v>
      </c>
      <c r="D1542" s="45" t="s">
        <v>138</v>
      </c>
      <c r="E1542" s="45" t="s">
        <v>219</v>
      </c>
      <c r="F1542" s="45" t="s">
        <v>3164</v>
      </c>
      <c r="G1542" s="46" t="n">
        <v>46233</v>
      </c>
      <c r="H1542" s="45" t="s">
        <v>167</v>
      </c>
      <c r="I1542" s="45" t="s">
        <v>180</v>
      </c>
      <c r="J1542" s="45" t="s">
        <v>3165</v>
      </c>
      <c r="K1542" s="45" t="n">
        <v>0.3</v>
      </c>
      <c r="L1542" s="45" t="s">
        <v>263</v>
      </c>
      <c r="M1542" s="45" t="s">
        <v>259</v>
      </c>
      <c r="N1542" s="45" t="s">
        <v>167</v>
      </c>
      <c r="O1542" s="47" t="n">
        <v>46250.9511226852</v>
      </c>
      <c r="P1542" s="47" t="n">
        <v>46250.9513657407</v>
      </c>
    </row>
    <row r="1543" customFormat="false" ht="15" hidden="false" customHeight="false" outlineLevel="0" collapsed="false">
      <c r="A1543" s="45" t="n">
        <v>1748</v>
      </c>
      <c r="B1543" s="46" t="n">
        <v>46250</v>
      </c>
      <c r="C1543" s="45" t="s">
        <v>131</v>
      </c>
      <c r="D1543" s="45" t="s">
        <v>132</v>
      </c>
      <c r="E1543" s="45" t="s">
        <v>2254</v>
      </c>
      <c r="F1543" s="45" t="s">
        <v>3166</v>
      </c>
      <c r="G1543" s="46" t="n">
        <v>46249</v>
      </c>
      <c r="H1543" s="45" t="s">
        <v>167</v>
      </c>
      <c r="I1543" s="45" t="s">
        <v>176</v>
      </c>
      <c r="J1543" s="45" t="s">
        <v>3167</v>
      </c>
      <c r="K1543" s="45" t="n">
        <v>24.1</v>
      </c>
      <c r="L1543" s="45" t="s">
        <v>263</v>
      </c>
      <c r="M1543" s="45" t="s">
        <v>259</v>
      </c>
      <c r="N1543" s="45" t="s">
        <v>167</v>
      </c>
      <c r="O1543" s="47" t="n">
        <v>46250.9744444444</v>
      </c>
      <c r="P1543" s="47" t="n">
        <v>46250.9911458333</v>
      </c>
    </row>
    <row r="1544" customFormat="false" ht="15" hidden="false" customHeight="false" outlineLevel="0" collapsed="false">
      <c r="A1544" s="45" t="n">
        <v>1749</v>
      </c>
      <c r="B1544" s="46" t="n">
        <v>46251</v>
      </c>
      <c r="C1544" s="45" t="s">
        <v>137</v>
      </c>
      <c r="D1544" s="45" t="s">
        <v>138</v>
      </c>
      <c r="E1544" s="45" t="s">
        <v>1732</v>
      </c>
      <c r="F1544" s="45" t="s">
        <v>3168</v>
      </c>
      <c r="G1544" s="46" t="n">
        <v>46246</v>
      </c>
      <c r="H1544" s="45" t="s">
        <v>168</v>
      </c>
      <c r="I1544" s="45" t="s">
        <v>193</v>
      </c>
      <c r="J1544" s="45" t="s">
        <v>3169</v>
      </c>
      <c r="K1544" s="45" t="n">
        <v>1.8</v>
      </c>
      <c r="L1544" s="45" t="s">
        <v>263</v>
      </c>
      <c r="M1544" s="45" t="s">
        <v>259</v>
      </c>
      <c r="N1544" s="45" t="s">
        <v>2559</v>
      </c>
      <c r="O1544" s="47" t="n">
        <v>46251.035775463</v>
      </c>
      <c r="P1544" s="47" t="n">
        <v>46251.037037037</v>
      </c>
    </row>
    <row r="1545" customFormat="false" ht="15" hidden="false" customHeight="false" outlineLevel="0" collapsed="false">
      <c r="A1545" s="45" t="n">
        <v>1750</v>
      </c>
      <c r="B1545" s="46" t="n">
        <v>46251</v>
      </c>
      <c r="C1545" s="45" t="s">
        <v>133</v>
      </c>
      <c r="D1545" s="45" t="s">
        <v>134</v>
      </c>
      <c r="E1545" s="45" t="s">
        <v>2465</v>
      </c>
      <c r="F1545" s="45" t="s">
        <v>3170</v>
      </c>
      <c r="G1545" s="46" t="n">
        <v>46250</v>
      </c>
      <c r="H1545" s="45" t="s">
        <v>167</v>
      </c>
      <c r="I1545" s="45" t="s">
        <v>179</v>
      </c>
      <c r="J1545" s="45" t="s">
        <v>3171</v>
      </c>
      <c r="K1545" s="45" t="n">
        <v>105.1</v>
      </c>
      <c r="L1545" s="45" t="s">
        <v>263</v>
      </c>
      <c r="M1545" s="45" t="s">
        <v>259</v>
      </c>
      <c r="N1545" s="45" t="s">
        <v>167</v>
      </c>
      <c r="O1545" s="47" t="n">
        <v>46251.0508101852</v>
      </c>
      <c r="P1545" s="47" t="n">
        <v>46251.1238194444</v>
      </c>
    </row>
    <row r="1546" customFormat="false" ht="15" hidden="false" customHeight="false" outlineLevel="0" collapsed="false">
      <c r="A1546" s="45" t="n">
        <v>1751</v>
      </c>
      <c r="B1546" s="46" t="n">
        <v>46251</v>
      </c>
      <c r="C1546" s="45" t="s">
        <v>135</v>
      </c>
      <c r="D1546" s="45" t="s">
        <v>136</v>
      </c>
      <c r="E1546" s="45" t="s">
        <v>218</v>
      </c>
      <c r="F1546" s="45" t="s">
        <v>3172</v>
      </c>
      <c r="G1546" s="46" t="n">
        <v>46246</v>
      </c>
      <c r="H1546" s="45" t="s">
        <v>168</v>
      </c>
      <c r="I1546" s="45" t="s">
        <v>191</v>
      </c>
      <c r="J1546" s="45" t="s">
        <v>3173</v>
      </c>
      <c r="K1546" s="45" t="n">
        <v>64</v>
      </c>
      <c r="L1546" s="45" t="s">
        <v>263</v>
      </c>
      <c r="M1546" s="45" t="s">
        <v>259</v>
      </c>
      <c r="N1546" s="45" t="s">
        <v>2559</v>
      </c>
      <c r="O1546" s="47" t="n">
        <v>46251.1379861111</v>
      </c>
      <c r="P1546" s="47" t="n">
        <v>46251.1823958333</v>
      </c>
    </row>
    <row r="1547" customFormat="false" ht="15" hidden="false" customHeight="false" outlineLevel="0" collapsed="false">
      <c r="A1547" s="45" t="n">
        <v>1752</v>
      </c>
      <c r="B1547" s="46" t="n">
        <v>46251</v>
      </c>
      <c r="C1547" s="45" t="s">
        <v>135</v>
      </c>
      <c r="D1547" s="45" t="s">
        <v>136</v>
      </c>
      <c r="E1547" s="45" t="s">
        <v>218</v>
      </c>
      <c r="F1547" s="45" t="s">
        <v>3174</v>
      </c>
      <c r="G1547" s="46" t="n">
        <v>46245</v>
      </c>
      <c r="H1547" s="45" t="s">
        <v>167</v>
      </c>
      <c r="I1547" s="45" t="s">
        <v>176</v>
      </c>
      <c r="J1547" s="45" t="s">
        <v>3175</v>
      </c>
      <c r="K1547" s="45" t="n">
        <v>5.8</v>
      </c>
      <c r="L1547" s="45" t="s">
        <v>263</v>
      </c>
      <c r="M1547" s="45" t="s">
        <v>259</v>
      </c>
      <c r="N1547" s="45" t="s">
        <v>167</v>
      </c>
      <c r="O1547" s="47" t="n">
        <v>46251.1824305556</v>
      </c>
      <c r="P1547" s="47" t="n">
        <v>46251.1864467593</v>
      </c>
    </row>
    <row r="1548" customFormat="false" ht="15" hidden="false" customHeight="false" outlineLevel="0" collapsed="false">
      <c r="A1548" s="45" t="n">
        <v>1753</v>
      </c>
      <c r="B1548" s="46" t="n">
        <v>46251</v>
      </c>
      <c r="C1548" s="45" t="s">
        <v>133</v>
      </c>
      <c r="D1548" s="45" t="s">
        <v>134</v>
      </c>
      <c r="E1548" s="45" t="s">
        <v>2594</v>
      </c>
      <c r="F1548" s="45" t="s">
        <v>3176</v>
      </c>
      <c r="G1548" s="46" t="n">
        <v>46249</v>
      </c>
      <c r="H1548" s="45" t="s">
        <v>167</v>
      </c>
      <c r="I1548" s="45" t="s">
        <v>179</v>
      </c>
      <c r="J1548" s="45" t="s">
        <v>3177</v>
      </c>
      <c r="K1548" s="45" t="n">
        <v>9.2</v>
      </c>
      <c r="L1548" s="45" t="s">
        <v>263</v>
      </c>
      <c r="M1548" s="45" t="s">
        <v>259</v>
      </c>
      <c r="N1548" s="45" t="s">
        <v>167</v>
      </c>
      <c r="O1548" s="47" t="n">
        <v>46251.4083680556</v>
      </c>
      <c r="P1548" s="47" t="n">
        <v>46251.4147453704</v>
      </c>
    </row>
    <row r="1549" customFormat="false" ht="15" hidden="false" customHeight="false" outlineLevel="0" collapsed="false">
      <c r="A1549" s="45" t="n">
        <v>1754</v>
      </c>
      <c r="B1549" s="46" t="n">
        <v>46251</v>
      </c>
      <c r="C1549" s="45" t="s">
        <v>133</v>
      </c>
      <c r="D1549" s="45" t="s">
        <v>134</v>
      </c>
      <c r="E1549" s="45" t="s">
        <v>2933</v>
      </c>
      <c r="F1549" s="45" t="s">
        <v>3178</v>
      </c>
      <c r="G1549" s="46" t="n">
        <v>46249</v>
      </c>
      <c r="H1549" s="45" t="s">
        <v>167</v>
      </c>
      <c r="I1549" s="45" t="s">
        <v>176</v>
      </c>
      <c r="J1549" s="45" t="s">
        <v>3179</v>
      </c>
      <c r="K1549" s="45" t="n">
        <v>10.2</v>
      </c>
      <c r="L1549" s="45" t="s">
        <v>263</v>
      </c>
      <c r="M1549" s="45" t="s">
        <v>259</v>
      </c>
      <c r="N1549" s="45" t="s">
        <v>167</v>
      </c>
      <c r="O1549" s="47" t="n">
        <v>46251.4147685185</v>
      </c>
      <c r="P1549" s="47" t="n">
        <v>46251.4218171296</v>
      </c>
    </row>
    <row r="1550" customFormat="false" ht="15" hidden="false" customHeight="false" outlineLevel="0" collapsed="false">
      <c r="A1550" s="45" t="n">
        <v>1755</v>
      </c>
      <c r="B1550" s="46" t="n">
        <v>46251</v>
      </c>
      <c r="C1550" s="45" t="s">
        <v>133</v>
      </c>
      <c r="D1550" s="45" t="s">
        <v>134</v>
      </c>
      <c r="E1550" s="45" t="s">
        <v>2591</v>
      </c>
      <c r="F1550" s="45" t="s">
        <v>3180</v>
      </c>
      <c r="G1550" s="46" t="n">
        <v>46249</v>
      </c>
      <c r="H1550" s="45" t="s">
        <v>167</v>
      </c>
      <c r="I1550" s="45" t="s">
        <v>176</v>
      </c>
      <c r="J1550" s="45" t="s">
        <v>3181</v>
      </c>
      <c r="K1550" s="45" t="n">
        <v>60.4</v>
      </c>
      <c r="L1550" s="45" t="s">
        <v>263</v>
      </c>
      <c r="M1550" s="45" t="s">
        <v>259</v>
      </c>
      <c r="N1550" s="45" t="s">
        <v>167</v>
      </c>
      <c r="O1550" s="47" t="n">
        <v>46251.4221527778</v>
      </c>
      <c r="P1550" s="47" t="n">
        <v>46251.4640625</v>
      </c>
    </row>
    <row r="1551" customFormat="false" ht="15" hidden="false" customHeight="false" outlineLevel="0" collapsed="false">
      <c r="A1551" s="45" t="n">
        <v>1756</v>
      </c>
      <c r="B1551" s="46" t="n">
        <v>46251</v>
      </c>
      <c r="C1551" s="45" t="s">
        <v>133</v>
      </c>
      <c r="D1551" s="45" t="s">
        <v>134</v>
      </c>
      <c r="E1551" s="45" t="s">
        <v>2542</v>
      </c>
      <c r="F1551" s="45" t="s">
        <v>3182</v>
      </c>
      <c r="G1551" s="46" t="n">
        <v>46241</v>
      </c>
      <c r="H1551" s="45" t="s">
        <v>167</v>
      </c>
      <c r="I1551" s="45" t="s">
        <v>176</v>
      </c>
      <c r="J1551" s="45" t="s">
        <v>3183</v>
      </c>
      <c r="K1551" s="45" t="n">
        <v>15.4</v>
      </c>
      <c r="L1551" s="45" t="s">
        <v>263</v>
      </c>
      <c r="M1551" s="45" t="s">
        <v>259</v>
      </c>
      <c r="N1551" s="45" t="s">
        <v>167</v>
      </c>
      <c r="O1551" s="47" t="n">
        <v>46251.4670717593</v>
      </c>
      <c r="P1551" s="47" t="n">
        <v>46251.4777777778</v>
      </c>
    </row>
    <row r="1552" customFormat="false" ht="15" hidden="false" customHeight="false" outlineLevel="0" collapsed="false">
      <c r="A1552" s="45" t="n">
        <v>1757</v>
      </c>
      <c r="B1552" s="46" t="n">
        <v>46251</v>
      </c>
      <c r="C1552" s="45" t="s">
        <v>133</v>
      </c>
      <c r="D1552" s="45" t="s">
        <v>134</v>
      </c>
      <c r="E1552" s="45" t="s">
        <v>2591</v>
      </c>
      <c r="F1552" s="45" t="s">
        <v>3184</v>
      </c>
      <c r="G1552" s="46" t="n">
        <v>46247</v>
      </c>
      <c r="H1552" s="45" t="s">
        <v>167</v>
      </c>
      <c r="I1552" s="45" t="s">
        <v>179</v>
      </c>
      <c r="J1552" s="45" t="s">
        <v>3185</v>
      </c>
      <c r="K1552" s="45" t="n">
        <v>154.7</v>
      </c>
      <c r="L1552" s="45" t="s">
        <v>263</v>
      </c>
      <c r="M1552" s="45" t="s">
        <v>259</v>
      </c>
      <c r="N1552" s="45" t="s">
        <v>167</v>
      </c>
      <c r="O1552" s="47" t="n">
        <v>46251.4791203704</v>
      </c>
      <c r="P1552" s="47" t="n">
        <v>46251.5865162037</v>
      </c>
    </row>
    <row r="1553" customFormat="false" ht="15" hidden="false" customHeight="false" outlineLevel="0" collapsed="false">
      <c r="A1553" s="45" t="n">
        <v>1758</v>
      </c>
      <c r="B1553" s="46" t="n">
        <v>46251</v>
      </c>
      <c r="C1553" s="45" t="s">
        <v>137</v>
      </c>
      <c r="D1553" s="45" t="s">
        <v>138</v>
      </c>
      <c r="E1553" s="45" t="s">
        <v>1616</v>
      </c>
      <c r="F1553" s="45" t="s">
        <v>3186</v>
      </c>
      <c r="G1553" s="46" t="n">
        <v>46246</v>
      </c>
      <c r="H1553" s="45" t="s">
        <v>167</v>
      </c>
      <c r="I1553" s="45" t="s">
        <v>178</v>
      </c>
      <c r="J1553" s="45" t="s">
        <v>874</v>
      </c>
      <c r="K1553" s="45" t="n">
        <v>1.1</v>
      </c>
      <c r="L1553" s="45" t="s">
        <v>263</v>
      </c>
      <c r="M1553" s="45" t="s">
        <v>259</v>
      </c>
      <c r="N1553" s="45" t="s">
        <v>167</v>
      </c>
      <c r="O1553" s="47" t="n">
        <v>46251.6003356482</v>
      </c>
      <c r="P1553" s="47" t="n">
        <v>46251.6011226852</v>
      </c>
    </row>
    <row r="1554" customFormat="false" ht="15" hidden="false" customHeight="false" outlineLevel="0" collapsed="false">
      <c r="A1554" s="45" t="n">
        <v>1759</v>
      </c>
      <c r="B1554" s="46" t="n">
        <v>46251</v>
      </c>
      <c r="C1554" s="45" t="s">
        <v>139</v>
      </c>
      <c r="D1554" s="45" t="s">
        <v>140</v>
      </c>
      <c r="E1554" s="45" t="s">
        <v>2671</v>
      </c>
      <c r="F1554" s="45" t="s">
        <v>2672</v>
      </c>
      <c r="G1554" s="46" t="n">
        <v>46225</v>
      </c>
      <c r="H1554" s="45" t="s">
        <v>167</v>
      </c>
      <c r="I1554" s="45" t="s">
        <v>178</v>
      </c>
      <c r="J1554" s="45" t="s">
        <v>3187</v>
      </c>
      <c r="K1554" s="45" t="n">
        <v>24.9</v>
      </c>
      <c r="L1554" s="45" t="s">
        <v>259</v>
      </c>
      <c r="M1554" s="45" t="s">
        <v>259</v>
      </c>
      <c r="N1554" s="45" t="s">
        <v>167</v>
      </c>
      <c r="O1554" s="47" t="n">
        <v>46251.6375694444</v>
      </c>
      <c r="P1554" s="47" t="n">
        <v>46251.6548611111</v>
      </c>
    </row>
    <row r="1555" customFormat="false" ht="15" hidden="false" customHeight="false" outlineLevel="0" collapsed="false">
      <c r="A1555" s="45" t="n">
        <v>1760</v>
      </c>
      <c r="B1555" s="46" t="n">
        <v>46251</v>
      </c>
      <c r="C1555" s="45" t="s">
        <v>139</v>
      </c>
      <c r="D1555" s="45" t="s">
        <v>140</v>
      </c>
      <c r="E1555" s="45" t="s">
        <v>2671</v>
      </c>
      <c r="F1555" s="45" t="s">
        <v>3188</v>
      </c>
      <c r="G1555" s="46" t="n">
        <v>46250</v>
      </c>
      <c r="H1555" s="45" t="s">
        <v>168</v>
      </c>
      <c r="I1555" s="45" t="s">
        <v>194</v>
      </c>
      <c r="J1555" s="45" t="s">
        <v>3189</v>
      </c>
      <c r="K1555" s="45" t="n">
        <v>75</v>
      </c>
      <c r="L1555" s="45" t="s">
        <v>263</v>
      </c>
      <c r="M1555" s="45" t="s">
        <v>259</v>
      </c>
      <c r="N1555" s="45" t="s">
        <v>2559</v>
      </c>
      <c r="O1555" s="47" t="n">
        <v>46251.6554861111</v>
      </c>
      <c r="P1555" s="47" t="n">
        <v>46251.7075925926</v>
      </c>
    </row>
    <row r="1556" customFormat="false" ht="15" hidden="false" customHeight="false" outlineLevel="0" collapsed="false">
      <c r="A1556" s="45" t="n">
        <v>1761</v>
      </c>
      <c r="B1556" s="46" t="n">
        <v>46251</v>
      </c>
      <c r="C1556" s="45" t="s">
        <v>139</v>
      </c>
      <c r="D1556" s="45" t="s">
        <v>140</v>
      </c>
      <c r="E1556" s="45" t="s">
        <v>221</v>
      </c>
      <c r="F1556" s="45" t="s">
        <v>3190</v>
      </c>
      <c r="G1556" s="46" t="n">
        <v>46250</v>
      </c>
      <c r="H1556" s="45" t="s">
        <v>167</v>
      </c>
      <c r="I1556" s="45" t="s">
        <v>178</v>
      </c>
      <c r="J1556" s="45" t="s">
        <v>3191</v>
      </c>
      <c r="K1556" s="45" t="n">
        <v>50.3</v>
      </c>
      <c r="L1556" s="45" t="s">
        <v>263</v>
      </c>
      <c r="M1556" s="45" t="s">
        <v>259</v>
      </c>
      <c r="N1556" s="45" t="s">
        <v>167</v>
      </c>
      <c r="O1556" s="47" t="n">
        <v>46251.7147685185</v>
      </c>
      <c r="P1556" s="47" t="n">
        <v>46251.7496759259</v>
      </c>
    </row>
    <row r="1557" customFormat="false" ht="15" hidden="false" customHeight="false" outlineLevel="0" collapsed="false">
      <c r="A1557" s="45" t="n">
        <v>1762</v>
      </c>
      <c r="B1557" s="46" t="n">
        <v>46251</v>
      </c>
      <c r="C1557" s="45" t="s">
        <v>139</v>
      </c>
      <c r="D1557" s="45" t="s">
        <v>140</v>
      </c>
      <c r="E1557" s="45" t="s">
        <v>2816</v>
      </c>
      <c r="F1557" s="45" t="s">
        <v>3192</v>
      </c>
      <c r="G1557" s="46" t="n">
        <v>46250</v>
      </c>
      <c r="H1557" s="45" t="s">
        <v>169</v>
      </c>
      <c r="I1557" s="45"/>
      <c r="J1557" s="45"/>
      <c r="K1557" s="45" t="n">
        <v>1.7</v>
      </c>
      <c r="L1557" s="45" t="s">
        <v>263</v>
      </c>
      <c r="M1557" s="45" t="s">
        <v>259</v>
      </c>
      <c r="N1557" s="45" t="s">
        <v>169</v>
      </c>
      <c r="O1557" s="47" t="n">
        <v>46251.7557060185</v>
      </c>
      <c r="P1557" s="47" t="n">
        <v>46251.7568865741</v>
      </c>
    </row>
    <row r="1558" customFormat="false" ht="15" hidden="false" customHeight="false" outlineLevel="0" collapsed="false">
      <c r="A1558" s="45" t="n">
        <v>1763</v>
      </c>
      <c r="B1558" s="46" t="n">
        <v>46251</v>
      </c>
      <c r="C1558" s="45" t="s">
        <v>139</v>
      </c>
      <c r="D1558" s="45" t="s">
        <v>140</v>
      </c>
      <c r="E1558" s="45" t="s">
        <v>2801</v>
      </c>
      <c r="F1558" s="45" t="s">
        <v>3193</v>
      </c>
      <c r="G1558" s="46" t="n">
        <v>46250</v>
      </c>
      <c r="H1558" s="45" t="s">
        <v>167</v>
      </c>
      <c r="I1558" s="45" t="s">
        <v>177</v>
      </c>
      <c r="J1558" s="45" t="s">
        <v>3194</v>
      </c>
      <c r="K1558" s="45" t="n">
        <v>66.4</v>
      </c>
      <c r="L1558" s="45" t="s">
        <v>263</v>
      </c>
      <c r="M1558" s="45" t="s">
        <v>259</v>
      </c>
      <c r="N1558" s="45" t="s">
        <v>167</v>
      </c>
      <c r="O1558" s="47" t="n">
        <v>46251.7610532407</v>
      </c>
      <c r="P1558" s="47" t="n">
        <v>46251.8071759259</v>
      </c>
    </row>
    <row r="1559" customFormat="false" ht="15" hidden="false" customHeight="false" outlineLevel="0" collapsed="false">
      <c r="A1559" s="45" t="n">
        <v>1764</v>
      </c>
      <c r="B1559" s="46" t="n">
        <v>46251</v>
      </c>
      <c r="C1559" s="45" t="s">
        <v>139</v>
      </c>
      <c r="D1559" s="45" t="s">
        <v>140</v>
      </c>
      <c r="E1559" s="45" t="s">
        <v>2666</v>
      </c>
      <c r="F1559" s="45" t="s">
        <v>3195</v>
      </c>
      <c r="G1559" s="46" t="n">
        <v>46250</v>
      </c>
      <c r="H1559" s="45" t="s">
        <v>168</v>
      </c>
      <c r="I1559" s="45" t="s">
        <v>197</v>
      </c>
      <c r="J1559" s="45" t="s">
        <v>3196</v>
      </c>
      <c r="K1559" s="45" t="n">
        <v>1.4</v>
      </c>
      <c r="L1559" s="45" t="s">
        <v>263</v>
      </c>
      <c r="M1559" s="45" t="s">
        <v>259</v>
      </c>
      <c r="N1559" s="45" t="s">
        <v>2559</v>
      </c>
      <c r="O1559" s="47" t="n">
        <v>46251.8309606482</v>
      </c>
      <c r="P1559" s="47" t="n">
        <v>46251.8319444444</v>
      </c>
    </row>
    <row r="1560" customFormat="false" ht="15" hidden="false" customHeight="false" outlineLevel="0" collapsed="false">
      <c r="A1560" s="45" t="n">
        <v>1765</v>
      </c>
      <c r="B1560" s="46" t="n">
        <v>46251</v>
      </c>
      <c r="C1560" s="45" t="s">
        <v>139</v>
      </c>
      <c r="D1560" s="45" t="s">
        <v>140</v>
      </c>
      <c r="E1560" s="45" t="s">
        <v>2801</v>
      </c>
      <c r="F1560" s="45" t="s">
        <v>3197</v>
      </c>
      <c r="G1560" s="46" t="n">
        <v>46249</v>
      </c>
      <c r="H1560" s="45" t="s">
        <v>168</v>
      </c>
      <c r="I1560" s="45" t="s">
        <v>191</v>
      </c>
      <c r="J1560" s="45" t="s">
        <v>3198</v>
      </c>
      <c r="K1560" s="45" t="n">
        <v>38.6</v>
      </c>
      <c r="L1560" s="45" t="s">
        <v>263</v>
      </c>
      <c r="M1560" s="45" t="s">
        <v>259</v>
      </c>
      <c r="N1560" s="45" t="s">
        <v>2559</v>
      </c>
      <c r="O1560" s="47" t="n">
        <v>46251.8499074074</v>
      </c>
      <c r="P1560" s="47" t="n">
        <v>46251.876712963</v>
      </c>
    </row>
    <row r="1561" customFormat="false" ht="15" hidden="false" customHeight="false" outlineLevel="0" collapsed="false">
      <c r="A1561" s="45" t="n">
        <v>1766</v>
      </c>
      <c r="B1561" s="46" t="n">
        <v>46252</v>
      </c>
      <c r="C1561" s="45" t="s">
        <v>141</v>
      </c>
      <c r="D1561" s="45" t="s">
        <v>142</v>
      </c>
      <c r="E1561" s="45" t="s">
        <v>2356</v>
      </c>
      <c r="F1561" s="45" t="s">
        <v>3199</v>
      </c>
      <c r="G1561" s="46" t="n">
        <v>46226</v>
      </c>
      <c r="H1561" s="45" t="s">
        <v>167</v>
      </c>
      <c r="I1561" s="45" t="s">
        <v>187</v>
      </c>
      <c r="J1561" s="45" t="s">
        <v>3200</v>
      </c>
      <c r="K1561" s="45" t="n">
        <v>0.8</v>
      </c>
      <c r="L1561" s="45" t="s">
        <v>263</v>
      </c>
      <c r="M1561" s="45" t="s">
        <v>259</v>
      </c>
      <c r="N1561" s="45" t="s">
        <v>167</v>
      </c>
      <c r="O1561" s="47" t="n">
        <v>46252.1543518519</v>
      </c>
      <c r="P1561" s="47" t="n">
        <v>46252.1548958333</v>
      </c>
    </row>
    <row r="1562" customFormat="false" ht="15" hidden="false" customHeight="false" outlineLevel="0" collapsed="false">
      <c r="A1562" s="45" t="n">
        <v>1767</v>
      </c>
      <c r="B1562" s="46" t="n">
        <v>46252</v>
      </c>
      <c r="C1562" s="45" t="s">
        <v>141</v>
      </c>
      <c r="D1562" s="45" t="s">
        <v>142</v>
      </c>
      <c r="E1562" s="45" t="s">
        <v>224</v>
      </c>
      <c r="F1562" s="45" t="s">
        <v>3201</v>
      </c>
      <c r="G1562" s="46" t="n">
        <v>46234</v>
      </c>
      <c r="H1562" s="45" t="s">
        <v>167</v>
      </c>
      <c r="I1562" s="45" t="s">
        <v>176</v>
      </c>
      <c r="J1562" s="45" t="s">
        <v>3202</v>
      </c>
      <c r="K1562" s="45" t="n">
        <v>2.8</v>
      </c>
      <c r="L1562" s="45" t="s">
        <v>263</v>
      </c>
      <c r="M1562" s="45" t="s">
        <v>259</v>
      </c>
      <c r="N1562" s="45" t="s">
        <v>167</v>
      </c>
      <c r="O1562" s="47" t="n">
        <v>46252.1581481482</v>
      </c>
      <c r="P1562" s="47" t="n">
        <v>46252.1600810185</v>
      </c>
    </row>
    <row r="1563" customFormat="false" ht="15" hidden="false" customHeight="false" outlineLevel="0" collapsed="false">
      <c r="A1563" s="45" t="n">
        <v>1768</v>
      </c>
      <c r="B1563" s="46" t="n">
        <v>46252</v>
      </c>
      <c r="C1563" s="45" t="s">
        <v>141</v>
      </c>
      <c r="D1563" s="45" t="s">
        <v>142</v>
      </c>
      <c r="E1563" s="45" t="s">
        <v>224</v>
      </c>
      <c r="F1563" s="45" t="s">
        <v>3203</v>
      </c>
      <c r="G1563" s="46" t="n">
        <v>46232</v>
      </c>
      <c r="H1563" s="45" t="s">
        <v>167</v>
      </c>
      <c r="I1563" s="45" t="s">
        <v>176</v>
      </c>
      <c r="J1563" s="45" t="s">
        <v>3204</v>
      </c>
      <c r="K1563" s="45" t="n">
        <v>0.3</v>
      </c>
      <c r="L1563" s="45" t="s">
        <v>263</v>
      </c>
      <c r="M1563" s="45" t="s">
        <v>259</v>
      </c>
      <c r="N1563" s="45" t="s">
        <v>167</v>
      </c>
      <c r="O1563" s="47" t="n">
        <v>46252.160162037</v>
      </c>
      <c r="P1563" s="47" t="n">
        <v>46252.1603819444</v>
      </c>
    </row>
    <row r="1564" customFormat="false" ht="15" hidden="false" customHeight="false" outlineLevel="0" collapsed="false">
      <c r="A1564" s="45" t="n">
        <v>1769</v>
      </c>
      <c r="B1564" s="46" t="n">
        <v>46252</v>
      </c>
      <c r="C1564" s="45" t="s">
        <v>141</v>
      </c>
      <c r="D1564" s="45" t="s">
        <v>142</v>
      </c>
      <c r="E1564" s="45" t="s">
        <v>225</v>
      </c>
      <c r="F1564" s="45" t="s">
        <v>3205</v>
      </c>
      <c r="G1564" s="46" t="n">
        <v>46238</v>
      </c>
      <c r="H1564" s="45" t="s">
        <v>170</v>
      </c>
      <c r="I1564" s="45" t="s">
        <v>206</v>
      </c>
      <c r="J1564" s="45" t="s">
        <v>3206</v>
      </c>
      <c r="K1564" s="45" t="n">
        <v>0.4</v>
      </c>
      <c r="L1564" s="45" t="s">
        <v>263</v>
      </c>
      <c r="M1564" s="45" t="s">
        <v>259</v>
      </c>
      <c r="N1564" s="45" t="s">
        <v>2649</v>
      </c>
      <c r="O1564" s="47" t="n">
        <v>46252.1605092593</v>
      </c>
      <c r="P1564" s="47" t="n">
        <v>46252.1607986111</v>
      </c>
    </row>
    <row r="1565" customFormat="false" ht="15" hidden="false" customHeight="false" outlineLevel="0" collapsed="false">
      <c r="A1565" s="45" t="n">
        <v>1770</v>
      </c>
      <c r="B1565" s="46" t="n">
        <v>46252</v>
      </c>
      <c r="C1565" s="45" t="s">
        <v>141</v>
      </c>
      <c r="D1565" s="45" t="s">
        <v>142</v>
      </c>
      <c r="E1565" s="45" t="s">
        <v>543</v>
      </c>
      <c r="F1565" s="45" t="s">
        <v>3207</v>
      </c>
      <c r="G1565" s="46" t="n">
        <v>46233</v>
      </c>
      <c r="H1565" s="45" t="s">
        <v>169</v>
      </c>
      <c r="I1565" s="45"/>
      <c r="J1565" s="45"/>
      <c r="K1565" s="45" t="n">
        <v>0.2</v>
      </c>
      <c r="L1565" s="45" t="s">
        <v>263</v>
      </c>
      <c r="M1565" s="45" t="s">
        <v>259</v>
      </c>
      <c r="N1565" s="45" t="s">
        <v>169</v>
      </c>
      <c r="O1565" s="47" t="n">
        <v>46252.1608333333</v>
      </c>
      <c r="P1565" s="47" t="n">
        <v>46252.1609490741</v>
      </c>
    </row>
    <row r="1566" customFormat="false" ht="15" hidden="false" customHeight="false" outlineLevel="0" collapsed="false">
      <c r="A1566" s="45" t="n">
        <v>1771</v>
      </c>
      <c r="B1566" s="46" t="n">
        <v>46252</v>
      </c>
      <c r="C1566" s="45" t="s">
        <v>141</v>
      </c>
      <c r="D1566" s="45" t="s">
        <v>142</v>
      </c>
      <c r="E1566" s="45" t="s">
        <v>231</v>
      </c>
      <c r="F1566" s="45" t="s">
        <v>3208</v>
      </c>
      <c r="G1566" s="46" t="n">
        <v>46233</v>
      </c>
      <c r="H1566" s="45" t="s">
        <v>167</v>
      </c>
      <c r="I1566" s="45" t="s">
        <v>179</v>
      </c>
      <c r="J1566" s="45" t="s">
        <v>3209</v>
      </c>
      <c r="K1566" s="45" t="n">
        <v>1.7</v>
      </c>
      <c r="L1566" s="45" t="s">
        <v>263</v>
      </c>
      <c r="M1566" s="45" t="s">
        <v>259</v>
      </c>
      <c r="N1566" s="45" t="s">
        <v>167</v>
      </c>
      <c r="O1566" s="47" t="n">
        <v>46252.1609837963</v>
      </c>
      <c r="P1566" s="47" t="n">
        <v>46252.1621527778</v>
      </c>
    </row>
    <row r="1567" customFormat="false" ht="15" hidden="false" customHeight="false" outlineLevel="0" collapsed="false">
      <c r="A1567" s="45" t="n">
        <v>1772</v>
      </c>
      <c r="B1567" s="46" t="n">
        <v>46252</v>
      </c>
      <c r="C1567" s="45" t="s">
        <v>141</v>
      </c>
      <c r="D1567" s="45" t="s">
        <v>142</v>
      </c>
      <c r="E1567" s="45" t="s">
        <v>917</v>
      </c>
      <c r="F1567" s="45" t="s">
        <v>3210</v>
      </c>
      <c r="G1567" s="46" t="n">
        <v>46241</v>
      </c>
      <c r="H1567" s="45" t="s">
        <v>167</v>
      </c>
      <c r="I1567" s="45" t="s">
        <v>176</v>
      </c>
      <c r="J1567" s="45" t="s">
        <v>3211</v>
      </c>
      <c r="K1567" s="45" t="n">
        <v>0.2</v>
      </c>
      <c r="L1567" s="45" t="s">
        <v>263</v>
      </c>
      <c r="M1567" s="45" t="s">
        <v>259</v>
      </c>
      <c r="N1567" s="45" t="s">
        <v>167</v>
      </c>
      <c r="O1567" s="47" t="n">
        <v>46252.1621875</v>
      </c>
      <c r="P1567" s="47" t="n">
        <v>46252.162337963</v>
      </c>
    </row>
    <row r="1568" customFormat="false" ht="15" hidden="false" customHeight="false" outlineLevel="0" collapsed="false">
      <c r="A1568" s="45" t="n">
        <v>1773</v>
      </c>
      <c r="B1568" s="46" t="n">
        <v>46252</v>
      </c>
      <c r="C1568" s="45" t="s">
        <v>141</v>
      </c>
      <c r="D1568" s="45" t="s">
        <v>142</v>
      </c>
      <c r="E1568" s="45" t="s">
        <v>231</v>
      </c>
      <c r="F1568" s="45" t="s">
        <v>3212</v>
      </c>
      <c r="G1568" s="46" t="n">
        <v>46238</v>
      </c>
      <c r="H1568" s="45" t="s">
        <v>169</v>
      </c>
      <c r="I1568" s="45"/>
      <c r="J1568" s="45"/>
      <c r="K1568" s="45" t="n">
        <v>0.4</v>
      </c>
      <c r="L1568" s="45" t="s">
        <v>263</v>
      </c>
      <c r="M1568" s="45" t="s">
        <v>259</v>
      </c>
      <c r="N1568" s="45" t="s">
        <v>169</v>
      </c>
      <c r="O1568" s="47" t="n">
        <v>46252.1623842593</v>
      </c>
      <c r="P1568" s="47" t="n">
        <v>46252.1626851852</v>
      </c>
    </row>
    <row r="1569" customFormat="false" ht="15" hidden="false" customHeight="false" outlineLevel="0" collapsed="false">
      <c r="A1569" s="45" t="n">
        <v>1774</v>
      </c>
      <c r="B1569" s="46" t="n">
        <v>46252</v>
      </c>
      <c r="C1569" s="45" t="s">
        <v>141</v>
      </c>
      <c r="D1569" s="45" t="s">
        <v>142</v>
      </c>
      <c r="E1569" s="45" t="s">
        <v>225</v>
      </c>
      <c r="F1569" s="45" t="s">
        <v>3213</v>
      </c>
      <c r="G1569" s="46" t="n">
        <v>46237</v>
      </c>
      <c r="H1569" s="45" t="s">
        <v>167</v>
      </c>
      <c r="I1569" s="45" t="s">
        <v>179</v>
      </c>
      <c r="J1569" s="45" t="s">
        <v>3214</v>
      </c>
      <c r="K1569" s="45" t="n">
        <v>0.6</v>
      </c>
      <c r="L1569" s="45" t="s">
        <v>263</v>
      </c>
      <c r="M1569" s="45" t="s">
        <v>259</v>
      </c>
      <c r="N1569" s="45" t="s">
        <v>167</v>
      </c>
      <c r="O1569" s="47" t="n">
        <v>46252.1627430556</v>
      </c>
      <c r="P1569" s="47" t="n">
        <v>46252.1631597222</v>
      </c>
    </row>
    <row r="1570" customFormat="false" ht="15" hidden="false" customHeight="false" outlineLevel="0" collapsed="false">
      <c r="A1570" s="45" t="n">
        <v>1775</v>
      </c>
      <c r="B1570" s="46" t="n">
        <v>46252</v>
      </c>
      <c r="C1570" s="45" t="s">
        <v>141</v>
      </c>
      <c r="D1570" s="45" t="s">
        <v>142</v>
      </c>
      <c r="E1570" s="45" t="s">
        <v>231</v>
      </c>
      <c r="F1570" s="45" t="s">
        <v>3215</v>
      </c>
      <c r="G1570" s="46" t="n">
        <v>46240</v>
      </c>
      <c r="H1570" s="45" t="s">
        <v>167</v>
      </c>
      <c r="I1570" s="45" t="s">
        <v>176</v>
      </c>
      <c r="J1570" s="45" t="s">
        <v>3216</v>
      </c>
      <c r="K1570" s="45" t="n">
        <v>1.8</v>
      </c>
      <c r="L1570" s="45" t="s">
        <v>263</v>
      </c>
      <c r="M1570" s="45" t="s">
        <v>259</v>
      </c>
      <c r="N1570" s="45" t="s">
        <v>167</v>
      </c>
      <c r="O1570" s="47" t="n">
        <v>46252.1632986111</v>
      </c>
      <c r="P1570" s="47" t="n">
        <v>46252.1645138889</v>
      </c>
    </row>
    <row r="1571" customFormat="false" ht="15" hidden="false" customHeight="false" outlineLevel="0" collapsed="false">
      <c r="A1571" s="45" t="n">
        <v>1776</v>
      </c>
      <c r="B1571" s="46" t="n">
        <v>46252</v>
      </c>
      <c r="C1571" s="45" t="s">
        <v>141</v>
      </c>
      <c r="D1571" s="45" t="s">
        <v>142</v>
      </c>
      <c r="E1571" s="45" t="s">
        <v>1623</v>
      </c>
      <c r="F1571" s="45" t="s">
        <v>3217</v>
      </c>
      <c r="G1571" s="46" t="n">
        <v>46243</v>
      </c>
      <c r="H1571" s="45" t="s">
        <v>167</v>
      </c>
      <c r="I1571" s="45" t="s">
        <v>176</v>
      </c>
      <c r="J1571" s="45" t="s">
        <v>3218</v>
      </c>
      <c r="K1571" s="45" t="n">
        <v>5.1</v>
      </c>
      <c r="L1571" s="45" t="s">
        <v>263</v>
      </c>
      <c r="M1571" s="45" t="s">
        <v>259</v>
      </c>
      <c r="N1571" s="45" t="s">
        <v>167</v>
      </c>
      <c r="O1571" s="47" t="n">
        <v>46252.1645601852</v>
      </c>
      <c r="P1571" s="47" t="n">
        <v>46252.1681018519</v>
      </c>
    </row>
    <row r="1572" customFormat="false" ht="15" hidden="false" customHeight="false" outlineLevel="0" collapsed="false">
      <c r="A1572" s="45" t="n">
        <v>1777</v>
      </c>
      <c r="B1572" s="46" t="n">
        <v>46252</v>
      </c>
      <c r="C1572" s="45" t="s">
        <v>141</v>
      </c>
      <c r="D1572" s="45" t="s">
        <v>142</v>
      </c>
      <c r="E1572" s="45" t="s">
        <v>232</v>
      </c>
      <c r="F1572" s="45" t="s">
        <v>3219</v>
      </c>
      <c r="G1572" s="46" t="n">
        <v>46248</v>
      </c>
      <c r="H1572" s="45" t="s">
        <v>167</v>
      </c>
      <c r="I1572" s="45" t="s">
        <v>184</v>
      </c>
      <c r="J1572" s="45" t="s">
        <v>3220</v>
      </c>
      <c r="K1572" s="45" t="n">
        <v>12</v>
      </c>
      <c r="L1572" s="45" t="s">
        <v>263</v>
      </c>
      <c r="M1572" s="45" t="s">
        <v>259</v>
      </c>
      <c r="N1572" s="45" t="s">
        <v>167</v>
      </c>
      <c r="O1572" s="47" t="n">
        <v>46252.2162152778</v>
      </c>
      <c r="P1572" s="47" t="n">
        <v>46252.224537037</v>
      </c>
    </row>
    <row r="1573" customFormat="false" ht="15" hidden="false" customHeight="false" outlineLevel="0" collapsed="false">
      <c r="A1573" s="45" t="n">
        <v>1778</v>
      </c>
      <c r="B1573" s="46" t="n">
        <v>46252</v>
      </c>
      <c r="C1573" s="45" t="s">
        <v>141</v>
      </c>
      <c r="D1573" s="45" t="s">
        <v>142</v>
      </c>
      <c r="E1573" s="45" t="s">
        <v>232</v>
      </c>
      <c r="F1573" s="45" t="s">
        <v>3221</v>
      </c>
      <c r="G1573" s="46" t="n">
        <v>46248</v>
      </c>
      <c r="H1573" s="45" t="s">
        <v>167</v>
      </c>
      <c r="I1573" s="45" t="s">
        <v>176</v>
      </c>
      <c r="J1573" s="45" t="s">
        <v>3222</v>
      </c>
      <c r="K1573" s="45" t="n">
        <v>12.3</v>
      </c>
      <c r="L1573" s="45" t="s">
        <v>263</v>
      </c>
      <c r="M1573" s="45" t="s">
        <v>259</v>
      </c>
      <c r="N1573" s="45" t="s">
        <v>167</v>
      </c>
      <c r="O1573" s="47" t="n">
        <v>46252.2486111111</v>
      </c>
      <c r="P1573" s="47" t="n">
        <v>46252.2571643519</v>
      </c>
    </row>
    <row r="1574" customFormat="false" ht="15" hidden="false" customHeight="false" outlineLevel="0" collapsed="false">
      <c r="A1574" s="45" t="n">
        <v>1779</v>
      </c>
      <c r="B1574" s="46" t="n">
        <v>46252</v>
      </c>
      <c r="C1574" s="45" t="s">
        <v>141</v>
      </c>
      <c r="D1574" s="45" t="s">
        <v>142</v>
      </c>
      <c r="E1574" s="45" t="s">
        <v>3223</v>
      </c>
      <c r="F1574" s="45" t="s">
        <v>3224</v>
      </c>
      <c r="G1574" s="46" t="n">
        <v>46247</v>
      </c>
      <c r="H1574" s="45" t="s">
        <v>57</v>
      </c>
      <c r="I1574" s="45" t="s">
        <v>201</v>
      </c>
      <c r="J1574" s="45" t="s">
        <v>3225</v>
      </c>
      <c r="K1574" s="45" t="n">
        <v>5.2</v>
      </c>
      <c r="L1574" s="45" t="s">
        <v>263</v>
      </c>
      <c r="M1574" s="45" t="s">
        <v>259</v>
      </c>
      <c r="N1574" s="45" t="s">
        <v>57</v>
      </c>
      <c r="O1574" s="47" t="n">
        <v>46252.2908796296</v>
      </c>
      <c r="P1574" s="47" t="n">
        <v>46252.2944907407</v>
      </c>
    </row>
    <row r="1575" customFormat="false" ht="15" hidden="false" customHeight="false" outlineLevel="0" collapsed="false">
      <c r="A1575" s="45" t="n">
        <v>1780</v>
      </c>
      <c r="B1575" s="46" t="n">
        <v>46252</v>
      </c>
      <c r="C1575" s="45" t="s">
        <v>141</v>
      </c>
      <c r="D1575" s="45" t="s">
        <v>142</v>
      </c>
      <c r="E1575" s="45" t="s">
        <v>232</v>
      </c>
      <c r="F1575" s="45" t="s">
        <v>3226</v>
      </c>
      <c r="G1575" s="46" t="n">
        <v>46250</v>
      </c>
      <c r="H1575" s="45" t="s">
        <v>167</v>
      </c>
      <c r="I1575" s="45" t="s">
        <v>176</v>
      </c>
      <c r="J1575" s="45" t="s">
        <v>3227</v>
      </c>
      <c r="K1575" s="45" t="n">
        <v>0.5</v>
      </c>
      <c r="L1575" s="45" t="s">
        <v>259</v>
      </c>
      <c r="M1575" s="45" t="s">
        <v>259</v>
      </c>
      <c r="N1575" s="45" t="s">
        <v>167</v>
      </c>
      <c r="O1575" s="47" t="n">
        <v>46252.3000578704</v>
      </c>
      <c r="P1575" s="47" t="n">
        <v>46252.3003703704</v>
      </c>
    </row>
    <row r="1576" customFormat="false" ht="15" hidden="false" customHeight="false" outlineLevel="0" collapsed="false">
      <c r="A1576" s="45" t="n">
        <v>1781</v>
      </c>
      <c r="B1576" s="46" t="n">
        <v>46252</v>
      </c>
      <c r="C1576" s="45" t="s">
        <v>141</v>
      </c>
      <c r="D1576" s="45" t="s">
        <v>142</v>
      </c>
      <c r="E1576" s="45" t="s">
        <v>543</v>
      </c>
      <c r="F1576" s="45" t="s">
        <v>3228</v>
      </c>
      <c r="G1576" s="46" t="n">
        <v>46249</v>
      </c>
      <c r="H1576" s="45" t="s">
        <v>168</v>
      </c>
      <c r="I1576" s="45" t="s">
        <v>191</v>
      </c>
      <c r="J1576" s="45" t="s">
        <v>3229</v>
      </c>
      <c r="K1576" s="45" t="n">
        <v>1.8</v>
      </c>
      <c r="L1576" s="45" t="s">
        <v>263</v>
      </c>
      <c r="M1576" s="45" t="s">
        <v>259</v>
      </c>
      <c r="N1576" s="45" t="s">
        <v>2559</v>
      </c>
      <c r="O1576" s="47" t="n">
        <v>46252.3793981482</v>
      </c>
      <c r="P1576" s="47" t="n">
        <v>46252.3806597222</v>
      </c>
    </row>
    <row r="1577" customFormat="false" ht="15" hidden="false" customHeight="false" outlineLevel="0" collapsed="false">
      <c r="A1577" s="45" t="n">
        <v>1782</v>
      </c>
      <c r="B1577" s="46" t="n">
        <v>46252</v>
      </c>
      <c r="C1577" s="45" t="s">
        <v>141</v>
      </c>
      <c r="D1577" s="45" t="s">
        <v>142</v>
      </c>
      <c r="E1577" s="45" t="s">
        <v>224</v>
      </c>
      <c r="F1577" s="45" t="s">
        <v>3230</v>
      </c>
      <c r="G1577" s="46" t="n">
        <v>46249</v>
      </c>
      <c r="H1577" s="45" t="s">
        <v>167</v>
      </c>
      <c r="I1577" s="45" t="s">
        <v>183</v>
      </c>
      <c r="J1577" s="45" t="s">
        <v>3231</v>
      </c>
      <c r="K1577" s="45" t="n">
        <v>2.4</v>
      </c>
      <c r="L1577" s="45" t="s">
        <v>263</v>
      </c>
      <c r="M1577" s="45" t="s">
        <v>259</v>
      </c>
      <c r="N1577" s="45" t="s">
        <v>167</v>
      </c>
      <c r="O1577" s="47" t="n">
        <v>46252.3852777778</v>
      </c>
      <c r="P1577" s="47" t="n">
        <v>46252.3869097222</v>
      </c>
    </row>
    <row r="1578" customFormat="false" ht="15" hidden="false" customHeight="false" outlineLevel="0" collapsed="false">
      <c r="A1578" s="45" t="n">
        <v>1783</v>
      </c>
      <c r="B1578" s="46" t="n">
        <v>46252</v>
      </c>
      <c r="C1578" s="45" t="s">
        <v>141</v>
      </c>
      <c r="D1578" s="45" t="s">
        <v>142</v>
      </c>
      <c r="E1578" s="45" t="s">
        <v>2282</v>
      </c>
      <c r="F1578" s="45" t="s">
        <v>3232</v>
      </c>
      <c r="G1578" s="46" t="n">
        <v>46249</v>
      </c>
      <c r="H1578" s="45" t="s">
        <v>167</v>
      </c>
      <c r="I1578" s="45" t="s">
        <v>178</v>
      </c>
      <c r="J1578" s="45" t="s">
        <v>3233</v>
      </c>
      <c r="K1578" s="45" t="n">
        <v>1.7</v>
      </c>
      <c r="L1578" s="45" t="s">
        <v>263</v>
      </c>
      <c r="M1578" s="45" t="s">
        <v>259</v>
      </c>
      <c r="N1578" s="45" t="s">
        <v>167</v>
      </c>
      <c r="O1578" s="47" t="n">
        <v>46252.3880787037</v>
      </c>
      <c r="P1578" s="47" t="n">
        <v>46252.3892592593</v>
      </c>
    </row>
    <row r="1579" customFormat="false" ht="15" hidden="false" customHeight="false" outlineLevel="0" collapsed="false">
      <c r="A1579" s="45" t="n">
        <v>1786</v>
      </c>
      <c r="B1579" s="46" t="n">
        <v>46252</v>
      </c>
      <c r="C1579" s="45" t="s">
        <v>141</v>
      </c>
      <c r="D1579" s="45" t="s">
        <v>142</v>
      </c>
      <c r="E1579" s="45" t="s">
        <v>232</v>
      </c>
      <c r="F1579" s="45" t="s">
        <v>3234</v>
      </c>
      <c r="G1579" s="46" t="n">
        <v>46226</v>
      </c>
      <c r="H1579" s="45" t="s">
        <v>167</v>
      </c>
      <c r="I1579" s="45" t="s">
        <v>181</v>
      </c>
      <c r="J1579" s="45" t="s">
        <v>3235</v>
      </c>
      <c r="K1579" s="45" t="n">
        <v>1068.7</v>
      </c>
      <c r="L1579" s="45" t="s">
        <v>263</v>
      </c>
      <c r="M1579" s="45" t="s">
        <v>259</v>
      </c>
      <c r="N1579" s="45" t="s">
        <v>167</v>
      </c>
      <c r="O1579" s="47" t="n">
        <v>46252.3903356482</v>
      </c>
      <c r="P1579" s="47" t="n">
        <v>46253.1325</v>
      </c>
    </row>
    <row r="1580" customFormat="false" ht="15" hidden="false" customHeight="false" outlineLevel="0" collapsed="false">
      <c r="A1580" s="45" t="n">
        <v>1784</v>
      </c>
      <c r="B1580" s="46" t="n">
        <v>46252</v>
      </c>
      <c r="C1580" s="45" t="s">
        <v>135</v>
      </c>
      <c r="D1580" s="45" t="s">
        <v>136</v>
      </c>
      <c r="E1580" s="45" t="s">
        <v>226</v>
      </c>
      <c r="F1580" s="45" t="s">
        <v>3236</v>
      </c>
      <c r="G1580" s="46" t="n">
        <v>46250</v>
      </c>
      <c r="H1580" s="45" t="s">
        <v>168</v>
      </c>
      <c r="I1580" s="45" t="s">
        <v>194</v>
      </c>
      <c r="J1580" s="45" t="s">
        <v>3237</v>
      </c>
      <c r="K1580" s="45" t="n">
        <v>4.8</v>
      </c>
      <c r="L1580" s="45" t="s">
        <v>263</v>
      </c>
      <c r="M1580" s="45" t="s">
        <v>259</v>
      </c>
      <c r="N1580" s="45" t="s">
        <v>2559</v>
      </c>
      <c r="O1580" s="47" t="n">
        <v>46252.8332060185</v>
      </c>
      <c r="P1580" s="47" t="n">
        <v>46252.8365277778</v>
      </c>
    </row>
    <row r="1581" customFormat="false" ht="15" hidden="false" customHeight="false" outlineLevel="0" collapsed="false">
      <c r="A1581" s="45" t="n">
        <v>1785</v>
      </c>
      <c r="B1581" s="46" t="n">
        <v>46252</v>
      </c>
      <c r="C1581" s="45" t="s">
        <v>135</v>
      </c>
      <c r="D1581" s="45" t="s">
        <v>136</v>
      </c>
      <c r="E1581" s="45" t="s">
        <v>220</v>
      </c>
      <c r="F1581" s="45" t="s">
        <v>3238</v>
      </c>
      <c r="G1581" s="46" t="n">
        <v>46249</v>
      </c>
      <c r="H1581" s="45" t="s">
        <v>168</v>
      </c>
      <c r="I1581" s="45" t="s">
        <v>192</v>
      </c>
      <c r="J1581" s="45" t="s">
        <v>3239</v>
      </c>
      <c r="K1581" s="45" t="n">
        <v>15.7</v>
      </c>
      <c r="L1581" s="45" t="s">
        <v>263</v>
      </c>
      <c r="M1581" s="45" t="s">
        <v>259</v>
      </c>
      <c r="N1581" s="45" t="s">
        <v>2559</v>
      </c>
      <c r="O1581" s="47" t="n">
        <v>46252.8365625</v>
      </c>
      <c r="P1581" s="47" t="n">
        <v>46252.8474537037</v>
      </c>
    </row>
    <row r="1582" customFormat="false" ht="15" hidden="false" customHeight="false" outlineLevel="0" collapsed="false">
      <c r="A1582" s="45" t="n">
        <v>1787</v>
      </c>
      <c r="B1582" s="46" t="n">
        <v>46253</v>
      </c>
      <c r="C1582" s="45" t="s">
        <v>139</v>
      </c>
      <c r="D1582" s="45" t="s">
        <v>140</v>
      </c>
      <c r="E1582" s="45" t="s">
        <v>237</v>
      </c>
      <c r="F1582" s="45" t="s">
        <v>3240</v>
      </c>
      <c r="G1582" s="46" t="n">
        <v>46249</v>
      </c>
      <c r="H1582" s="45" t="s">
        <v>167</v>
      </c>
      <c r="I1582" s="45" t="s">
        <v>178</v>
      </c>
      <c r="J1582" s="45" t="s">
        <v>3241</v>
      </c>
      <c r="K1582" s="45" t="n">
        <v>0.1</v>
      </c>
      <c r="L1582" s="45" t="s">
        <v>263</v>
      </c>
      <c r="M1582" s="45" t="s">
        <v>259</v>
      </c>
      <c r="N1582" s="45" t="s">
        <v>167</v>
      </c>
      <c r="O1582" s="47" t="n">
        <v>46253.1564467593</v>
      </c>
      <c r="P1582" s="47" t="n">
        <v>46253.1564814815</v>
      </c>
    </row>
    <row r="1583" customFormat="false" ht="15" hidden="false" customHeight="false" outlineLevel="0" collapsed="false">
      <c r="A1583" s="45" t="n">
        <v>1788</v>
      </c>
      <c r="B1583" s="46" t="n">
        <v>46253</v>
      </c>
      <c r="C1583" s="45" t="s">
        <v>139</v>
      </c>
      <c r="D1583" s="45" t="s">
        <v>140</v>
      </c>
      <c r="E1583" s="45" t="s">
        <v>2624</v>
      </c>
      <c r="F1583" s="45" t="s">
        <v>3242</v>
      </c>
      <c r="G1583" s="46" t="n">
        <v>46248</v>
      </c>
      <c r="H1583" s="45" t="s">
        <v>167</v>
      </c>
      <c r="I1583" s="45" t="s">
        <v>179</v>
      </c>
      <c r="J1583" s="45" t="s">
        <v>3243</v>
      </c>
      <c r="K1583" s="45" t="n">
        <v>3</v>
      </c>
      <c r="L1583" s="45" t="s">
        <v>263</v>
      </c>
      <c r="M1583" s="45" t="s">
        <v>259</v>
      </c>
      <c r="N1583" s="45" t="s">
        <v>167</v>
      </c>
      <c r="O1583" s="47" t="n">
        <v>46253.1565162037</v>
      </c>
      <c r="P1583" s="47" t="n">
        <v>46253.1586342593</v>
      </c>
    </row>
    <row r="1584" customFormat="false" ht="15" hidden="false" customHeight="false" outlineLevel="0" collapsed="false">
      <c r="A1584" s="45" t="n">
        <v>1790</v>
      </c>
      <c r="B1584" s="46" t="n">
        <v>46253</v>
      </c>
      <c r="C1584" s="45" t="s">
        <v>135</v>
      </c>
      <c r="D1584" s="45" t="s">
        <v>136</v>
      </c>
      <c r="E1584" s="45" t="s">
        <v>3244</v>
      </c>
      <c r="F1584" s="45" t="s">
        <v>3245</v>
      </c>
      <c r="G1584" s="46" t="n">
        <v>46252</v>
      </c>
      <c r="H1584" s="45" t="s">
        <v>167</v>
      </c>
      <c r="I1584" s="45" t="s">
        <v>179</v>
      </c>
      <c r="J1584" s="45" t="s">
        <v>3246</v>
      </c>
      <c r="K1584" s="45" t="n">
        <v>17.8</v>
      </c>
      <c r="L1584" s="45" t="s">
        <v>259</v>
      </c>
      <c r="M1584" s="45" t="s">
        <v>259</v>
      </c>
      <c r="N1584" s="45" t="s">
        <v>167</v>
      </c>
      <c r="O1584" s="47" t="n">
        <v>46253.1596759259</v>
      </c>
      <c r="P1584" s="47" t="n">
        <v>46253.1720486111</v>
      </c>
    </row>
    <row r="1585" customFormat="false" ht="15" hidden="false" customHeight="false" outlineLevel="0" collapsed="false">
      <c r="A1585" s="45" t="n">
        <v>1789</v>
      </c>
      <c r="B1585" s="46" t="n">
        <v>46253</v>
      </c>
      <c r="C1585" s="45" t="s">
        <v>139</v>
      </c>
      <c r="D1585" s="45" t="s">
        <v>140</v>
      </c>
      <c r="E1585" s="45" t="s">
        <v>237</v>
      </c>
      <c r="F1585" s="45" t="s">
        <v>3247</v>
      </c>
      <c r="G1585" s="46" t="n">
        <v>46248</v>
      </c>
      <c r="H1585" s="45" t="s">
        <v>167</v>
      </c>
      <c r="I1585" s="45" t="s">
        <v>178</v>
      </c>
      <c r="J1585" s="45" t="s">
        <v>3248</v>
      </c>
      <c r="K1585" s="45" t="n">
        <v>4.5</v>
      </c>
      <c r="L1585" s="45" t="s">
        <v>263</v>
      </c>
      <c r="M1585" s="45" t="s">
        <v>259</v>
      </c>
      <c r="N1585" s="45" t="s">
        <v>167</v>
      </c>
      <c r="O1585" s="47" t="n">
        <v>46253.1634259259</v>
      </c>
      <c r="P1585" s="47" t="n">
        <v>46253.1665509259</v>
      </c>
    </row>
    <row r="1586" customFormat="false" ht="15" hidden="false" customHeight="false" outlineLevel="0" collapsed="false">
      <c r="A1586" s="45" t="n">
        <v>1791</v>
      </c>
      <c r="B1586" s="46" t="n">
        <v>46253</v>
      </c>
      <c r="C1586" s="45" t="s">
        <v>139</v>
      </c>
      <c r="D1586" s="45" t="s">
        <v>140</v>
      </c>
      <c r="E1586" s="45" t="s">
        <v>233</v>
      </c>
      <c r="F1586" s="45" t="s">
        <v>3249</v>
      </c>
      <c r="G1586" s="46" t="n">
        <v>46248</v>
      </c>
      <c r="H1586" s="45" t="s">
        <v>167</v>
      </c>
      <c r="I1586" s="45" t="s">
        <v>180</v>
      </c>
      <c r="J1586" s="45" t="s">
        <v>3250</v>
      </c>
      <c r="K1586" s="45" t="n">
        <v>2.6</v>
      </c>
      <c r="L1586" s="45" t="s">
        <v>263</v>
      </c>
      <c r="M1586" s="45" t="s">
        <v>259</v>
      </c>
      <c r="N1586" s="45" t="s">
        <v>167</v>
      </c>
      <c r="O1586" s="47" t="n">
        <v>46253.2067361111</v>
      </c>
      <c r="P1586" s="47" t="n">
        <v>46253.2085532407</v>
      </c>
    </row>
    <row r="1587" customFormat="false" ht="15" hidden="false" customHeight="false" outlineLevel="0" collapsed="false">
      <c r="A1587" s="45" t="n">
        <v>1792</v>
      </c>
      <c r="B1587" s="46" t="n">
        <v>46253</v>
      </c>
      <c r="C1587" s="45" t="s">
        <v>139</v>
      </c>
      <c r="D1587" s="45" t="s">
        <v>140</v>
      </c>
      <c r="E1587" s="45" t="s">
        <v>2624</v>
      </c>
      <c r="F1587" s="45" t="s">
        <v>3251</v>
      </c>
      <c r="G1587" s="46" t="n">
        <v>46248</v>
      </c>
      <c r="H1587" s="45" t="s">
        <v>57</v>
      </c>
      <c r="I1587" s="45" t="s">
        <v>200</v>
      </c>
      <c r="J1587" s="45" t="s">
        <v>3252</v>
      </c>
      <c r="K1587" s="45" t="n">
        <v>4.8</v>
      </c>
      <c r="L1587" s="45" t="s">
        <v>259</v>
      </c>
      <c r="M1587" s="45" t="s">
        <v>259</v>
      </c>
      <c r="N1587" s="45" t="s">
        <v>57</v>
      </c>
      <c r="O1587" s="47" t="n">
        <v>46253.2415856482</v>
      </c>
      <c r="P1587" s="47" t="n">
        <v>46253.2448958333</v>
      </c>
    </row>
    <row r="1588" customFormat="false" ht="15" hidden="false" customHeight="false" outlineLevel="0" collapsed="false">
      <c r="A1588" s="45" t="n">
        <v>1793</v>
      </c>
      <c r="B1588" s="46" t="n">
        <v>46253</v>
      </c>
      <c r="C1588" s="45" t="s">
        <v>139</v>
      </c>
      <c r="D1588" s="45" t="s">
        <v>140</v>
      </c>
      <c r="E1588" s="45" t="s">
        <v>2624</v>
      </c>
      <c r="F1588" s="45" t="s">
        <v>3251</v>
      </c>
      <c r="G1588" s="46" t="n">
        <v>46248</v>
      </c>
      <c r="H1588" s="45" t="s">
        <v>57</v>
      </c>
      <c r="I1588" s="45" t="s">
        <v>200</v>
      </c>
      <c r="J1588" s="45" t="s">
        <v>3253</v>
      </c>
      <c r="K1588" s="45" t="n">
        <v>0.6</v>
      </c>
      <c r="L1588" s="45" t="s">
        <v>259</v>
      </c>
      <c r="M1588" s="45" t="s">
        <v>259</v>
      </c>
      <c r="N1588" s="45" t="s">
        <v>57</v>
      </c>
      <c r="O1588" s="47" t="n">
        <v>46253.3918287037</v>
      </c>
      <c r="P1588" s="47" t="n">
        <v>46253.3922453704</v>
      </c>
    </row>
    <row r="1589" customFormat="false" ht="15" hidden="false" customHeight="false" outlineLevel="0" collapsed="false">
      <c r="A1589" s="45" t="n">
        <v>1794</v>
      </c>
      <c r="B1589" s="46" t="n">
        <v>46253</v>
      </c>
      <c r="C1589" s="45" t="s">
        <v>139</v>
      </c>
      <c r="D1589" s="45" t="s">
        <v>140</v>
      </c>
      <c r="E1589" s="45" t="s">
        <v>237</v>
      </c>
      <c r="F1589" s="45" t="s">
        <v>3254</v>
      </c>
      <c r="G1589" s="46" t="n">
        <v>46247</v>
      </c>
      <c r="H1589" s="45" t="s">
        <v>168</v>
      </c>
      <c r="I1589" s="45" t="s">
        <v>192</v>
      </c>
      <c r="J1589" s="45" t="s">
        <v>3255</v>
      </c>
      <c r="K1589" s="45" t="n">
        <v>6.7</v>
      </c>
      <c r="L1589" s="45" t="s">
        <v>263</v>
      </c>
      <c r="M1589" s="45" t="s">
        <v>259</v>
      </c>
      <c r="N1589" s="45" t="s">
        <v>2559</v>
      </c>
      <c r="O1589" s="47" t="n">
        <v>46253.3986805556</v>
      </c>
      <c r="P1589" s="47" t="n">
        <v>46253.4033101852</v>
      </c>
    </row>
    <row r="1590" customFormat="false" ht="15" hidden="false" customHeight="false" outlineLevel="0" collapsed="false">
      <c r="A1590" s="45" t="n">
        <v>1795</v>
      </c>
      <c r="B1590" s="46" t="n">
        <v>46253</v>
      </c>
      <c r="C1590" s="45" t="s">
        <v>139</v>
      </c>
      <c r="D1590" s="45" t="s">
        <v>140</v>
      </c>
      <c r="E1590" s="45" t="s">
        <v>2816</v>
      </c>
      <c r="F1590" s="45" t="s">
        <v>3256</v>
      </c>
      <c r="G1590" s="46" t="n">
        <v>46246</v>
      </c>
      <c r="H1590" s="45" t="s">
        <v>57</v>
      </c>
      <c r="I1590" s="45" t="s">
        <v>200</v>
      </c>
      <c r="J1590" s="45" t="s">
        <v>3257</v>
      </c>
      <c r="K1590" s="45" t="n">
        <v>3.1</v>
      </c>
      <c r="L1590" s="45" t="s">
        <v>263</v>
      </c>
      <c r="M1590" s="45" t="s">
        <v>259</v>
      </c>
      <c r="N1590" s="45" t="s">
        <v>57</v>
      </c>
      <c r="O1590" s="47" t="n">
        <v>46253.4037037037</v>
      </c>
      <c r="P1590" s="47" t="n">
        <v>46253.4058333333</v>
      </c>
    </row>
    <row r="1591" customFormat="false" ht="15" hidden="false" customHeight="false" outlineLevel="0" collapsed="false">
      <c r="A1591" s="45" t="n">
        <v>1796</v>
      </c>
      <c r="B1591" s="46" t="n">
        <v>46253</v>
      </c>
      <c r="C1591" s="45" t="s">
        <v>139</v>
      </c>
      <c r="D1591" s="45" t="s">
        <v>140</v>
      </c>
      <c r="E1591" s="45" t="s">
        <v>2671</v>
      </c>
      <c r="F1591" s="45" t="s">
        <v>3258</v>
      </c>
      <c r="G1591" s="46" t="n">
        <v>46246</v>
      </c>
      <c r="H1591" s="45" t="s">
        <v>57</v>
      </c>
      <c r="I1591" s="45" t="s">
        <v>201</v>
      </c>
      <c r="J1591" s="45" t="s">
        <v>3259</v>
      </c>
      <c r="K1591" s="45" t="n">
        <v>7.8</v>
      </c>
      <c r="L1591" s="45" t="s">
        <v>263</v>
      </c>
      <c r="M1591" s="45" t="s">
        <v>259</v>
      </c>
      <c r="N1591" s="45" t="s">
        <v>57</v>
      </c>
      <c r="O1591" s="47" t="n">
        <v>46253.4096527778</v>
      </c>
      <c r="P1591" s="47" t="n">
        <v>46253.4150694445</v>
      </c>
    </row>
    <row r="1592" customFormat="false" ht="15" hidden="false" customHeight="false" outlineLevel="0" collapsed="false">
      <c r="A1592" s="45" t="n">
        <v>1797</v>
      </c>
      <c r="B1592" s="46" t="n">
        <v>46253</v>
      </c>
      <c r="C1592" s="45" t="s">
        <v>139</v>
      </c>
      <c r="D1592" s="45" t="s">
        <v>140</v>
      </c>
      <c r="E1592" s="45" t="s">
        <v>2674</v>
      </c>
      <c r="F1592" s="45" t="s">
        <v>3260</v>
      </c>
      <c r="G1592" s="46" t="n">
        <v>46246</v>
      </c>
      <c r="H1592" s="45" t="s">
        <v>167</v>
      </c>
      <c r="I1592" s="45" t="s">
        <v>176</v>
      </c>
      <c r="J1592" s="45" t="s">
        <v>3261</v>
      </c>
      <c r="K1592" s="45" t="n">
        <v>0.4</v>
      </c>
      <c r="L1592" s="45" t="s">
        <v>263</v>
      </c>
      <c r="M1592" s="45" t="s">
        <v>259</v>
      </c>
      <c r="N1592" s="45" t="s">
        <v>167</v>
      </c>
      <c r="O1592" s="47" t="n">
        <v>46253.4210763889</v>
      </c>
      <c r="P1592" s="47" t="n">
        <v>46253.4213773148</v>
      </c>
    </row>
    <row r="1593" customFormat="false" ht="15" hidden="false" customHeight="false" outlineLevel="0" collapsed="false">
      <c r="A1593" s="45" t="n">
        <v>1798</v>
      </c>
      <c r="B1593" s="46" t="n">
        <v>46253</v>
      </c>
      <c r="C1593" s="45" t="s">
        <v>139</v>
      </c>
      <c r="D1593" s="45" t="s">
        <v>140</v>
      </c>
      <c r="E1593" s="45" t="s">
        <v>233</v>
      </c>
      <c r="F1593" s="45" t="s">
        <v>3262</v>
      </c>
      <c r="G1593" s="46" t="n">
        <v>46246</v>
      </c>
      <c r="H1593" s="45" t="s">
        <v>167</v>
      </c>
      <c r="I1593" s="45" t="s">
        <v>176</v>
      </c>
      <c r="J1593" s="45" t="s">
        <v>3263</v>
      </c>
      <c r="K1593" s="45" t="n">
        <v>11.7</v>
      </c>
      <c r="L1593" s="45" t="s">
        <v>263</v>
      </c>
      <c r="M1593" s="45" t="s">
        <v>259</v>
      </c>
      <c r="N1593" s="45" t="s">
        <v>167</v>
      </c>
      <c r="O1593" s="47" t="n">
        <v>46253.4215625</v>
      </c>
      <c r="P1593" s="47" t="n">
        <v>46253.4296527778</v>
      </c>
    </row>
    <row r="1594" customFormat="false" ht="15" hidden="false" customHeight="false" outlineLevel="0" collapsed="false">
      <c r="A1594" s="45" t="n">
        <v>1799</v>
      </c>
      <c r="B1594" s="46" t="n">
        <v>46253</v>
      </c>
      <c r="C1594" s="45" t="s">
        <v>139</v>
      </c>
      <c r="D1594" s="45" t="s">
        <v>140</v>
      </c>
      <c r="E1594" s="45" t="s">
        <v>2666</v>
      </c>
      <c r="F1594" s="45" t="s">
        <v>3264</v>
      </c>
      <c r="G1594" s="46" t="n">
        <v>46246</v>
      </c>
      <c r="H1594" s="45" t="s">
        <v>168</v>
      </c>
      <c r="I1594" s="45" t="s">
        <v>192</v>
      </c>
      <c r="J1594" s="45" t="s">
        <v>3265</v>
      </c>
      <c r="K1594" s="45" t="n">
        <v>9.6</v>
      </c>
      <c r="L1594" s="45" t="s">
        <v>263</v>
      </c>
      <c r="M1594" s="45" t="s">
        <v>259</v>
      </c>
      <c r="N1594" s="45" t="s">
        <v>2559</v>
      </c>
      <c r="O1594" s="47" t="n">
        <v>46253.429837963</v>
      </c>
      <c r="P1594" s="47" t="n">
        <v>46253.4364699074</v>
      </c>
    </row>
    <row r="1595" customFormat="false" ht="15" hidden="false" customHeight="false" outlineLevel="0" collapsed="false">
      <c r="A1595" s="45" t="n">
        <v>1800</v>
      </c>
      <c r="B1595" s="46" t="n">
        <v>46253</v>
      </c>
      <c r="C1595" s="45" t="s">
        <v>139</v>
      </c>
      <c r="D1595" s="45" t="s">
        <v>140</v>
      </c>
      <c r="E1595" s="45" t="s">
        <v>2671</v>
      </c>
      <c r="F1595" s="45" t="s">
        <v>3266</v>
      </c>
      <c r="G1595" s="46" t="n">
        <v>46246</v>
      </c>
      <c r="H1595" s="45" t="s">
        <v>57</v>
      </c>
      <c r="I1595" s="45" t="s">
        <v>201</v>
      </c>
      <c r="J1595" s="45" t="s">
        <v>3267</v>
      </c>
      <c r="K1595" s="45" t="n">
        <v>0.7</v>
      </c>
      <c r="L1595" s="45" t="s">
        <v>263</v>
      </c>
      <c r="M1595" s="45" t="s">
        <v>259</v>
      </c>
      <c r="N1595" s="45" t="s">
        <v>57</v>
      </c>
      <c r="O1595" s="47" t="n">
        <v>46253.4438657407</v>
      </c>
      <c r="P1595" s="47" t="n">
        <v>46253.4443171296</v>
      </c>
    </row>
    <row r="1596" customFormat="false" ht="15" hidden="false" customHeight="false" outlineLevel="0" collapsed="false">
      <c r="A1596" s="45" t="n">
        <v>1801</v>
      </c>
      <c r="B1596" s="46" t="n">
        <v>46253</v>
      </c>
      <c r="C1596" s="45" t="s">
        <v>139</v>
      </c>
      <c r="D1596" s="45" t="s">
        <v>140</v>
      </c>
      <c r="E1596" s="45" t="s">
        <v>2816</v>
      </c>
      <c r="F1596" s="45" t="s">
        <v>3268</v>
      </c>
      <c r="G1596" s="46" t="n">
        <v>46246</v>
      </c>
      <c r="H1596" s="45" t="s">
        <v>57</v>
      </c>
      <c r="I1596" s="45" t="s">
        <v>201</v>
      </c>
      <c r="J1596" s="45" t="s">
        <v>3269</v>
      </c>
      <c r="K1596" s="45" t="n">
        <v>0.7</v>
      </c>
      <c r="L1596" s="45" t="s">
        <v>263</v>
      </c>
      <c r="M1596" s="45" t="s">
        <v>259</v>
      </c>
      <c r="N1596" s="45" t="s">
        <v>57</v>
      </c>
      <c r="O1596" s="47" t="n">
        <v>46253.4482523148</v>
      </c>
      <c r="P1596" s="47" t="n">
        <v>46253.4487384259</v>
      </c>
    </row>
    <row r="1597" customFormat="false" ht="15" hidden="false" customHeight="false" outlineLevel="0" collapsed="false">
      <c r="A1597" s="45" t="n">
        <v>1802</v>
      </c>
      <c r="B1597" s="46" t="n">
        <v>46253</v>
      </c>
      <c r="C1597" s="45" t="s">
        <v>139</v>
      </c>
      <c r="D1597" s="45" t="s">
        <v>140</v>
      </c>
      <c r="E1597" s="45" t="s">
        <v>233</v>
      </c>
      <c r="F1597" s="45" t="s">
        <v>3270</v>
      </c>
      <c r="G1597" s="46" t="n">
        <v>46246</v>
      </c>
      <c r="H1597" s="45" t="s">
        <v>168</v>
      </c>
      <c r="I1597" s="45" t="s">
        <v>192</v>
      </c>
      <c r="J1597" s="45" t="s">
        <v>3271</v>
      </c>
      <c r="K1597" s="45" t="n">
        <v>3.9</v>
      </c>
      <c r="L1597" s="45" t="s">
        <v>263</v>
      </c>
      <c r="M1597" s="45" t="s">
        <v>259</v>
      </c>
      <c r="N1597" s="45" t="s">
        <v>2559</v>
      </c>
      <c r="O1597" s="47" t="n">
        <v>46253.4489467593</v>
      </c>
      <c r="P1597" s="47" t="n">
        <v>46253.4516782407</v>
      </c>
    </row>
    <row r="1598" customFormat="false" ht="15" hidden="false" customHeight="false" outlineLevel="0" collapsed="false">
      <c r="A1598" s="45" t="n">
        <v>1803</v>
      </c>
      <c r="B1598" s="46" t="n">
        <v>46253</v>
      </c>
      <c r="C1598" s="45" t="s">
        <v>139</v>
      </c>
      <c r="D1598" s="45" t="s">
        <v>140</v>
      </c>
      <c r="E1598" s="45" t="s">
        <v>2652</v>
      </c>
      <c r="F1598" s="45" t="s">
        <v>3272</v>
      </c>
      <c r="G1598" s="46" t="n">
        <v>46246</v>
      </c>
      <c r="H1598" s="45" t="s">
        <v>167</v>
      </c>
      <c r="I1598" s="45" t="s">
        <v>176</v>
      </c>
      <c r="J1598" s="45" t="s">
        <v>3273</v>
      </c>
      <c r="K1598" s="45" t="n">
        <v>0.8</v>
      </c>
      <c r="L1598" s="45" t="s">
        <v>263</v>
      </c>
      <c r="M1598" s="45" t="s">
        <v>259</v>
      </c>
      <c r="N1598" s="45" t="s">
        <v>167</v>
      </c>
      <c r="O1598" s="47" t="n">
        <v>46253.4570833333</v>
      </c>
      <c r="P1598" s="47" t="n">
        <v>46253.4576273148</v>
      </c>
    </row>
    <row r="1599" customFormat="false" ht="15" hidden="false" customHeight="false" outlineLevel="0" collapsed="false">
      <c r="A1599" s="45" t="n">
        <v>1804</v>
      </c>
      <c r="B1599" s="46" t="n">
        <v>46253</v>
      </c>
      <c r="C1599" s="45" t="s">
        <v>139</v>
      </c>
      <c r="D1599" s="45" t="s">
        <v>140</v>
      </c>
      <c r="E1599" s="45" t="s">
        <v>2816</v>
      </c>
      <c r="F1599" s="45" t="s">
        <v>3274</v>
      </c>
      <c r="G1599" s="46" t="n">
        <v>46245</v>
      </c>
      <c r="H1599" s="45" t="s">
        <v>167</v>
      </c>
      <c r="I1599" s="45" t="s">
        <v>179</v>
      </c>
      <c r="J1599" s="45" t="s">
        <v>3275</v>
      </c>
      <c r="K1599" s="45" t="n">
        <v>69.9</v>
      </c>
      <c r="L1599" s="45" t="s">
        <v>263</v>
      </c>
      <c r="M1599" s="45" t="s">
        <v>259</v>
      </c>
      <c r="N1599" s="45" t="s">
        <v>167</v>
      </c>
      <c r="O1599" s="47" t="n">
        <v>46253.4577546296</v>
      </c>
      <c r="P1599" s="47" t="n">
        <v>46253.5062962963</v>
      </c>
    </row>
    <row r="1600" customFormat="false" ht="15" hidden="false" customHeight="false" outlineLevel="0" collapsed="false">
      <c r="A1600" s="45" t="n">
        <v>1805</v>
      </c>
      <c r="B1600" s="46" t="n">
        <v>46253</v>
      </c>
      <c r="C1600" s="45" t="s">
        <v>139</v>
      </c>
      <c r="D1600" s="45" t="s">
        <v>140</v>
      </c>
      <c r="E1600" s="45" t="s">
        <v>2652</v>
      </c>
      <c r="F1600" s="45" t="s">
        <v>3276</v>
      </c>
      <c r="G1600" s="46" t="n">
        <v>46245</v>
      </c>
      <c r="H1600" s="45" t="s">
        <v>168</v>
      </c>
      <c r="I1600" s="45" t="s">
        <v>191</v>
      </c>
      <c r="J1600" s="45" t="s">
        <v>3277</v>
      </c>
      <c r="K1600" s="45" t="n">
        <v>10.8</v>
      </c>
      <c r="L1600" s="45" t="s">
        <v>263</v>
      </c>
      <c r="M1600" s="45" t="s">
        <v>259</v>
      </c>
      <c r="N1600" s="45" t="s">
        <v>2559</v>
      </c>
      <c r="O1600" s="47" t="n">
        <v>46253.5063310185</v>
      </c>
      <c r="P1600" s="47" t="n">
        <v>46253.5138425926</v>
      </c>
    </row>
    <row r="1601" customFormat="false" ht="15" hidden="false" customHeight="false" outlineLevel="0" collapsed="false">
      <c r="A1601" s="45" t="n">
        <v>1806</v>
      </c>
      <c r="B1601" s="46" t="n">
        <v>46253</v>
      </c>
      <c r="C1601" s="45" t="s">
        <v>139</v>
      </c>
      <c r="D1601" s="45" t="s">
        <v>140</v>
      </c>
      <c r="E1601" s="45" t="s">
        <v>2677</v>
      </c>
      <c r="F1601" s="45" t="s">
        <v>3278</v>
      </c>
      <c r="G1601" s="46" t="n">
        <v>46245</v>
      </c>
      <c r="H1601" s="45" t="s">
        <v>168</v>
      </c>
      <c r="I1601" s="45" t="s">
        <v>192</v>
      </c>
      <c r="J1601" s="45" t="s">
        <v>3271</v>
      </c>
      <c r="K1601" s="45" t="n">
        <v>0.5</v>
      </c>
      <c r="L1601" s="45" t="s">
        <v>263</v>
      </c>
      <c r="M1601" s="45" t="s">
        <v>259</v>
      </c>
      <c r="N1601" s="45" t="s">
        <v>2559</v>
      </c>
      <c r="O1601" s="47" t="n">
        <v>46253.5158912037</v>
      </c>
      <c r="P1601" s="47" t="n">
        <v>46253.5162615741</v>
      </c>
    </row>
    <row r="1602" customFormat="false" ht="15" hidden="false" customHeight="false" outlineLevel="0" collapsed="false">
      <c r="A1602" s="45" t="n">
        <v>1807</v>
      </c>
      <c r="B1602" s="46" t="n">
        <v>46253</v>
      </c>
      <c r="C1602" s="45" t="s">
        <v>139</v>
      </c>
      <c r="D1602" s="45" t="s">
        <v>140</v>
      </c>
      <c r="E1602" s="45" t="s">
        <v>233</v>
      </c>
      <c r="F1602" s="45" t="s">
        <v>3279</v>
      </c>
      <c r="G1602" s="46" t="n">
        <v>46244</v>
      </c>
      <c r="H1602" s="45" t="s">
        <v>169</v>
      </c>
      <c r="I1602" s="45"/>
      <c r="J1602" s="45"/>
      <c r="K1602" s="45" t="n">
        <v>1.5</v>
      </c>
      <c r="L1602" s="45" t="s">
        <v>263</v>
      </c>
      <c r="M1602" s="45" t="s">
        <v>259</v>
      </c>
      <c r="N1602" s="45" t="s">
        <v>169</v>
      </c>
      <c r="O1602" s="47" t="n">
        <v>46253.5178587963</v>
      </c>
      <c r="P1602" s="47" t="n">
        <v>46253.518900463</v>
      </c>
    </row>
    <row r="1603" customFormat="false" ht="15" hidden="false" customHeight="false" outlineLevel="0" collapsed="false">
      <c r="A1603" s="45" t="n">
        <v>1808</v>
      </c>
      <c r="B1603" s="46" t="n">
        <v>46253</v>
      </c>
      <c r="C1603" s="45" t="s">
        <v>139</v>
      </c>
      <c r="D1603" s="45" t="s">
        <v>140</v>
      </c>
      <c r="E1603" s="45" t="s">
        <v>2801</v>
      </c>
      <c r="F1603" s="45" t="s">
        <v>3280</v>
      </c>
      <c r="G1603" s="46" t="n">
        <v>46244</v>
      </c>
      <c r="H1603" s="45" t="s">
        <v>169</v>
      </c>
      <c r="I1603" s="45"/>
      <c r="J1603" s="45"/>
      <c r="K1603" s="45" t="n">
        <v>0.3</v>
      </c>
      <c r="L1603" s="45" t="s">
        <v>263</v>
      </c>
      <c r="M1603" s="45" t="s">
        <v>259</v>
      </c>
      <c r="N1603" s="45" t="s">
        <v>169</v>
      </c>
      <c r="O1603" s="47" t="n">
        <v>46253.5260185185</v>
      </c>
      <c r="P1603" s="47" t="n">
        <v>46253.5262384259</v>
      </c>
    </row>
    <row r="1604" customFormat="false" ht="15" hidden="false" customHeight="false" outlineLevel="0" collapsed="false">
      <c r="A1604" s="45" t="n">
        <v>1809</v>
      </c>
      <c r="B1604" s="46" t="n">
        <v>46253</v>
      </c>
      <c r="C1604" s="45" t="s">
        <v>131</v>
      </c>
      <c r="D1604" s="45" t="s">
        <v>132</v>
      </c>
      <c r="E1604" s="45" t="s">
        <v>2508</v>
      </c>
      <c r="F1604" s="45" t="s">
        <v>3281</v>
      </c>
      <c r="G1604" s="46" t="n">
        <v>46251</v>
      </c>
      <c r="H1604" s="45" t="s">
        <v>167</v>
      </c>
      <c r="I1604" s="45" t="s">
        <v>176</v>
      </c>
      <c r="J1604" s="45" t="s">
        <v>3282</v>
      </c>
      <c r="K1604" s="45" t="n">
        <v>120.8</v>
      </c>
      <c r="L1604" s="45" t="s">
        <v>263</v>
      </c>
      <c r="M1604" s="45" t="s">
        <v>259</v>
      </c>
      <c r="N1604" s="45" t="s">
        <v>167</v>
      </c>
      <c r="O1604" s="47" t="n">
        <v>46253.8049421296</v>
      </c>
      <c r="P1604" s="47" t="n">
        <v>46253.8887962963</v>
      </c>
    </row>
    <row r="1605" customFormat="false" ht="15" hidden="false" customHeight="false" outlineLevel="0" collapsed="false">
      <c r="A1605" s="45" t="n">
        <v>1810</v>
      </c>
      <c r="B1605" s="46" t="n">
        <v>46254</v>
      </c>
      <c r="C1605" s="45" t="s">
        <v>141</v>
      </c>
      <c r="D1605" s="45" t="s">
        <v>142</v>
      </c>
      <c r="E1605" s="45" t="s">
        <v>3223</v>
      </c>
      <c r="F1605" s="45" t="s">
        <v>3283</v>
      </c>
      <c r="G1605" s="46" t="n">
        <v>46251</v>
      </c>
      <c r="H1605" s="45" t="s">
        <v>167</v>
      </c>
      <c r="I1605" s="45" t="s">
        <v>176</v>
      </c>
      <c r="J1605" s="45" t="s">
        <v>3284</v>
      </c>
      <c r="K1605" s="45" t="n">
        <v>0.7</v>
      </c>
      <c r="L1605" s="45" t="s">
        <v>263</v>
      </c>
      <c r="M1605" s="45" t="s">
        <v>259</v>
      </c>
      <c r="N1605" s="45" t="s">
        <v>167</v>
      </c>
      <c r="O1605" s="47" t="n">
        <v>46254.0712731482</v>
      </c>
      <c r="P1605" s="47" t="n">
        <v>46254.0717824074</v>
      </c>
    </row>
    <row r="1606" customFormat="false" ht="15" hidden="false" customHeight="false" outlineLevel="0" collapsed="false">
      <c r="A1606" s="45" t="n">
        <v>1811</v>
      </c>
      <c r="B1606" s="46" t="n">
        <v>46254</v>
      </c>
      <c r="C1606" s="45" t="s">
        <v>141</v>
      </c>
      <c r="D1606" s="45" t="s">
        <v>142</v>
      </c>
      <c r="E1606" s="45" t="s">
        <v>2282</v>
      </c>
      <c r="F1606" s="45" t="s">
        <v>3285</v>
      </c>
      <c r="G1606" s="46" t="n">
        <v>46251</v>
      </c>
      <c r="H1606" s="45" t="s">
        <v>168</v>
      </c>
      <c r="I1606" s="45" t="s">
        <v>192</v>
      </c>
      <c r="J1606" s="45" t="s">
        <v>3286</v>
      </c>
      <c r="K1606" s="45" t="n">
        <v>0.8</v>
      </c>
      <c r="L1606" s="45" t="s">
        <v>263</v>
      </c>
      <c r="M1606" s="45" t="s">
        <v>259</v>
      </c>
      <c r="N1606" s="45" t="s">
        <v>2559</v>
      </c>
      <c r="O1606" s="47" t="n">
        <v>46254.0738425926</v>
      </c>
      <c r="P1606" s="47" t="n">
        <v>46254.0743981482</v>
      </c>
    </row>
    <row r="1607" customFormat="false" ht="15" hidden="false" customHeight="false" outlineLevel="0" collapsed="false">
      <c r="A1607" s="45" t="n">
        <v>1812</v>
      </c>
      <c r="B1607" s="46" t="n">
        <v>46254</v>
      </c>
      <c r="C1607" s="45" t="s">
        <v>141</v>
      </c>
      <c r="D1607" s="45" t="s">
        <v>142</v>
      </c>
      <c r="E1607" s="45" t="s">
        <v>225</v>
      </c>
      <c r="F1607" s="45" t="s">
        <v>3287</v>
      </c>
      <c r="G1607" s="46" t="n">
        <v>46251</v>
      </c>
      <c r="H1607" s="45" t="s">
        <v>167</v>
      </c>
      <c r="I1607" s="45" t="s">
        <v>184</v>
      </c>
      <c r="J1607" s="45" t="s">
        <v>3288</v>
      </c>
      <c r="K1607" s="45" t="n">
        <v>0.7</v>
      </c>
      <c r="L1607" s="45" t="s">
        <v>259</v>
      </c>
      <c r="M1607" s="45" t="s">
        <v>259</v>
      </c>
      <c r="N1607" s="45" t="s">
        <v>167</v>
      </c>
      <c r="O1607" s="47" t="n">
        <v>46254.1925810185</v>
      </c>
      <c r="P1607" s="47" t="n">
        <v>46254.1930671296</v>
      </c>
    </row>
    <row r="1608" customFormat="false" ht="15" hidden="false" customHeight="false" outlineLevel="0" collapsed="false">
      <c r="A1608" s="45" t="n">
        <v>1813</v>
      </c>
      <c r="B1608" s="46" t="n">
        <v>46254</v>
      </c>
      <c r="C1608" s="45" t="s">
        <v>141</v>
      </c>
      <c r="D1608" s="45" t="s">
        <v>142</v>
      </c>
      <c r="E1608" s="45" t="s">
        <v>232</v>
      </c>
      <c r="F1608" s="45" t="s">
        <v>3226</v>
      </c>
      <c r="G1608" s="46" t="n">
        <v>46250</v>
      </c>
      <c r="H1608" s="45" t="s">
        <v>167</v>
      </c>
      <c r="I1608" s="45" t="s">
        <v>178</v>
      </c>
      <c r="J1608" s="45" t="s">
        <v>3289</v>
      </c>
      <c r="K1608" s="45" t="n">
        <v>4.1</v>
      </c>
      <c r="L1608" s="45" t="s">
        <v>259</v>
      </c>
      <c r="M1608" s="45" t="s">
        <v>259</v>
      </c>
      <c r="N1608" s="45" t="s">
        <v>167</v>
      </c>
      <c r="O1608" s="47" t="n">
        <v>46254.1945601852</v>
      </c>
      <c r="P1608" s="47" t="n">
        <v>46254.1974189815</v>
      </c>
    </row>
    <row r="1609" customFormat="false" ht="15" hidden="false" customHeight="false" outlineLevel="0" collapsed="false">
      <c r="A1609" s="45" t="n">
        <v>1814</v>
      </c>
      <c r="B1609" s="46" t="n">
        <v>46254</v>
      </c>
      <c r="C1609" s="45" t="s">
        <v>141</v>
      </c>
      <c r="D1609" s="45" t="s">
        <v>142</v>
      </c>
      <c r="E1609" s="45" t="s">
        <v>227</v>
      </c>
      <c r="F1609" s="45" t="s">
        <v>3290</v>
      </c>
      <c r="G1609" s="46" t="n">
        <v>46248</v>
      </c>
      <c r="H1609" s="45" t="s">
        <v>167</v>
      </c>
      <c r="I1609" s="45" t="s">
        <v>179</v>
      </c>
      <c r="J1609" s="45" t="s">
        <v>3291</v>
      </c>
      <c r="K1609" s="45" t="n">
        <v>1.3</v>
      </c>
      <c r="L1609" s="45" t="s">
        <v>259</v>
      </c>
      <c r="M1609" s="45" t="s">
        <v>259</v>
      </c>
      <c r="N1609" s="45" t="s">
        <v>167</v>
      </c>
      <c r="O1609" s="47" t="n">
        <v>46254.1992013889</v>
      </c>
      <c r="P1609" s="47" t="n">
        <v>46254.2001041667</v>
      </c>
    </row>
    <row r="1610" customFormat="false" ht="15" hidden="false" customHeight="false" outlineLevel="0" collapsed="false">
      <c r="A1610" s="45" t="n">
        <v>1815</v>
      </c>
      <c r="B1610" s="46" t="n">
        <v>46254</v>
      </c>
      <c r="C1610" s="45" t="s">
        <v>141</v>
      </c>
      <c r="D1610" s="45" t="s">
        <v>142</v>
      </c>
      <c r="E1610" s="45" t="s">
        <v>227</v>
      </c>
      <c r="F1610" s="45" t="s">
        <v>3292</v>
      </c>
      <c r="G1610" s="46" t="n">
        <v>46247</v>
      </c>
      <c r="H1610" s="45" t="s">
        <v>168</v>
      </c>
      <c r="I1610" s="45" t="s">
        <v>196</v>
      </c>
      <c r="J1610" s="45" t="s">
        <v>3293</v>
      </c>
      <c r="K1610" s="45" t="n">
        <v>3.1</v>
      </c>
      <c r="L1610" s="45" t="s">
        <v>259</v>
      </c>
      <c r="M1610" s="45" t="s">
        <v>259</v>
      </c>
      <c r="N1610" s="45" t="s">
        <v>2559</v>
      </c>
      <c r="O1610" s="47" t="n">
        <v>46254.2001388889</v>
      </c>
      <c r="P1610" s="47" t="n">
        <v>46254.2023263889</v>
      </c>
    </row>
    <row r="1611" customFormat="false" ht="15" hidden="false" customHeight="false" outlineLevel="0" collapsed="false">
      <c r="A1611" s="45" t="n">
        <v>1816</v>
      </c>
      <c r="B1611" s="46" t="n">
        <v>46254</v>
      </c>
      <c r="C1611" s="45" t="s">
        <v>141</v>
      </c>
      <c r="D1611" s="45" t="s">
        <v>142</v>
      </c>
      <c r="E1611" s="45" t="s">
        <v>227</v>
      </c>
      <c r="F1611" s="45" t="s">
        <v>3294</v>
      </c>
      <c r="G1611" s="46" t="n">
        <v>46247</v>
      </c>
      <c r="H1611" s="45" t="s">
        <v>57</v>
      </c>
      <c r="I1611" s="45" t="s">
        <v>201</v>
      </c>
      <c r="J1611" s="45" t="s">
        <v>3295</v>
      </c>
      <c r="K1611" s="45" t="n">
        <v>2.2</v>
      </c>
      <c r="L1611" s="45" t="s">
        <v>259</v>
      </c>
      <c r="M1611" s="45" t="s">
        <v>259</v>
      </c>
      <c r="N1611" s="45" t="s">
        <v>57</v>
      </c>
      <c r="O1611" s="47" t="n">
        <v>46254.2034837963</v>
      </c>
      <c r="P1611" s="47" t="n">
        <v>46254.2050115741</v>
      </c>
    </row>
    <row r="1612" customFormat="false" ht="15" hidden="false" customHeight="false" outlineLevel="0" collapsed="false">
      <c r="A1612" s="45" t="n">
        <v>1817</v>
      </c>
      <c r="B1612" s="46" t="n">
        <v>46254</v>
      </c>
      <c r="C1612" s="45" t="s">
        <v>141</v>
      </c>
      <c r="D1612" s="45" t="s">
        <v>142</v>
      </c>
      <c r="E1612" s="45" t="s">
        <v>1704</v>
      </c>
      <c r="F1612" s="45" t="s">
        <v>3296</v>
      </c>
      <c r="G1612" s="46" t="n">
        <v>46247</v>
      </c>
      <c r="H1612" s="45" t="s">
        <v>168</v>
      </c>
      <c r="I1612" s="45" t="s">
        <v>191</v>
      </c>
      <c r="J1612" s="45" t="s">
        <v>3297</v>
      </c>
      <c r="K1612" s="45" t="n">
        <v>4.8</v>
      </c>
      <c r="L1612" s="45" t="s">
        <v>259</v>
      </c>
      <c r="M1612" s="45" t="s">
        <v>259</v>
      </c>
      <c r="N1612" s="45" t="s">
        <v>2559</v>
      </c>
      <c r="O1612" s="47" t="n">
        <v>46254.205775463</v>
      </c>
      <c r="P1612" s="47" t="n">
        <v>46254.2091087963</v>
      </c>
    </row>
    <row r="1613" customFormat="false" ht="15" hidden="false" customHeight="false" outlineLevel="0" collapsed="false">
      <c r="A1613" s="45" t="n">
        <v>1818</v>
      </c>
      <c r="B1613" s="46" t="n">
        <v>46254</v>
      </c>
      <c r="C1613" s="45" t="s">
        <v>135</v>
      </c>
      <c r="D1613" s="45" t="s">
        <v>136</v>
      </c>
      <c r="E1613" s="45" t="s">
        <v>3298</v>
      </c>
      <c r="F1613" s="45" t="s">
        <v>3299</v>
      </c>
      <c r="G1613" s="46" t="n">
        <v>46252</v>
      </c>
      <c r="H1613" s="45" t="s">
        <v>57</v>
      </c>
      <c r="I1613" s="45" t="s">
        <v>200</v>
      </c>
      <c r="J1613" s="45" t="s">
        <v>3300</v>
      </c>
      <c r="K1613" s="45" t="n">
        <v>0.6</v>
      </c>
      <c r="L1613" s="45" t="s">
        <v>263</v>
      </c>
      <c r="M1613" s="45" t="s">
        <v>259</v>
      </c>
      <c r="N1613" s="45" t="s">
        <v>57</v>
      </c>
      <c r="O1613" s="47" t="n">
        <v>46254.9007638889</v>
      </c>
      <c r="P1613" s="47" t="n">
        <v>46254.9011458333</v>
      </c>
    </row>
    <row r="1614" customFormat="false" ht="15" hidden="false" customHeight="false" outlineLevel="0" collapsed="false">
      <c r="A1614" s="45" t="n">
        <v>1819</v>
      </c>
      <c r="B1614" s="46" t="n">
        <v>46254</v>
      </c>
      <c r="C1614" s="45" t="s">
        <v>135</v>
      </c>
      <c r="D1614" s="45" t="s">
        <v>136</v>
      </c>
      <c r="E1614" s="45" t="s">
        <v>1833</v>
      </c>
      <c r="F1614" s="45" t="s">
        <v>3301</v>
      </c>
      <c r="G1614" s="46" t="n">
        <v>46253</v>
      </c>
      <c r="H1614" s="45" t="s">
        <v>168</v>
      </c>
      <c r="I1614" s="45" t="s">
        <v>191</v>
      </c>
      <c r="J1614" s="45" t="s">
        <v>3302</v>
      </c>
      <c r="K1614" s="45" t="n">
        <v>35.5</v>
      </c>
      <c r="L1614" s="45" t="s">
        <v>263</v>
      </c>
      <c r="M1614" s="45" t="s">
        <v>259</v>
      </c>
      <c r="N1614" s="45" t="s">
        <v>2559</v>
      </c>
      <c r="O1614" s="47" t="n">
        <v>46254.9011805556</v>
      </c>
      <c r="P1614" s="47" t="n">
        <v>46254.9258333333</v>
      </c>
    </row>
    <row r="1615" customFormat="false" ht="15" hidden="false" customHeight="false" outlineLevel="0" collapsed="false">
      <c r="A1615" s="45" t="n">
        <v>1820</v>
      </c>
      <c r="B1615" s="46" t="n">
        <v>46255</v>
      </c>
      <c r="C1615" s="45" t="s">
        <v>141</v>
      </c>
      <c r="D1615" s="45" t="s">
        <v>142</v>
      </c>
      <c r="E1615" s="45" t="s">
        <v>227</v>
      </c>
      <c r="F1615" s="45" t="s">
        <v>3303</v>
      </c>
      <c r="G1615" s="46" t="n">
        <v>46225</v>
      </c>
      <c r="H1615" s="45" t="s">
        <v>168</v>
      </c>
      <c r="I1615" s="45" t="s">
        <v>196</v>
      </c>
      <c r="J1615" s="45" t="s">
        <v>3304</v>
      </c>
      <c r="K1615" s="45" t="n">
        <v>1</v>
      </c>
      <c r="L1615" s="45" t="s">
        <v>263</v>
      </c>
      <c r="M1615" s="45" t="s">
        <v>259</v>
      </c>
      <c r="N1615" s="45" t="s">
        <v>2559</v>
      </c>
      <c r="O1615" s="47" t="n">
        <v>46255.0157523148</v>
      </c>
      <c r="P1615" s="47" t="n">
        <v>46255.0164467593</v>
      </c>
    </row>
    <row r="1616" customFormat="false" ht="15" hidden="false" customHeight="false" outlineLevel="0" collapsed="false">
      <c r="A1616" s="45" t="n">
        <v>1821</v>
      </c>
      <c r="B1616" s="46" t="n">
        <v>46255</v>
      </c>
      <c r="C1616" s="45" t="s">
        <v>141</v>
      </c>
      <c r="D1616" s="45" t="s">
        <v>142</v>
      </c>
      <c r="E1616" s="45" t="s">
        <v>227</v>
      </c>
      <c r="F1616" s="45" t="s">
        <v>3305</v>
      </c>
      <c r="G1616" s="46" t="n">
        <v>46231</v>
      </c>
      <c r="H1616" s="45" t="s">
        <v>167</v>
      </c>
      <c r="I1616" s="45" t="s">
        <v>176</v>
      </c>
      <c r="J1616" s="45" t="s">
        <v>2988</v>
      </c>
      <c r="K1616" s="45" t="n">
        <v>1.4</v>
      </c>
      <c r="L1616" s="45" t="s">
        <v>263</v>
      </c>
      <c r="M1616" s="45" t="s">
        <v>259</v>
      </c>
      <c r="N1616" s="45" t="s">
        <v>167</v>
      </c>
      <c r="O1616" s="47" t="n">
        <v>46255.0166319445</v>
      </c>
      <c r="P1616" s="47" t="n">
        <v>46255.0176157407</v>
      </c>
    </row>
    <row r="1617" customFormat="false" ht="15" hidden="false" customHeight="false" outlineLevel="0" collapsed="false">
      <c r="A1617" s="45" t="n">
        <v>1822</v>
      </c>
      <c r="B1617" s="46" t="n">
        <v>46255</v>
      </c>
      <c r="C1617" s="45" t="s">
        <v>141</v>
      </c>
      <c r="D1617" s="45" t="s">
        <v>142</v>
      </c>
      <c r="E1617" s="45" t="s">
        <v>225</v>
      </c>
      <c r="F1617" s="45" t="s">
        <v>3287</v>
      </c>
      <c r="G1617" s="46" t="n">
        <v>46251</v>
      </c>
      <c r="H1617" s="45" t="s">
        <v>167</v>
      </c>
      <c r="I1617" s="45" t="s">
        <v>179</v>
      </c>
      <c r="J1617" s="45" t="s">
        <v>3306</v>
      </c>
      <c r="K1617" s="45" t="n">
        <v>0.5</v>
      </c>
      <c r="L1617" s="45" t="s">
        <v>259</v>
      </c>
      <c r="M1617" s="45" t="s">
        <v>259</v>
      </c>
      <c r="N1617" s="45" t="s">
        <v>167</v>
      </c>
      <c r="O1617" s="47" t="n">
        <v>46255.0177546296</v>
      </c>
      <c r="P1617" s="47" t="n">
        <v>46255.0180671296</v>
      </c>
    </row>
    <row r="1618" customFormat="false" ht="15" hidden="false" customHeight="false" outlineLevel="0" collapsed="false">
      <c r="A1618" s="45" t="n">
        <v>1823</v>
      </c>
      <c r="B1618" s="46" t="n">
        <v>46255</v>
      </c>
      <c r="C1618" s="45" t="s">
        <v>141</v>
      </c>
      <c r="D1618" s="45" t="s">
        <v>142</v>
      </c>
      <c r="E1618" s="45" t="s">
        <v>2282</v>
      </c>
      <c r="F1618" s="45" t="s">
        <v>3307</v>
      </c>
      <c r="G1618" s="46" t="n">
        <v>46250</v>
      </c>
      <c r="H1618" s="45" t="s">
        <v>167</v>
      </c>
      <c r="I1618" s="45" t="s">
        <v>176</v>
      </c>
      <c r="J1618" s="45" t="s">
        <v>3308</v>
      </c>
      <c r="K1618" s="45" t="n">
        <v>0.7</v>
      </c>
      <c r="L1618" s="45" t="s">
        <v>263</v>
      </c>
      <c r="M1618" s="45" t="s">
        <v>259</v>
      </c>
      <c r="N1618" s="45" t="s">
        <v>167</v>
      </c>
      <c r="O1618" s="47" t="n">
        <v>46255.0181018519</v>
      </c>
      <c r="P1618" s="47" t="n">
        <v>46255.018599537</v>
      </c>
    </row>
    <row r="1619" customFormat="false" ht="15" hidden="false" customHeight="false" outlineLevel="0" collapsed="false">
      <c r="A1619" s="45" t="n">
        <v>1824</v>
      </c>
      <c r="B1619" s="46" t="n">
        <v>46255</v>
      </c>
      <c r="C1619" s="45" t="s">
        <v>141</v>
      </c>
      <c r="D1619" s="45" t="s">
        <v>142</v>
      </c>
      <c r="E1619" s="45" t="s">
        <v>2282</v>
      </c>
      <c r="F1619" s="45" t="s">
        <v>3309</v>
      </c>
      <c r="G1619" s="46" t="n">
        <v>46251</v>
      </c>
      <c r="H1619" s="45" t="s">
        <v>167</v>
      </c>
      <c r="I1619" s="45" t="s">
        <v>176</v>
      </c>
      <c r="J1619" s="45" t="s">
        <v>3286</v>
      </c>
      <c r="K1619" s="45" t="n">
        <v>0.4</v>
      </c>
      <c r="L1619" s="45" t="s">
        <v>263</v>
      </c>
      <c r="M1619" s="45" t="s">
        <v>259</v>
      </c>
      <c r="N1619" s="45" t="s">
        <v>167</v>
      </c>
      <c r="O1619" s="47" t="n">
        <v>46255.0187152778</v>
      </c>
      <c r="P1619" s="47" t="n">
        <v>46255.0190046296</v>
      </c>
    </row>
    <row r="1620" customFormat="false" ht="15" hidden="false" customHeight="false" outlineLevel="0" collapsed="false">
      <c r="A1620" s="45" t="n">
        <v>1825</v>
      </c>
      <c r="B1620" s="46" t="n">
        <v>46255</v>
      </c>
      <c r="C1620" s="45" t="s">
        <v>141</v>
      </c>
      <c r="D1620" s="45" t="s">
        <v>142</v>
      </c>
      <c r="E1620" s="45" t="s">
        <v>1704</v>
      </c>
      <c r="F1620" s="45" t="s">
        <v>3310</v>
      </c>
      <c r="G1620" s="46" t="n">
        <v>46247</v>
      </c>
      <c r="H1620" s="45" t="s">
        <v>57</v>
      </c>
      <c r="I1620" s="45" t="s">
        <v>201</v>
      </c>
      <c r="J1620" s="45" t="s">
        <v>3311</v>
      </c>
      <c r="K1620" s="45" t="n">
        <v>0.5</v>
      </c>
      <c r="L1620" s="45" t="s">
        <v>263</v>
      </c>
      <c r="M1620" s="45" t="s">
        <v>259</v>
      </c>
      <c r="N1620" s="45" t="s">
        <v>57</v>
      </c>
      <c r="O1620" s="47" t="n">
        <v>46255.0191782407</v>
      </c>
      <c r="P1620" s="47" t="n">
        <v>46255.0194907407</v>
      </c>
    </row>
    <row r="1621" customFormat="false" ht="15" hidden="false" customHeight="false" outlineLevel="0" collapsed="false">
      <c r="A1621" s="45" t="n">
        <v>1826</v>
      </c>
      <c r="B1621" s="46" t="n">
        <v>46255</v>
      </c>
      <c r="C1621" s="45" t="s">
        <v>141</v>
      </c>
      <c r="D1621" s="45" t="s">
        <v>142</v>
      </c>
      <c r="E1621" s="45" t="s">
        <v>1704</v>
      </c>
      <c r="F1621" s="45" t="s">
        <v>3296</v>
      </c>
      <c r="G1621" s="46" t="n">
        <v>46249</v>
      </c>
      <c r="H1621" s="45" t="s">
        <v>57</v>
      </c>
      <c r="I1621" s="45" t="s">
        <v>201</v>
      </c>
      <c r="J1621" s="45" t="s">
        <v>3312</v>
      </c>
      <c r="K1621" s="45" t="n">
        <v>2.1</v>
      </c>
      <c r="L1621" s="45" t="s">
        <v>259</v>
      </c>
      <c r="M1621" s="45" t="s">
        <v>259</v>
      </c>
      <c r="N1621" s="45" t="s">
        <v>57</v>
      </c>
      <c r="O1621" s="47" t="n">
        <v>46255.0196643519</v>
      </c>
      <c r="P1621" s="47" t="n">
        <v>46255.0211111111</v>
      </c>
    </row>
    <row r="1622" customFormat="false" ht="15" hidden="false" customHeight="false" outlineLevel="0" collapsed="false">
      <c r="A1622" s="45" t="n">
        <v>1827</v>
      </c>
      <c r="B1622" s="46" t="n">
        <v>46255</v>
      </c>
      <c r="C1622" s="45" t="s">
        <v>141</v>
      </c>
      <c r="D1622" s="45" t="s">
        <v>142</v>
      </c>
      <c r="E1622" s="45" t="s">
        <v>3223</v>
      </c>
      <c r="F1622" s="45" t="s">
        <v>3313</v>
      </c>
      <c r="G1622" s="46" t="n">
        <v>46251</v>
      </c>
      <c r="H1622" s="45" t="s">
        <v>57</v>
      </c>
      <c r="I1622" s="45" t="s">
        <v>201</v>
      </c>
      <c r="J1622" s="45" t="s">
        <v>3284</v>
      </c>
      <c r="K1622" s="45" t="n">
        <v>0.5</v>
      </c>
      <c r="L1622" s="45" t="s">
        <v>263</v>
      </c>
      <c r="M1622" s="45" t="s">
        <v>259</v>
      </c>
      <c r="N1622" s="45" t="s">
        <v>57</v>
      </c>
      <c r="O1622" s="47" t="n">
        <v>46255.0211574074</v>
      </c>
      <c r="P1622" s="47" t="n">
        <v>46255.0215162037</v>
      </c>
    </row>
    <row r="1623" customFormat="false" ht="15" hidden="false" customHeight="false" outlineLevel="0" collapsed="false">
      <c r="A1623" s="45" t="n">
        <v>1828</v>
      </c>
      <c r="B1623" s="46" t="n">
        <v>46255</v>
      </c>
      <c r="C1623" s="45" t="s">
        <v>141</v>
      </c>
      <c r="D1623" s="45" t="s">
        <v>142</v>
      </c>
      <c r="E1623" s="45" t="s">
        <v>3223</v>
      </c>
      <c r="F1623" s="45" t="s">
        <v>3314</v>
      </c>
      <c r="G1623" s="46" t="n">
        <v>46251</v>
      </c>
      <c r="H1623" s="45" t="s">
        <v>167</v>
      </c>
      <c r="I1623" s="45" t="s">
        <v>181</v>
      </c>
      <c r="J1623" s="45" t="s">
        <v>3315</v>
      </c>
      <c r="K1623" s="45" t="n">
        <v>0.7</v>
      </c>
      <c r="L1623" s="45" t="s">
        <v>263</v>
      </c>
      <c r="M1623" s="45" t="s">
        <v>259</v>
      </c>
      <c r="N1623" s="45" t="s">
        <v>167</v>
      </c>
      <c r="O1623" s="47" t="n">
        <v>46255.0216782407</v>
      </c>
      <c r="P1623" s="47" t="n">
        <v>46255.0221527778</v>
      </c>
    </row>
    <row r="1624" customFormat="false" ht="15" hidden="false" customHeight="false" outlineLevel="0" collapsed="false">
      <c r="A1624" s="45" t="n">
        <v>1829</v>
      </c>
      <c r="B1624" s="46" t="n">
        <v>46255</v>
      </c>
      <c r="C1624" s="45" t="s">
        <v>141</v>
      </c>
      <c r="D1624" s="45" t="s">
        <v>142</v>
      </c>
      <c r="E1624" s="45" t="s">
        <v>227</v>
      </c>
      <c r="F1624" s="45" t="s">
        <v>3294</v>
      </c>
      <c r="G1624" s="46" t="n">
        <v>46247</v>
      </c>
      <c r="H1624" s="45" t="s">
        <v>57</v>
      </c>
      <c r="I1624" s="45" t="s">
        <v>201</v>
      </c>
      <c r="J1624" s="45" t="s">
        <v>3316</v>
      </c>
      <c r="K1624" s="45" t="n">
        <v>0.7</v>
      </c>
      <c r="L1624" s="45" t="s">
        <v>259</v>
      </c>
      <c r="M1624" s="45" t="s">
        <v>259</v>
      </c>
      <c r="N1624" s="45" t="s">
        <v>57</v>
      </c>
      <c r="O1624" s="47" t="n">
        <v>46255.0223726852</v>
      </c>
      <c r="P1624" s="47" t="n">
        <v>46255.0228356482</v>
      </c>
    </row>
    <row r="1625" customFormat="false" ht="15" hidden="false" customHeight="false" outlineLevel="0" collapsed="false">
      <c r="A1625" s="45" t="n">
        <v>1830</v>
      </c>
      <c r="B1625" s="46" t="n">
        <v>46255</v>
      </c>
      <c r="C1625" s="45" t="s">
        <v>141</v>
      </c>
      <c r="D1625" s="45" t="s">
        <v>142</v>
      </c>
      <c r="E1625" s="45" t="s">
        <v>227</v>
      </c>
      <c r="F1625" s="45" t="s">
        <v>3292</v>
      </c>
      <c r="G1625" s="46" t="n">
        <v>46247</v>
      </c>
      <c r="H1625" s="45" t="s">
        <v>168</v>
      </c>
      <c r="I1625" s="45" t="s">
        <v>196</v>
      </c>
      <c r="J1625" s="45" t="s">
        <v>3317</v>
      </c>
      <c r="K1625" s="45" t="n">
        <v>1.4</v>
      </c>
      <c r="L1625" s="45" t="s">
        <v>259</v>
      </c>
      <c r="M1625" s="45" t="s">
        <v>259</v>
      </c>
      <c r="N1625" s="45" t="s">
        <v>2559</v>
      </c>
      <c r="O1625" s="47" t="n">
        <v>46255.0319560185</v>
      </c>
      <c r="P1625" s="47" t="n">
        <v>46255.032962963</v>
      </c>
    </row>
    <row r="1626" customFormat="false" ht="15" hidden="false" customHeight="false" outlineLevel="0" collapsed="false">
      <c r="A1626" s="45" t="n">
        <v>1831</v>
      </c>
      <c r="B1626" s="46" t="n">
        <v>46255</v>
      </c>
      <c r="C1626" s="45" t="s">
        <v>141</v>
      </c>
      <c r="D1626" s="45" t="s">
        <v>142</v>
      </c>
      <c r="E1626" s="45" t="s">
        <v>227</v>
      </c>
      <c r="F1626" s="45" t="s">
        <v>3290</v>
      </c>
      <c r="G1626" s="46" t="n">
        <v>46248</v>
      </c>
      <c r="H1626" s="45" t="s">
        <v>57</v>
      </c>
      <c r="I1626" s="45" t="s">
        <v>201</v>
      </c>
      <c r="J1626" s="45" t="s">
        <v>3291</v>
      </c>
      <c r="K1626" s="45" t="n">
        <v>0.3</v>
      </c>
      <c r="L1626" s="45" t="s">
        <v>259</v>
      </c>
      <c r="M1626" s="45" t="s">
        <v>259</v>
      </c>
      <c r="N1626" s="45" t="s">
        <v>57</v>
      </c>
      <c r="O1626" s="47" t="n">
        <v>46255.0330555556</v>
      </c>
      <c r="P1626" s="47" t="n">
        <v>46255.0332986111</v>
      </c>
    </row>
    <row r="1627" customFormat="false" ht="15" hidden="false" customHeight="false" outlineLevel="0" collapsed="false">
      <c r="A1627" s="45" t="n">
        <v>1832</v>
      </c>
      <c r="B1627" s="46" t="n">
        <v>46255</v>
      </c>
      <c r="C1627" s="45" t="s">
        <v>141</v>
      </c>
      <c r="D1627" s="45" t="s">
        <v>142</v>
      </c>
      <c r="E1627" s="45" t="s">
        <v>227</v>
      </c>
      <c r="F1627" s="45" t="s">
        <v>3318</v>
      </c>
      <c r="G1627" s="46" t="n">
        <v>46250</v>
      </c>
      <c r="H1627" s="45" t="s">
        <v>168</v>
      </c>
      <c r="I1627" s="45" t="s">
        <v>192</v>
      </c>
      <c r="J1627" s="45" t="s">
        <v>3319</v>
      </c>
      <c r="K1627" s="45" t="n">
        <v>0.4</v>
      </c>
      <c r="L1627" s="45" t="s">
        <v>263</v>
      </c>
      <c r="M1627" s="45" t="s">
        <v>259</v>
      </c>
      <c r="N1627" s="45" t="s">
        <v>2559</v>
      </c>
      <c r="O1627" s="47" t="n">
        <v>46255.0334027778</v>
      </c>
      <c r="P1627" s="47" t="n">
        <v>46255.0337037037</v>
      </c>
    </row>
    <row r="1628" customFormat="false" ht="15" hidden="false" customHeight="false" outlineLevel="0" collapsed="false">
      <c r="A1628" s="45" t="n">
        <v>1833</v>
      </c>
      <c r="B1628" s="46" t="n">
        <v>46255</v>
      </c>
      <c r="C1628" s="45" t="s">
        <v>141</v>
      </c>
      <c r="D1628" s="45" t="s">
        <v>142</v>
      </c>
      <c r="E1628" s="45" t="s">
        <v>225</v>
      </c>
      <c r="F1628" s="45" t="s">
        <v>3320</v>
      </c>
      <c r="G1628" s="46" t="n">
        <v>46243</v>
      </c>
      <c r="H1628" s="45" t="s">
        <v>167</v>
      </c>
      <c r="I1628" s="45" t="s">
        <v>181</v>
      </c>
      <c r="J1628" s="45" t="s">
        <v>3321</v>
      </c>
      <c r="K1628" s="45" t="n">
        <v>51.3</v>
      </c>
      <c r="L1628" s="45" t="s">
        <v>263</v>
      </c>
      <c r="M1628" s="45" t="s">
        <v>259</v>
      </c>
      <c r="N1628" s="45" t="s">
        <v>167</v>
      </c>
      <c r="O1628" s="47" t="n">
        <v>46255.043275463</v>
      </c>
      <c r="P1628" s="47" t="n">
        <v>46255.0788888889</v>
      </c>
    </row>
    <row r="1629" customFormat="false" ht="15" hidden="false" customHeight="false" outlineLevel="0" collapsed="false">
      <c r="A1629" s="45" t="n">
        <v>1834</v>
      </c>
      <c r="B1629" s="46" t="n">
        <v>46255</v>
      </c>
      <c r="C1629" s="45" t="s">
        <v>133</v>
      </c>
      <c r="D1629" s="45" t="s">
        <v>134</v>
      </c>
      <c r="E1629" s="45" t="s">
        <v>2933</v>
      </c>
      <c r="F1629" s="45" t="s">
        <v>3322</v>
      </c>
      <c r="G1629" s="46" t="n">
        <v>46247</v>
      </c>
      <c r="H1629" s="45" t="s">
        <v>167</v>
      </c>
      <c r="I1629" s="45" t="s">
        <v>180</v>
      </c>
      <c r="J1629" s="45" t="s">
        <v>3323</v>
      </c>
      <c r="K1629" s="45" t="n">
        <v>27.7</v>
      </c>
      <c r="L1629" s="45" t="s">
        <v>263</v>
      </c>
      <c r="M1629" s="45" t="s">
        <v>259</v>
      </c>
      <c r="N1629" s="45" t="s">
        <v>167</v>
      </c>
      <c r="O1629" s="47" t="n">
        <v>46255.6542939815</v>
      </c>
      <c r="P1629" s="47" t="n">
        <v>46255.6735416667</v>
      </c>
    </row>
    <row r="1630" customFormat="false" ht="15" hidden="false" customHeight="false" outlineLevel="0" collapsed="false">
      <c r="A1630" s="45" t="n">
        <v>1835</v>
      </c>
      <c r="B1630" s="46" t="n">
        <v>46255</v>
      </c>
      <c r="C1630" s="45" t="s">
        <v>135</v>
      </c>
      <c r="D1630" s="45" t="s">
        <v>136</v>
      </c>
      <c r="E1630" s="45" t="s">
        <v>220</v>
      </c>
      <c r="F1630" s="45" t="s">
        <v>3324</v>
      </c>
      <c r="G1630" s="46" t="n">
        <v>46253</v>
      </c>
      <c r="H1630" s="45" t="s">
        <v>167</v>
      </c>
      <c r="I1630" s="45" t="s">
        <v>176</v>
      </c>
      <c r="J1630" s="45" t="s">
        <v>3325</v>
      </c>
      <c r="K1630" s="45" t="n">
        <v>0.1</v>
      </c>
      <c r="L1630" s="45" t="s">
        <v>263</v>
      </c>
      <c r="M1630" s="45" t="s">
        <v>259</v>
      </c>
      <c r="N1630" s="45" t="s">
        <v>167</v>
      </c>
      <c r="O1630" s="47" t="n">
        <v>46255.764375</v>
      </c>
      <c r="P1630" s="47" t="n">
        <v>46255.7644328704</v>
      </c>
    </row>
    <row r="1631" customFormat="false" ht="15" hidden="false" customHeight="false" outlineLevel="0" collapsed="false">
      <c r="A1631" s="45" t="n">
        <v>1836</v>
      </c>
      <c r="B1631" s="46" t="n">
        <v>46255</v>
      </c>
      <c r="C1631" s="45" t="s">
        <v>135</v>
      </c>
      <c r="D1631" s="45" t="s">
        <v>136</v>
      </c>
      <c r="E1631" s="45" t="s">
        <v>220</v>
      </c>
      <c r="F1631" s="45" t="s">
        <v>3326</v>
      </c>
      <c r="G1631" s="46" t="n">
        <v>46252</v>
      </c>
      <c r="H1631" s="45" t="s">
        <v>167</v>
      </c>
      <c r="I1631" s="45" t="s">
        <v>180</v>
      </c>
      <c r="J1631" s="45" t="s">
        <v>3327</v>
      </c>
      <c r="K1631" s="45" t="n">
        <v>3.5</v>
      </c>
      <c r="L1631" s="45" t="s">
        <v>259</v>
      </c>
      <c r="M1631" s="45" t="s">
        <v>259</v>
      </c>
      <c r="N1631" s="45" t="s">
        <v>167</v>
      </c>
      <c r="O1631" s="47" t="n">
        <v>46255.890162037</v>
      </c>
      <c r="P1631" s="47" t="n">
        <v>46255.8926273148</v>
      </c>
    </row>
    <row r="1632" customFormat="false" ht="15" hidden="false" customHeight="false" outlineLevel="0" collapsed="false">
      <c r="A1632" s="45" t="n">
        <v>1837</v>
      </c>
      <c r="B1632" s="46" t="n">
        <v>46255</v>
      </c>
      <c r="C1632" s="45" t="s">
        <v>131</v>
      </c>
      <c r="D1632" s="45" t="s">
        <v>132</v>
      </c>
      <c r="E1632" s="45" t="s">
        <v>2226</v>
      </c>
      <c r="F1632" s="45" t="s">
        <v>3328</v>
      </c>
      <c r="G1632" s="46" t="n">
        <v>46254</v>
      </c>
      <c r="H1632" s="45" t="s">
        <v>167</v>
      </c>
      <c r="I1632" s="45" t="s">
        <v>176</v>
      </c>
      <c r="J1632" s="45" t="s">
        <v>3329</v>
      </c>
      <c r="K1632" s="45" t="n">
        <v>0.7</v>
      </c>
      <c r="L1632" s="45" t="s">
        <v>263</v>
      </c>
      <c r="M1632" s="45" t="s">
        <v>259</v>
      </c>
      <c r="N1632" s="45" t="s">
        <v>167</v>
      </c>
      <c r="O1632" s="47" t="n">
        <v>46255.9406134259</v>
      </c>
      <c r="P1632" s="47" t="n">
        <v>46255.941099537</v>
      </c>
    </row>
    <row r="1633" customFormat="false" ht="15" hidden="false" customHeight="false" outlineLevel="0" collapsed="false">
      <c r="A1633" s="45" t="n">
        <v>1838</v>
      </c>
      <c r="B1633" s="46" t="n">
        <v>46255</v>
      </c>
      <c r="C1633" s="45" t="s">
        <v>131</v>
      </c>
      <c r="D1633" s="45" t="s">
        <v>132</v>
      </c>
      <c r="E1633" s="45" t="s">
        <v>240</v>
      </c>
      <c r="F1633" s="45" t="s">
        <v>3330</v>
      </c>
      <c r="G1633" s="46" t="n">
        <v>46254</v>
      </c>
      <c r="H1633" s="45" t="s">
        <v>167</v>
      </c>
      <c r="I1633" s="45" t="s">
        <v>176</v>
      </c>
      <c r="J1633" s="45" t="s">
        <v>3331</v>
      </c>
      <c r="K1633" s="45" t="n">
        <v>1.2</v>
      </c>
      <c r="L1633" s="45" t="s">
        <v>263</v>
      </c>
      <c r="M1633" s="45" t="s">
        <v>259</v>
      </c>
      <c r="N1633" s="45" t="s">
        <v>167</v>
      </c>
      <c r="O1633" s="47" t="n">
        <v>46255.9413541667</v>
      </c>
      <c r="P1633" s="47" t="n">
        <v>46255.9422222222</v>
      </c>
    </row>
    <row r="1634" customFormat="false" ht="15" hidden="false" customHeight="false" outlineLevel="0" collapsed="false">
      <c r="A1634" s="45" t="n">
        <v>1839</v>
      </c>
      <c r="B1634" s="46" t="n">
        <v>46256</v>
      </c>
      <c r="C1634" s="45" t="s">
        <v>139</v>
      </c>
      <c r="D1634" s="45" t="s">
        <v>140</v>
      </c>
      <c r="E1634" s="45" t="s">
        <v>221</v>
      </c>
      <c r="F1634" s="45" t="s">
        <v>3332</v>
      </c>
      <c r="G1634" s="46" t="n">
        <v>46251</v>
      </c>
      <c r="H1634" s="45" t="s">
        <v>167</v>
      </c>
      <c r="I1634" s="45" t="s">
        <v>176</v>
      </c>
      <c r="J1634" s="45" t="s">
        <v>3333</v>
      </c>
      <c r="K1634" s="45" t="n">
        <v>81.8</v>
      </c>
      <c r="L1634" s="45" t="s">
        <v>259</v>
      </c>
      <c r="M1634" s="45" t="s">
        <v>259</v>
      </c>
      <c r="N1634" s="45" t="s">
        <v>167</v>
      </c>
      <c r="O1634" s="47" t="n">
        <v>46256.6758333333</v>
      </c>
      <c r="P1634" s="47" t="n">
        <v>46256.7326736111</v>
      </c>
    </row>
    <row r="1635" customFormat="false" ht="15" hidden="false" customHeight="false" outlineLevel="0" collapsed="false">
      <c r="A1635" s="45" t="n">
        <v>1842</v>
      </c>
      <c r="B1635" s="46" t="n">
        <v>46256</v>
      </c>
      <c r="C1635" s="45" t="s">
        <v>139</v>
      </c>
      <c r="D1635" s="45" t="s">
        <v>140</v>
      </c>
      <c r="E1635" s="45" t="s">
        <v>221</v>
      </c>
      <c r="F1635" s="45" t="s">
        <v>3334</v>
      </c>
      <c r="G1635" s="46" t="n">
        <v>46251</v>
      </c>
      <c r="H1635" s="45" t="s">
        <v>167</v>
      </c>
      <c r="I1635" s="45" t="s">
        <v>176</v>
      </c>
      <c r="J1635" s="45" t="s">
        <v>3333</v>
      </c>
      <c r="K1635" s="45" t="n">
        <v>138.7</v>
      </c>
      <c r="L1635" s="45" t="s">
        <v>263</v>
      </c>
      <c r="M1635" s="45" t="s">
        <v>259</v>
      </c>
      <c r="N1635" s="45" t="s">
        <v>167</v>
      </c>
      <c r="O1635" s="47" t="n">
        <v>46256.7401851852</v>
      </c>
      <c r="P1635" s="47" t="n">
        <v>46256.8364930556</v>
      </c>
    </row>
    <row r="1636" customFormat="false" ht="15" hidden="false" customHeight="false" outlineLevel="0" collapsed="false">
      <c r="A1636" s="45" t="n">
        <v>1840</v>
      </c>
      <c r="B1636" s="46" t="n">
        <v>46256</v>
      </c>
      <c r="C1636" s="45" t="s">
        <v>131</v>
      </c>
      <c r="D1636" s="45" t="s">
        <v>132</v>
      </c>
      <c r="E1636" s="45" t="s">
        <v>2226</v>
      </c>
      <c r="F1636" s="45" t="s">
        <v>3335</v>
      </c>
      <c r="G1636" s="46" t="n">
        <v>46255</v>
      </c>
      <c r="H1636" s="45" t="s">
        <v>168</v>
      </c>
      <c r="I1636" s="45" t="s">
        <v>191</v>
      </c>
      <c r="J1636" s="45" t="s">
        <v>3336</v>
      </c>
      <c r="K1636" s="45" t="n">
        <v>1</v>
      </c>
      <c r="L1636" s="45" t="s">
        <v>263</v>
      </c>
      <c r="M1636" s="45" t="s">
        <v>259</v>
      </c>
      <c r="N1636" s="45" t="s">
        <v>2559</v>
      </c>
      <c r="O1636" s="47" t="n">
        <v>46256.8312731482</v>
      </c>
      <c r="P1636" s="47" t="n">
        <v>46256.8319907407</v>
      </c>
    </row>
    <row r="1637" customFormat="false" ht="15" hidden="false" customHeight="false" outlineLevel="0" collapsed="false">
      <c r="A1637" s="45" t="n">
        <v>1841</v>
      </c>
      <c r="B1637" s="46" t="n">
        <v>46256</v>
      </c>
      <c r="C1637" s="45" t="s">
        <v>131</v>
      </c>
      <c r="D1637" s="45" t="s">
        <v>132</v>
      </c>
      <c r="E1637" s="45" t="s">
        <v>2254</v>
      </c>
      <c r="F1637" s="45" t="s">
        <v>3337</v>
      </c>
      <c r="G1637" s="46" t="n">
        <v>46255</v>
      </c>
      <c r="H1637" s="45" t="s">
        <v>57</v>
      </c>
      <c r="I1637" s="45" t="s">
        <v>201</v>
      </c>
      <c r="J1637" s="45" t="s">
        <v>1429</v>
      </c>
      <c r="K1637" s="45" t="n">
        <v>0.7</v>
      </c>
      <c r="L1637" s="45" t="s">
        <v>263</v>
      </c>
      <c r="M1637" s="45" t="s">
        <v>259</v>
      </c>
      <c r="N1637" s="45" t="s">
        <v>57</v>
      </c>
      <c r="O1637" s="47" t="n">
        <v>46256.8331828704</v>
      </c>
      <c r="P1637" s="47" t="n">
        <v>46256.8336458333</v>
      </c>
    </row>
    <row r="1638" customFormat="false" ht="15" hidden="false" customHeight="false" outlineLevel="0" collapsed="false">
      <c r="A1638" s="45" t="n">
        <v>1843</v>
      </c>
      <c r="B1638" s="46" t="n">
        <v>46256</v>
      </c>
      <c r="C1638" s="45" t="s">
        <v>139</v>
      </c>
      <c r="D1638" s="45" t="s">
        <v>140</v>
      </c>
      <c r="E1638" s="45" t="s">
        <v>221</v>
      </c>
      <c r="F1638" s="45" t="s">
        <v>3332</v>
      </c>
      <c r="G1638" s="46" t="n">
        <v>46251</v>
      </c>
      <c r="H1638" s="45" t="s">
        <v>167</v>
      </c>
      <c r="I1638" s="45" t="s">
        <v>176</v>
      </c>
      <c r="J1638" s="45" t="s">
        <v>3333</v>
      </c>
      <c r="K1638" s="45" t="n">
        <v>0.8</v>
      </c>
      <c r="L1638" s="45" t="s">
        <v>259</v>
      </c>
      <c r="M1638" s="45" t="s">
        <v>259</v>
      </c>
      <c r="N1638" s="45" t="s">
        <v>167</v>
      </c>
      <c r="O1638" s="47" t="n">
        <v>46256.8365046296</v>
      </c>
      <c r="P1638" s="47" t="n">
        <v>46256.837025463</v>
      </c>
    </row>
    <row r="1639" customFormat="false" ht="15" hidden="false" customHeight="false" outlineLevel="0" collapsed="false">
      <c r="A1639" s="45" t="n">
        <v>1844</v>
      </c>
      <c r="B1639" s="46" t="n">
        <v>46256</v>
      </c>
      <c r="C1639" s="45" t="s">
        <v>139</v>
      </c>
      <c r="D1639" s="45" t="s">
        <v>140</v>
      </c>
      <c r="E1639" s="45" t="s">
        <v>2801</v>
      </c>
      <c r="F1639" s="45" t="s">
        <v>3338</v>
      </c>
      <c r="G1639" s="46" t="n">
        <v>46251</v>
      </c>
      <c r="H1639" s="45" t="s">
        <v>167</v>
      </c>
      <c r="I1639" s="45" t="s">
        <v>176</v>
      </c>
      <c r="J1639" s="45" t="s">
        <v>3339</v>
      </c>
      <c r="K1639" s="45" t="n">
        <v>12.1</v>
      </c>
      <c r="L1639" s="45" t="s">
        <v>263</v>
      </c>
      <c r="M1639" s="45" t="s">
        <v>259</v>
      </c>
      <c r="N1639" s="45" t="s">
        <v>167</v>
      </c>
      <c r="O1639" s="47" t="n">
        <v>46256.8370949074</v>
      </c>
      <c r="P1639" s="47" t="n">
        <v>46256.8454976852</v>
      </c>
    </row>
    <row r="1640" customFormat="false" ht="15" hidden="false" customHeight="false" outlineLevel="0" collapsed="false">
      <c r="A1640" s="45" t="n">
        <v>1845</v>
      </c>
      <c r="B1640" s="46" t="n">
        <v>46256</v>
      </c>
      <c r="C1640" s="45" t="s">
        <v>139</v>
      </c>
      <c r="D1640" s="45" t="s">
        <v>140</v>
      </c>
      <c r="E1640" s="45" t="s">
        <v>2666</v>
      </c>
      <c r="F1640" s="45" t="s">
        <v>3340</v>
      </c>
      <c r="G1640" s="46" t="n">
        <v>46251</v>
      </c>
      <c r="H1640" s="45" t="s">
        <v>167</v>
      </c>
      <c r="I1640" s="45" t="s">
        <v>176</v>
      </c>
      <c r="J1640" s="45" t="s">
        <v>3341</v>
      </c>
      <c r="K1640" s="45" t="n">
        <v>0.5</v>
      </c>
      <c r="L1640" s="45" t="s">
        <v>263</v>
      </c>
      <c r="M1640" s="45" t="s">
        <v>259</v>
      </c>
      <c r="N1640" s="45" t="s">
        <v>167</v>
      </c>
      <c r="O1640" s="47" t="n">
        <v>46256.8616087963</v>
      </c>
      <c r="P1640" s="47" t="n">
        <v>46256.8619675926</v>
      </c>
    </row>
    <row r="1641" customFormat="false" ht="15" hidden="false" customHeight="false" outlineLevel="0" collapsed="false">
      <c r="A1641" s="45" t="n">
        <v>1846</v>
      </c>
      <c r="B1641" s="46" t="n">
        <v>46257</v>
      </c>
      <c r="C1641" s="45" t="s">
        <v>133</v>
      </c>
      <c r="D1641" s="45" t="s">
        <v>134</v>
      </c>
      <c r="E1641" s="45" t="s">
        <v>2542</v>
      </c>
      <c r="F1641" s="45" t="s">
        <v>3342</v>
      </c>
      <c r="G1641" s="46" t="n">
        <v>46256</v>
      </c>
      <c r="H1641" s="45" t="s">
        <v>167</v>
      </c>
      <c r="I1641" s="45" t="s">
        <v>176</v>
      </c>
      <c r="J1641" s="45" t="s">
        <v>3343</v>
      </c>
      <c r="K1641" s="45" t="n">
        <v>4.6</v>
      </c>
      <c r="L1641" s="45" t="s">
        <v>263</v>
      </c>
      <c r="M1641" s="45" t="s">
        <v>259</v>
      </c>
      <c r="N1641" s="45" t="s">
        <v>167</v>
      </c>
      <c r="O1641" s="47" t="n">
        <v>46257.0431018519</v>
      </c>
      <c r="P1641" s="47" t="n">
        <v>46257.0463078704</v>
      </c>
    </row>
    <row r="1642" customFormat="false" ht="15" hidden="false" customHeight="false" outlineLevel="0" collapsed="false">
      <c r="A1642" s="45" t="n">
        <v>1847</v>
      </c>
      <c r="B1642" s="46" t="n">
        <v>46257</v>
      </c>
      <c r="C1642" s="45" t="s">
        <v>133</v>
      </c>
      <c r="D1642" s="45" t="s">
        <v>134</v>
      </c>
      <c r="E1642" s="45" t="s">
        <v>2591</v>
      </c>
      <c r="F1642" s="45" t="s">
        <v>3344</v>
      </c>
      <c r="G1642" s="46" t="n">
        <v>46256</v>
      </c>
      <c r="H1642" s="45" t="s">
        <v>167</v>
      </c>
      <c r="I1642" s="45" t="s">
        <v>179</v>
      </c>
      <c r="J1642" s="45" t="s">
        <v>3345</v>
      </c>
      <c r="K1642" s="45" t="n">
        <v>27.2</v>
      </c>
      <c r="L1642" s="45" t="s">
        <v>263</v>
      </c>
      <c r="M1642" s="45" t="s">
        <v>259</v>
      </c>
      <c r="N1642" s="45" t="s">
        <v>167</v>
      </c>
      <c r="O1642" s="47" t="n">
        <v>46257.0548958333</v>
      </c>
      <c r="P1642" s="47" t="n">
        <v>46257.0738194444</v>
      </c>
    </row>
    <row r="1643" customFormat="false" ht="15" hidden="false" customHeight="false" outlineLevel="0" collapsed="false">
      <c r="A1643" s="45" t="n">
        <v>1848</v>
      </c>
      <c r="B1643" s="46" t="n">
        <v>46257</v>
      </c>
      <c r="C1643" s="45" t="s">
        <v>139</v>
      </c>
      <c r="D1643" s="45" t="s">
        <v>140</v>
      </c>
      <c r="E1643" s="45" t="s">
        <v>233</v>
      </c>
      <c r="F1643" s="45" t="s">
        <v>3346</v>
      </c>
      <c r="G1643" s="46" t="n">
        <v>46251</v>
      </c>
      <c r="H1643" s="45" t="s">
        <v>167</v>
      </c>
      <c r="I1643" s="45" t="s">
        <v>178</v>
      </c>
      <c r="J1643" s="45" t="s">
        <v>3347</v>
      </c>
      <c r="K1643" s="45" t="n">
        <v>0.7</v>
      </c>
      <c r="L1643" s="45" t="s">
        <v>263</v>
      </c>
      <c r="M1643" s="45" t="s">
        <v>259</v>
      </c>
      <c r="N1643" s="45" t="s">
        <v>167</v>
      </c>
      <c r="O1643" s="47" t="n">
        <v>46257.7069444444</v>
      </c>
      <c r="P1643" s="47" t="n">
        <v>46257.7073958333</v>
      </c>
    </row>
    <row r="1644" customFormat="false" ht="15" hidden="false" customHeight="false" outlineLevel="0" collapsed="false">
      <c r="A1644" s="45" t="n">
        <v>1849</v>
      </c>
      <c r="B1644" s="46" t="n">
        <v>46257</v>
      </c>
      <c r="C1644" s="45" t="s">
        <v>139</v>
      </c>
      <c r="D1644" s="45" t="s">
        <v>140</v>
      </c>
      <c r="E1644" s="45" t="s">
        <v>233</v>
      </c>
      <c r="F1644" s="45" t="s">
        <v>3348</v>
      </c>
      <c r="G1644" s="46" t="n">
        <v>46251</v>
      </c>
      <c r="H1644" s="45" t="s">
        <v>167</v>
      </c>
      <c r="I1644" s="45" t="s">
        <v>176</v>
      </c>
      <c r="J1644" s="45" t="s">
        <v>3349</v>
      </c>
      <c r="K1644" s="45" t="n">
        <v>2.8</v>
      </c>
      <c r="L1644" s="45" t="s">
        <v>263</v>
      </c>
      <c r="M1644" s="45" t="s">
        <v>259</v>
      </c>
      <c r="N1644" s="45" t="s">
        <v>167</v>
      </c>
      <c r="O1644" s="47" t="n">
        <v>46257.7127662037</v>
      </c>
      <c r="P1644" s="47" t="n">
        <v>46257.7146990741</v>
      </c>
    </row>
    <row r="1645" customFormat="false" ht="15" hidden="false" customHeight="false" outlineLevel="0" collapsed="false">
      <c r="A1645" s="45" t="n">
        <v>1850</v>
      </c>
      <c r="B1645" s="46" t="n">
        <v>46257</v>
      </c>
      <c r="C1645" s="45" t="s">
        <v>139</v>
      </c>
      <c r="D1645" s="45" t="s">
        <v>140</v>
      </c>
      <c r="E1645" s="45" t="s">
        <v>2826</v>
      </c>
      <c r="F1645" s="45" t="s">
        <v>3350</v>
      </c>
      <c r="G1645" s="46" t="n">
        <v>46252</v>
      </c>
      <c r="H1645" s="45" t="s">
        <v>168</v>
      </c>
      <c r="I1645" s="45" t="s">
        <v>191</v>
      </c>
      <c r="J1645" s="45" t="s">
        <v>3351</v>
      </c>
      <c r="K1645" s="45" t="n">
        <v>2</v>
      </c>
      <c r="L1645" s="45" t="s">
        <v>263</v>
      </c>
      <c r="M1645" s="45" t="s">
        <v>259</v>
      </c>
      <c r="N1645" s="45" t="s">
        <v>2559</v>
      </c>
      <c r="O1645" s="47" t="n">
        <v>46257.7180208333</v>
      </c>
      <c r="P1645" s="47" t="n">
        <v>46257.7194444445</v>
      </c>
    </row>
    <row r="1646" customFormat="false" ht="15" hidden="false" customHeight="false" outlineLevel="0" collapsed="false">
      <c r="A1646" s="45" t="n">
        <v>1851</v>
      </c>
      <c r="B1646" s="46" t="n">
        <v>46258</v>
      </c>
      <c r="C1646" s="45" t="s">
        <v>139</v>
      </c>
      <c r="D1646" s="45" t="s">
        <v>140</v>
      </c>
      <c r="E1646" s="45" t="s">
        <v>2677</v>
      </c>
      <c r="F1646" s="45" t="s">
        <v>3352</v>
      </c>
      <c r="G1646" s="46" t="n">
        <v>46252</v>
      </c>
      <c r="H1646" s="45" t="s">
        <v>167</v>
      </c>
      <c r="I1646" s="45" t="s">
        <v>180</v>
      </c>
      <c r="J1646" s="45" t="s">
        <v>3353</v>
      </c>
      <c r="K1646" s="45" t="n">
        <v>8.6</v>
      </c>
      <c r="L1646" s="45" t="s">
        <v>263</v>
      </c>
      <c r="M1646" s="45" t="s">
        <v>259</v>
      </c>
      <c r="N1646" s="45" t="s">
        <v>167</v>
      </c>
      <c r="O1646" s="47" t="n">
        <v>46258.0555439815</v>
      </c>
      <c r="P1646" s="47" t="n">
        <v>46258.0615046296</v>
      </c>
    </row>
    <row r="1647" customFormat="false" ht="15" hidden="false" customHeight="false" outlineLevel="0" collapsed="false">
      <c r="A1647" s="45" t="n">
        <v>1852</v>
      </c>
      <c r="B1647" s="46" t="n">
        <v>46258</v>
      </c>
      <c r="C1647" s="45" t="s">
        <v>139</v>
      </c>
      <c r="D1647" s="45" t="s">
        <v>140</v>
      </c>
      <c r="E1647" s="45" t="s">
        <v>2826</v>
      </c>
      <c r="F1647" s="45" t="s">
        <v>3354</v>
      </c>
      <c r="G1647" s="46" t="n">
        <v>46252</v>
      </c>
      <c r="H1647" s="45" t="s">
        <v>168</v>
      </c>
      <c r="I1647" s="45" t="s">
        <v>193</v>
      </c>
      <c r="J1647" s="45" t="s">
        <v>3355</v>
      </c>
      <c r="K1647" s="45" t="n">
        <v>0.6</v>
      </c>
      <c r="L1647" s="45" t="s">
        <v>263</v>
      </c>
      <c r="M1647" s="45" t="s">
        <v>259</v>
      </c>
      <c r="N1647" s="45" t="s">
        <v>2559</v>
      </c>
      <c r="O1647" s="47" t="n">
        <v>46258.0664467593</v>
      </c>
      <c r="P1647" s="47" t="n">
        <v>46258.0668865741</v>
      </c>
    </row>
    <row r="1648" customFormat="false" ht="15" hidden="false" customHeight="false" outlineLevel="0" collapsed="false">
      <c r="A1648" s="45" t="n">
        <v>1853</v>
      </c>
      <c r="B1648" s="46" t="n">
        <v>46258</v>
      </c>
      <c r="C1648" s="45" t="s">
        <v>139</v>
      </c>
      <c r="D1648" s="45" t="s">
        <v>140</v>
      </c>
      <c r="E1648" s="45" t="s">
        <v>2801</v>
      </c>
      <c r="F1648" s="45" t="s">
        <v>3356</v>
      </c>
      <c r="G1648" s="46" t="n">
        <v>46252</v>
      </c>
      <c r="H1648" s="45" t="s">
        <v>167</v>
      </c>
      <c r="I1648" s="45" t="s">
        <v>176</v>
      </c>
      <c r="J1648" s="45" t="s">
        <v>3357</v>
      </c>
      <c r="K1648" s="45" t="n">
        <v>1.2</v>
      </c>
      <c r="L1648" s="45" t="s">
        <v>263</v>
      </c>
      <c r="M1648" s="45" t="s">
        <v>259</v>
      </c>
      <c r="N1648" s="45" t="s">
        <v>167</v>
      </c>
      <c r="O1648" s="47" t="n">
        <v>46258.0684143519</v>
      </c>
      <c r="P1648" s="47" t="n">
        <v>46258.069224537</v>
      </c>
    </row>
    <row r="1649" customFormat="false" ht="15" hidden="false" customHeight="false" outlineLevel="0" collapsed="false">
      <c r="A1649" s="45" t="n">
        <v>1854</v>
      </c>
      <c r="B1649" s="46" t="n">
        <v>46258</v>
      </c>
      <c r="C1649" s="45" t="s">
        <v>139</v>
      </c>
      <c r="D1649" s="45" t="s">
        <v>140</v>
      </c>
      <c r="E1649" s="45" t="s">
        <v>2624</v>
      </c>
      <c r="F1649" s="45" t="s">
        <v>3358</v>
      </c>
      <c r="G1649" s="46" t="n">
        <v>46251</v>
      </c>
      <c r="H1649" s="45" t="s">
        <v>169</v>
      </c>
      <c r="I1649" s="45"/>
      <c r="J1649" s="45"/>
      <c r="K1649" s="45" t="n">
        <v>0.2</v>
      </c>
      <c r="L1649" s="45" t="s">
        <v>263</v>
      </c>
      <c r="M1649" s="45" t="s">
        <v>259</v>
      </c>
      <c r="N1649" s="45" t="s">
        <v>169</v>
      </c>
      <c r="O1649" s="47" t="n">
        <v>46258.0698842593</v>
      </c>
      <c r="P1649" s="47" t="n">
        <v>46258.0700578704</v>
      </c>
    </row>
    <row r="1650" customFormat="false" ht="15" hidden="false" customHeight="false" outlineLevel="0" collapsed="false">
      <c r="A1650" s="45" t="n">
        <v>1855</v>
      </c>
      <c r="B1650" s="46" t="n">
        <v>46258</v>
      </c>
      <c r="C1650" s="45" t="s">
        <v>139</v>
      </c>
      <c r="D1650" s="45" t="s">
        <v>140</v>
      </c>
      <c r="E1650" s="45" t="s">
        <v>2801</v>
      </c>
      <c r="F1650" s="45" t="s">
        <v>3359</v>
      </c>
      <c r="G1650" s="46" t="n">
        <v>46251</v>
      </c>
      <c r="H1650" s="45" t="s">
        <v>167</v>
      </c>
      <c r="I1650" s="45" t="s">
        <v>176</v>
      </c>
      <c r="J1650" s="45" t="s">
        <v>3341</v>
      </c>
      <c r="K1650" s="45" t="n">
        <v>0.6</v>
      </c>
      <c r="L1650" s="45" t="s">
        <v>263</v>
      </c>
      <c r="M1650" s="45" t="s">
        <v>259</v>
      </c>
      <c r="N1650" s="45" t="s">
        <v>167</v>
      </c>
      <c r="O1650" s="47" t="n">
        <v>46258.0712384259</v>
      </c>
      <c r="P1650" s="47" t="n">
        <v>46258.0716435185</v>
      </c>
    </row>
    <row r="1651" customFormat="false" ht="15" hidden="false" customHeight="false" outlineLevel="0" collapsed="false">
      <c r="A1651" s="45" t="n">
        <v>1856</v>
      </c>
      <c r="B1651" s="46" t="n">
        <v>46258</v>
      </c>
      <c r="C1651" s="45" t="s">
        <v>139</v>
      </c>
      <c r="D1651" s="45" t="s">
        <v>140</v>
      </c>
      <c r="E1651" s="45" t="s">
        <v>2801</v>
      </c>
      <c r="F1651" s="45" t="s">
        <v>3360</v>
      </c>
      <c r="G1651" s="46" t="n">
        <v>46251</v>
      </c>
      <c r="H1651" s="45" t="s">
        <v>167</v>
      </c>
      <c r="I1651" s="45" t="s">
        <v>178</v>
      </c>
      <c r="J1651" s="45" t="s">
        <v>3361</v>
      </c>
      <c r="K1651" s="45" t="n">
        <v>4.6</v>
      </c>
      <c r="L1651" s="45" t="s">
        <v>263</v>
      </c>
      <c r="M1651" s="45" t="s">
        <v>259</v>
      </c>
      <c r="N1651" s="45" t="s">
        <v>167</v>
      </c>
      <c r="O1651" s="47" t="n">
        <v>46258.0717824074</v>
      </c>
      <c r="P1651" s="47" t="n">
        <v>46258.075</v>
      </c>
    </row>
    <row r="1652" customFormat="false" ht="15" hidden="false" customHeight="false" outlineLevel="0" collapsed="false">
      <c r="A1652" s="45" t="n">
        <v>1857</v>
      </c>
      <c r="B1652" s="46" t="n">
        <v>46258</v>
      </c>
      <c r="C1652" s="45" t="s">
        <v>139</v>
      </c>
      <c r="D1652" s="45" t="s">
        <v>140</v>
      </c>
      <c r="E1652" s="45" t="s">
        <v>2801</v>
      </c>
      <c r="F1652" s="45" t="s">
        <v>3362</v>
      </c>
      <c r="G1652" s="46" t="n">
        <v>46251</v>
      </c>
      <c r="H1652" s="45" t="s">
        <v>167</v>
      </c>
      <c r="I1652" s="45" t="s">
        <v>179</v>
      </c>
      <c r="J1652" s="45" t="s">
        <v>3363</v>
      </c>
      <c r="K1652" s="45" t="n">
        <v>6.1</v>
      </c>
      <c r="L1652" s="45" t="s">
        <v>263</v>
      </c>
      <c r="M1652" s="45" t="s">
        <v>259</v>
      </c>
      <c r="N1652" s="45" t="s">
        <v>167</v>
      </c>
      <c r="O1652" s="47" t="n">
        <v>46258.0756365741</v>
      </c>
      <c r="P1652" s="47" t="n">
        <v>46258.0798842593</v>
      </c>
    </row>
    <row r="1653" customFormat="false" ht="15" hidden="false" customHeight="false" outlineLevel="0" collapsed="false">
      <c r="A1653" s="45" t="n">
        <v>1858</v>
      </c>
      <c r="B1653" s="46" t="n">
        <v>46258</v>
      </c>
      <c r="C1653" s="45" t="s">
        <v>139</v>
      </c>
      <c r="D1653" s="45" t="s">
        <v>140</v>
      </c>
      <c r="E1653" s="45" t="s">
        <v>2801</v>
      </c>
      <c r="F1653" s="45" t="s">
        <v>3364</v>
      </c>
      <c r="G1653" s="46" t="n">
        <v>46253</v>
      </c>
      <c r="H1653" s="45" t="s">
        <v>167</v>
      </c>
      <c r="I1653" s="45" t="s">
        <v>176</v>
      </c>
      <c r="J1653" s="45" t="s">
        <v>3365</v>
      </c>
      <c r="K1653" s="45" t="n">
        <v>2</v>
      </c>
      <c r="L1653" s="45" t="s">
        <v>263</v>
      </c>
      <c r="M1653" s="45" t="s">
        <v>259</v>
      </c>
      <c r="N1653" s="45" t="s">
        <v>167</v>
      </c>
      <c r="O1653" s="47" t="n">
        <v>46258.0921527778</v>
      </c>
      <c r="P1653" s="47" t="n">
        <v>46258.0935416667</v>
      </c>
    </row>
    <row r="1654" customFormat="false" ht="15" hidden="false" customHeight="false" outlineLevel="0" collapsed="false">
      <c r="A1654" s="45" t="n">
        <v>1859</v>
      </c>
      <c r="B1654" s="46" t="n">
        <v>46258</v>
      </c>
      <c r="C1654" s="45" t="s">
        <v>139</v>
      </c>
      <c r="D1654" s="45" t="s">
        <v>140</v>
      </c>
      <c r="E1654" s="45" t="s">
        <v>221</v>
      </c>
      <c r="F1654" s="45" t="s">
        <v>3366</v>
      </c>
      <c r="G1654" s="46" t="n">
        <v>46253</v>
      </c>
      <c r="H1654" s="45" t="s">
        <v>168</v>
      </c>
      <c r="I1654" s="45" t="s">
        <v>191</v>
      </c>
      <c r="J1654" s="45" t="s">
        <v>3367</v>
      </c>
      <c r="K1654" s="45" t="n">
        <v>13.2</v>
      </c>
      <c r="L1654" s="45" t="s">
        <v>263</v>
      </c>
      <c r="M1654" s="45" t="s">
        <v>259</v>
      </c>
      <c r="N1654" s="45" t="s">
        <v>2559</v>
      </c>
      <c r="O1654" s="47" t="n">
        <v>46258.0937615741</v>
      </c>
      <c r="P1654" s="47" t="n">
        <v>46258.1028935185</v>
      </c>
    </row>
    <row r="1655" customFormat="false" ht="15" hidden="false" customHeight="false" outlineLevel="0" collapsed="false">
      <c r="A1655" s="45" t="n">
        <v>1860</v>
      </c>
      <c r="B1655" s="46" t="n">
        <v>46258</v>
      </c>
      <c r="C1655" s="45" t="s">
        <v>139</v>
      </c>
      <c r="D1655" s="45" t="s">
        <v>140</v>
      </c>
      <c r="E1655" s="45" t="s">
        <v>2652</v>
      </c>
      <c r="F1655" s="45" t="s">
        <v>3368</v>
      </c>
      <c r="G1655" s="46" t="n">
        <v>46253</v>
      </c>
      <c r="H1655" s="45" t="s">
        <v>167</v>
      </c>
      <c r="I1655" s="45" t="s">
        <v>176</v>
      </c>
      <c r="J1655" s="45" t="s">
        <v>3341</v>
      </c>
      <c r="K1655" s="45" t="n">
        <v>16.9</v>
      </c>
      <c r="L1655" s="45" t="s">
        <v>263</v>
      </c>
      <c r="M1655" s="45" t="s">
        <v>259</v>
      </c>
      <c r="N1655" s="45" t="s">
        <v>167</v>
      </c>
      <c r="O1655" s="47" t="n">
        <v>46258.1517824074</v>
      </c>
      <c r="P1655" s="47" t="n">
        <v>46258.1635185185</v>
      </c>
    </row>
    <row r="1656" customFormat="false" ht="15" hidden="false" customHeight="false" outlineLevel="0" collapsed="false">
      <c r="A1656" s="45" t="n">
        <v>1861</v>
      </c>
      <c r="B1656" s="46" t="n">
        <v>46258</v>
      </c>
      <c r="C1656" s="45" t="s">
        <v>139</v>
      </c>
      <c r="D1656" s="45" t="s">
        <v>140</v>
      </c>
      <c r="E1656" s="45" t="s">
        <v>2801</v>
      </c>
      <c r="F1656" s="45" t="s">
        <v>3369</v>
      </c>
      <c r="G1656" s="46" t="n">
        <v>46253</v>
      </c>
      <c r="H1656" s="45" t="s">
        <v>168</v>
      </c>
      <c r="I1656" s="45" t="s">
        <v>192</v>
      </c>
      <c r="J1656" s="45" t="s">
        <v>3370</v>
      </c>
      <c r="K1656" s="45" t="n">
        <v>1.2</v>
      </c>
      <c r="L1656" s="45" t="s">
        <v>263</v>
      </c>
      <c r="M1656" s="45" t="s">
        <v>259</v>
      </c>
      <c r="N1656" s="45" t="s">
        <v>2559</v>
      </c>
      <c r="O1656" s="47" t="n">
        <v>46258.1635416667</v>
      </c>
      <c r="P1656" s="47" t="n">
        <v>46258.1643518519</v>
      </c>
    </row>
    <row r="1657" customFormat="false" ht="15" hidden="false" customHeight="false" outlineLevel="0" collapsed="false">
      <c r="A1657" s="45" t="n">
        <v>1862</v>
      </c>
      <c r="B1657" s="46" t="n">
        <v>46258</v>
      </c>
      <c r="C1657" s="45" t="s">
        <v>139</v>
      </c>
      <c r="D1657" s="45" t="s">
        <v>140</v>
      </c>
      <c r="E1657" s="45" t="s">
        <v>2674</v>
      </c>
      <c r="F1657" s="45" t="s">
        <v>3371</v>
      </c>
      <c r="G1657" s="46" t="n">
        <v>46253</v>
      </c>
      <c r="H1657" s="45" t="s">
        <v>168</v>
      </c>
      <c r="I1657" s="45" t="s">
        <v>192</v>
      </c>
      <c r="J1657" s="45" t="s">
        <v>3372</v>
      </c>
      <c r="K1657" s="45" t="n">
        <v>3.7</v>
      </c>
      <c r="L1657" s="45" t="s">
        <v>263</v>
      </c>
      <c r="M1657" s="45" t="s">
        <v>259</v>
      </c>
      <c r="N1657" s="45" t="s">
        <v>2559</v>
      </c>
      <c r="O1657" s="47" t="n">
        <v>46258.2151851852</v>
      </c>
      <c r="P1657" s="47" t="n">
        <v>46258.2177662037</v>
      </c>
    </row>
    <row r="1658" customFormat="false" ht="15" hidden="false" customHeight="false" outlineLevel="0" collapsed="false">
      <c r="A1658" s="45" t="n">
        <v>1863</v>
      </c>
      <c r="B1658" s="46" t="n">
        <v>46258</v>
      </c>
      <c r="C1658" s="45" t="s">
        <v>139</v>
      </c>
      <c r="D1658" s="45" t="s">
        <v>140</v>
      </c>
      <c r="E1658" s="45" t="s">
        <v>2826</v>
      </c>
      <c r="F1658" s="45" t="s">
        <v>3373</v>
      </c>
      <c r="G1658" s="46" t="n">
        <v>46253</v>
      </c>
      <c r="H1658" s="45" t="s">
        <v>167</v>
      </c>
      <c r="I1658" s="45" t="s">
        <v>185</v>
      </c>
      <c r="J1658" s="45" t="s">
        <v>3374</v>
      </c>
      <c r="K1658" s="45" t="n">
        <v>12.6</v>
      </c>
      <c r="L1658" s="45" t="s">
        <v>263</v>
      </c>
      <c r="M1658" s="45" t="s">
        <v>259</v>
      </c>
      <c r="N1658" s="45" t="s">
        <v>167</v>
      </c>
      <c r="O1658" s="47" t="n">
        <v>46258.2259375</v>
      </c>
      <c r="P1658" s="47" t="n">
        <v>46258.2346990741</v>
      </c>
    </row>
    <row r="1659" customFormat="false" ht="15" hidden="false" customHeight="false" outlineLevel="0" collapsed="false">
      <c r="A1659" s="45" t="n">
        <v>1864</v>
      </c>
      <c r="B1659" s="46" t="n">
        <v>46258</v>
      </c>
      <c r="C1659" s="45" t="s">
        <v>139</v>
      </c>
      <c r="D1659" s="45" t="s">
        <v>140</v>
      </c>
      <c r="E1659" s="45" t="s">
        <v>2705</v>
      </c>
      <c r="F1659" s="45" t="s">
        <v>3375</v>
      </c>
      <c r="G1659" s="46" t="n">
        <v>46254</v>
      </c>
      <c r="H1659" s="45" t="s">
        <v>167</v>
      </c>
      <c r="I1659" s="45" t="s">
        <v>176</v>
      </c>
      <c r="J1659" s="45" t="s">
        <v>3376</v>
      </c>
      <c r="K1659" s="45" t="n">
        <v>0.8</v>
      </c>
      <c r="L1659" s="45" t="s">
        <v>263</v>
      </c>
      <c r="M1659" s="45" t="s">
        <v>259</v>
      </c>
      <c r="N1659" s="45" t="s">
        <v>167</v>
      </c>
      <c r="O1659" s="47" t="n">
        <v>46258.2379050926</v>
      </c>
      <c r="P1659" s="47" t="n">
        <v>46258.2384722222</v>
      </c>
    </row>
    <row r="1660" customFormat="false" ht="15" hidden="false" customHeight="false" outlineLevel="0" collapsed="false">
      <c r="A1660" s="45" t="n">
        <v>1865</v>
      </c>
      <c r="B1660" s="46" t="n">
        <v>46258</v>
      </c>
      <c r="C1660" s="45" t="s">
        <v>139</v>
      </c>
      <c r="D1660" s="45" t="s">
        <v>140</v>
      </c>
      <c r="E1660" s="45" t="s">
        <v>2677</v>
      </c>
      <c r="F1660" s="45" t="s">
        <v>3377</v>
      </c>
      <c r="G1660" s="46" t="n">
        <v>46254</v>
      </c>
      <c r="H1660" s="45" t="s">
        <v>168</v>
      </c>
      <c r="I1660" s="45" t="s">
        <v>193</v>
      </c>
      <c r="J1660" s="45" t="s">
        <v>3378</v>
      </c>
      <c r="K1660" s="45" t="n">
        <v>2.2</v>
      </c>
      <c r="L1660" s="45" t="s">
        <v>263</v>
      </c>
      <c r="M1660" s="45" t="s">
        <v>259</v>
      </c>
      <c r="N1660" s="45" t="s">
        <v>2559</v>
      </c>
      <c r="O1660" s="47" t="n">
        <v>46258.2400694444</v>
      </c>
      <c r="P1660" s="47" t="n">
        <v>46258.2416087963</v>
      </c>
    </row>
    <row r="1661" customFormat="false" ht="15" hidden="false" customHeight="false" outlineLevel="0" collapsed="false">
      <c r="A1661" s="45" t="n">
        <v>1866</v>
      </c>
      <c r="B1661" s="46" t="n">
        <v>46258</v>
      </c>
      <c r="C1661" s="45" t="s">
        <v>139</v>
      </c>
      <c r="D1661" s="45" t="s">
        <v>140</v>
      </c>
      <c r="E1661" s="45" t="s">
        <v>237</v>
      </c>
      <c r="F1661" s="45" t="s">
        <v>3379</v>
      </c>
      <c r="G1661" s="46" t="n">
        <v>46254</v>
      </c>
      <c r="H1661" s="45" t="s">
        <v>167</v>
      </c>
      <c r="I1661" s="45" t="s">
        <v>176</v>
      </c>
      <c r="J1661" s="45" t="s">
        <v>3380</v>
      </c>
      <c r="K1661" s="45" t="n">
        <v>4.3</v>
      </c>
      <c r="L1661" s="45" t="s">
        <v>263</v>
      </c>
      <c r="M1661" s="45" t="s">
        <v>259</v>
      </c>
      <c r="N1661" s="45" t="s">
        <v>167</v>
      </c>
      <c r="O1661" s="47" t="n">
        <v>46258.2417361111</v>
      </c>
      <c r="P1661" s="47" t="n">
        <v>46258.2447453704</v>
      </c>
    </row>
    <row r="1662" customFormat="false" ht="15" hidden="false" customHeight="false" outlineLevel="0" collapsed="false">
      <c r="A1662" s="45" t="n">
        <v>1867</v>
      </c>
      <c r="B1662" s="46" t="n">
        <v>46258</v>
      </c>
      <c r="C1662" s="45" t="s">
        <v>139</v>
      </c>
      <c r="D1662" s="45" t="s">
        <v>140</v>
      </c>
      <c r="E1662" s="45" t="s">
        <v>2826</v>
      </c>
      <c r="F1662" s="45" t="s">
        <v>3381</v>
      </c>
      <c r="G1662" s="46" t="n">
        <v>46243</v>
      </c>
      <c r="H1662" s="45" t="s">
        <v>169</v>
      </c>
      <c r="I1662" s="45"/>
      <c r="J1662" s="45"/>
      <c r="K1662" s="45" t="n">
        <v>0.9</v>
      </c>
      <c r="L1662" s="45" t="s">
        <v>263</v>
      </c>
      <c r="M1662" s="45" t="s">
        <v>259</v>
      </c>
      <c r="N1662" s="45" t="s">
        <v>169</v>
      </c>
      <c r="O1662" s="47" t="n">
        <v>46258.2465162037</v>
      </c>
      <c r="P1662" s="47" t="n">
        <v>46258.2471759259</v>
      </c>
    </row>
    <row r="1663" customFormat="false" ht="15" hidden="false" customHeight="false" outlineLevel="0" collapsed="false">
      <c r="A1663" s="45" t="n">
        <v>1868</v>
      </c>
      <c r="B1663" s="46" t="n">
        <v>46258</v>
      </c>
      <c r="C1663" s="45" t="s">
        <v>139</v>
      </c>
      <c r="D1663" s="45" t="s">
        <v>140</v>
      </c>
      <c r="E1663" s="45" t="s">
        <v>2666</v>
      </c>
      <c r="F1663" s="45" t="s">
        <v>3382</v>
      </c>
      <c r="G1663" s="46" t="n">
        <v>46243</v>
      </c>
      <c r="H1663" s="45" t="s">
        <v>167</v>
      </c>
      <c r="I1663" s="45" t="s">
        <v>176</v>
      </c>
      <c r="J1663" s="45" t="s">
        <v>3383</v>
      </c>
      <c r="K1663" s="45" t="n">
        <v>1.1</v>
      </c>
      <c r="L1663" s="45" t="s">
        <v>263</v>
      </c>
      <c r="M1663" s="45" t="s">
        <v>259</v>
      </c>
      <c r="N1663" s="45" t="s">
        <v>167</v>
      </c>
      <c r="O1663" s="47" t="n">
        <v>46258.2511574074</v>
      </c>
      <c r="P1663" s="47" t="n">
        <v>46258.2518981482</v>
      </c>
    </row>
    <row r="1664" customFormat="false" ht="15" hidden="false" customHeight="false" outlineLevel="0" collapsed="false">
      <c r="A1664" s="45" t="n">
        <v>1869</v>
      </c>
      <c r="B1664" s="46" t="n">
        <v>46258</v>
      </c>
      <c r="C1664" s="45" t="s">
        <v>139</v>
      </c>
      <c r="D1664" s="45" t="s">
        <v>140</v>
      </c>
      <c r="E1664" s="45" t="s">
        <v>2705</v>
      </c>
      <c r="F1664" s="45" t="s">
        <v>3384</v>
      </c>
      <c r="G1664" s="46" t="n">
        <v>46242</v>
      </c>
      <c r="H1664" s="45" t="s">
        <v>167</v>
      </c>
      <c r="I1664" s="45" t="s">
        <v>176</v>
      </c>
      <c r="J1664" s="45" t="s">
        <v>3385</v>
      </c>
      <c r="K1664" s="45" t="n">
        <v>14.7</v>
      </c>
      <c r="L1664" s="45" t="s">
        <v>263</v>
      </c>
      <c r="M1664" s="45" t="s">
        <v>259</v>
      </c>
      <c r="N1664" s="45" t="s">
        <v>167</v>
      </c>
      <c r="O1664" s="47" t="n">
        <v>46258.2520486111</v>
      </c>
      <c r="P1664" s="47" t="n">
        <v>46258.2622453704</v>
      </c>
    </row>
    <row r="1665" customFormat="false" ht="15" hidden="false" customHeight="false" outlineLevel="0" collapsed="false">
      <c r="A1665" s="45" t="n">
        <v>1870</v>
      </c>
      <c r="B1665" s="46" t="n">
        <v>46258</v>
      </c>
      <c r="C1665" s="45" t="s">
        <v>139</v>
      </c>
      <c r="D1665" s="45" t="s">
        <v>140</v>
      </c>
      <c r="E1665" s="45" t="s">
        <v>233</v>
      </c>
      <c r="F1665" s="45" t="s">
        <v>3386</v>
      </c>
      <c r="G1665" s="46" t="n">
        <v>46242</v>
      </c>
      <c r="H1665" s="45" t="s">
        <v>168</v>
      </c>
      <c r="I1665" s="45" t="s">
        <v>191</v>
      </c>
      <c r="J1665" s="45" t="s">
        <v>3387</v>
      </c>
      <c r="K1665" s="45" t="n">
        <v>11.4</v>
      </c>
      <c r="L1665" s="45" t="s">
        <v>263</v>
      </c>
      <c r="M1665" s="45" t="s">
        <v>259</v>
      </c>
      <c r="N1665" s="45" t="s">
        <v>2559</v>
      </c>
      <c r="O1665" s="47" t="n">
        <v>46258.2623726852</v>
      </c>
      <c r="P1665" s="47" t="n">
        <v>46258.2702893519</v>
      </c>
    </row>
    <row r="1666" customFormat="false" ht="15" hidden="false" customHeight="false" outlineLevel="0" collapsed="false">
      <c r="A1666" s="45" t="n">
        <v>1871</v>
      </c>
      <c r="B1666" s="46" t="n">
        <v>46258</v>
      </c>
      <c r="C1666" s="45" t="s">
        <v>139</v>
      </c>
      <c r="D1666" s="45" t="s">
        <v>140</v>
      </c>
      <c r="E1666" s="45" t="s">
        <v>233</v>
      </c>
      <c r="F1666" s="45" t="s">
        <v>3388</v>
      </c>
      <c r="G1666" s="46" t="n">
        <v>46241</v>
      </c>
      <c r="H1666" s="45" t="s">
        <v>167</v>
      </c>
      <c r="I1666" s="45" t="s">
        <v>176</v>
      </c>
      <c r="J1666" s="45" t="s">
        <v>3389</v>
      </c>
      <c r="K1666" s="45" t="n">
        <v>9.2</v>
      </c>
      <c r="L1666" s="45" t="s">
        <v>263</v>
      </c>
      <c r="M1666" s="45" t="s">
        <v>259</v>
      </c>
      <c r="N1666" s="45" t="s">
        <v>167</v>
      </c>
      <c r="O1666" s="47" t="n">
        <v>46258.2740162037</v>
      </c>
      <c r="P1666" s="47" t="n">
        <v>46258.2804398148</v>
      </c>
    </row>
    <row r="1667" customFormat="false" ht="15" hidden="false" customHeight="false" outlineLevel="0" collapsed="false">
      <c r="A1667" s="45" t="n">
        <v>1872</v>
      </c>
      <c r="B1667" s="46" t="n">
        <v>46258</v>
      </c>
      <c r="C1667" s="45" t="s">
        <v>139</v>
      </c>
      <c r="D1667" s="45" t="s">
        <v>140</v>
      </c>
      <c r="E1667" s="45" t="s">
        <v>237</v>
      </c>
      <c r="F1667" s="45" t="s">
        <v>3390</v>
      </c>
      <c r="G1667" s="46" t="n">
        <v>46241</v>
      </c>
      <c r="H1667" s="45" t="s">
        <v>167</v>
      </c>
      <c r="I1667" s="45" t="s">
        <v>176</v>
      </c>
      <c r="J1667" s="45" t="s">
        <v>3341</v>
      </c>
      <c r="K1667" s="45" t="n">
        <v>1.6</v>
      </c>
      <c r="L1667" s="45" t="s">
        <v>263</v>
      </c>
      <c r="M1667" s="45" t="s">
        <v>259</v>
      </c>
      <c r="N1667" s="45" t="s">
        <v>167</v>
      </c>
      <c r="O1667" s="47" t="n">
        <v>46258.2810300926</v>
      </c>
      <c r="P1667" s="47" t="n">
        <v>46258.2821296296</v>
      </c>
    </row>
    <row r="1668" customFormat="false" ht="15" hidden="false" customHeight="false" outlineLevel="0" collapsed="false">
      <c r="A1668" s="45" t="n">
        <v>1873</v>
      </c>
      <c r="B1668" s="46" t="n">
        <v>46258</v>
      </c>
      <c r="C1668" s="45" t="s">
        <v>139</v>
      </c>
      <c r="D1668" s="45" t="s">
        <v>140</v>
      </c>
      <c r="E1668" s="45" t="s">
        <v>2666</v>
      </c>
      <c r="F1668" s="45" t="s">
        <v>3391</v>
      </c>
      <c r="G1668" s="46" t="n">
        <v>46241</v>
      </c>
      <c r="H1668" s="45" t="s">
        <v>168</v>
      </c>
      <c r="I1668" s="45" t="s">
        <v>191</v>
      </c>
      <c r="J1668" s="45" t="s">
        <v>3392</v>
      </c>
      <c r="K1668" s="45" t="n">
        <v>1.1</v>
      </c>
      <c r="L1668" s="45" t="s">
        <v>263</v>
      </c>
      <c r="M1668" s="45" t="s">
        <v>259</v>
      </c>
      <c r="N1668" s="45" t="s">
        <v>2559</v>
      </c>
      <c r="O1668" s="47" t="n">
        <v>46258.2827199074</v>
      </c>
      <c r="P1668" s="47" t="n">
        <v>46258.2834606482</v>
      </c>
    </row>
    <row r="1669" customFormat="false" ht="15" hidden="false" customHeight="false" outlineLevel="0" collapsed="false">
      <c r="A1669" s="45" t="n">
        <v>1874</v>
      </c>
      <c r="B1669" s="46" t="n">
        <v>46258</v>
      </c>
      <c r="C1669" s="45" t="s">
        <v>139</v>
      </c>
      <c r="D1669" s="45" t="s">
        <v>140</v>
      </c>
      <c r="E1669" s="45" t="s">
        <v>2705</v>
      </c>
      <c r="F1669" s="45" t="s">
        <v>3393</v>
      </c>
      <c r="G1669" s="46" t="n">
        <v>46241</v>
      </c>
      <c r="H1669" s="45" t="s">
        <v>167</v>
      </c>
      <c r="I1669" s="45" t="s">
        <v>176</v>
      </c>
      <c r="J1669" s="45" t="s">
        <v>3341</v>
      </c>
      <c r="K1669" s="45" t="n">
        <v>0.7</v>
      </c>
      <c r="L1669" s="45" t="s">
        <v>259</v>
      </c>
      <c r="M1669" s="45" t="s">
        <v>259</v>
      </c>
      <c r="N1669" s="45" t="s">
        <v>167</v>
      </c>
      <c r="O1669" s="47" t="n">
        <v>46258.2846527778</v>
      </c>
      <c r="P1669" s="47" t="n">
        <v>46258.2851273148</v>
      </c>
    </row>
    <row r="1670" customFormat="false" ht="15" hidden="false" customHeight="false" outlineLevel="0" collapsed="false">
      <c r="A1670" s="45" t="n">
        <v>1875</v>
      </c>
      <c r="B1670" s="46" t="n">
        <v>46258</v>
      </c>
      <c r="C1670" s="45" t="s">
        <v>139</v>
      </c>
      <c r="D1670" s="45" t="s">
        <v>140</v>
      </c>
      <c r="E1670" s="45" t="s">
        <v>2705</v>
      </c>
      <c r="F1670" s="45" t="s">
        <v>3393</v>
      </c>
      <c r="G1670" s="46" t="n">
        <v>46241</v>
      </c>
      <c r="H1670" s="45" t="s">
        <v>167</v>
      </c>
      <c r="I1670" s="45" t="s">
        <v>176</v>
      </c>
      <c r="J1670" s="45" t="s">
        <v>3394</v>
      </c>
      <c r="K1670" s="45" t="n">
        <v>2.3</v>
      </c>
      <c r="L1670" s="45" t="s">
        <v>259</v>
      </c>
      <c r="M1670" s="45" t="s">
        <v>259</v>
      </c>
      <c r="N1670" s="45" t="s">
        <v>167</v>
      </c>
      <c r="O1670" s="47" t="n">
        <v>46258.2859490741</v>
      </c>
      <c r="P1670" s="47" t="n">
        <v>46258.2875694444</v>
      </c>
    </row>
    <row r="1671" customFormat="false" ht="15" hidden="false" customHeight="false" outlineLevel="0" collapsed="false">
      <c r="A1671" s="45" t="n">
        <v>1876</v>
      </c>
      <c r="B1671" s="46" t="n">
        <v>46258</v>
      </c>
      <c r="C1671" s="45" t="s">
        <v>139</v>
      </c>
      <c r="D1671" s="45" t="s">
        <v>140</v>
      </c>
      <c r="E1671" s="45" t="s">
        <v>2677</v>
      </c>
      <c r="F1671" s="45" t="s">
        <v>3395</v>
      </c>
      <c r="G1671" s="46" t="n">
        <v>46241</v>
      </c>
      <c r="H1671" s="45" t="s">
        <v>168</v>
      </c>
      <c r="I1671" s="45" t="s">
        <v>191</v>
      </c>
      <c r="J1671" s="45" t="s">
        <v>3396</v>
      </c>
      <c r="K1671" s="45" t="n">
        <v>1.8</v>
      </c>
      <c r="L1671" s="45" t="s">
        <v>263</v>
      </c>
      <c r="M1671" s="45" t="s">
        <v>259</v>
      </c>
      <c r="N1671" s="45" t="s">
        <v>2559</v>
      </c>
      <c r="O1671" s="47" t="n">
        <v>46258.2881018519</v>
      </c>
      <c r="P1671" s="47" t="n">
        <v>46258.2893634259</v>
      </c>
    </row>
    <row r="1672" customFormat="false" ht="15" hidden="false" customHeight="false" outlineLevel="0" collapsed="false">
      <c r="A1672" s="45" t="n">
        <v>1877</v>
      </c>
      <c r="B1672" s="46" t="n">
        <v>46258</v>
      </c>
      <c r="C1672" s="45" t="s">
        <v>139</v>
      </c>
      <c r="D1672" s="45" t="s">
        <v>140</v>
      </c>
      <c r="E1672" s="45" t="s">
        <v>2666</v>
      </c>
      <c r="F1672" s="45" t="s">
        <v>3397</v>
      </c>
      <c r="G1672" s="46" t="n">
        <v>46241</v>
      </c>
      <c r="H1672" s="45" t="s">
        <v>167</v>
      </c>
      <c r="I1672" s="45" t="s">
        <v>176</v>
      </c>
      <c r="J1672" s="45" t="s">
        <v>3398</v>
      </c>
      <c r="K1672" s="45" t="n">
        <v>1.1</v>
      </c>
      <c r="L1672" s="45" t="s">
        <v>263</v>
      </c>
      <c r="M1672" s="45" t="s">
        <v>259</v>
      </c>
      <c r="N1672" s="45" t="s">
        <v>167</v>
      </c>
      <c r="O1672" s="47" t="n">
        <v>46258.2924305556</v>
      </c>
      <c r="P1672" s="47" t="n">
        <v>46258.2932175926</v>
      </c>
    </row>
    <row r="1673" customFormat="false" ht="15" hidden="false" customHeight="false" outlineLevel="0" collapsed="false">
      <c r="A1673" s="45" t="n">
        <v>1878</v>
      </c>
      <c r="B1673" s="46" t="n">
        <v>46258</v>
      </c>
      <c r="C1673" s="45" t="s">
        <v>139</v>
      </c>
      <c r="D1673" s="45" t="s">
        <v>140</v>
      </c>
      <c r="E1673" s="45" t="s">
        <v>2705</v>
      </c>
      <c r="F1673" s="45" t="s">
        <v>3399</v>
      </c>
      <c r="G1673" s="46" t="n">
        <v>46240</v>
      </c>
      <c r="H1673" s="45" t="s">
        <v>167</v>
      </c>
      <c r="I1673" s="45" t="s">
        <v>176</v>
      </c>
      <c r="J1673" s="45" t="s">
        <v>3400</v>
      </c>
      <c r="K1673" s="45" t="n">
        <v>1.5</v>
      </c>
      <c r="L1673" s="45" t="s">
        <v>263</v>
      </c>
      <c r="M1673" s="45" t="s">
        <v>259</v>
      </c>
      <c r="N1673" s="45" t="s">
        <v>167</v>
      </c>
      <c r="O1673" s="47" t="n">
        <v>46258.2987847222</v>
      </c>
      <c r="P1673" s="47" t="n">
        <v>46258.299849537</v>
      </c>
    </row>
    <row r="1674" customFormat="false" ht="15" hidden="false" customHeight="false" outlineLevel="0" collapsed="false">
      <c r="A1674" s="45" t="n">
        <v>1879</v>
      </c>
      <c r="B1674" s="46" t="n">
        <v>46258</v>
      </c>
      <c r="C1674" s="45" t="s">
        <v>139</v>
      </c>
      <c r="D1674" s="45" t="s">
        <v>140</v>
      </c>
      <c r="E1674" s="45" t="s">
        <v>2705</v>
      </c>
      <c r="F1674" s="45" t="s">
        <v>3401</v>
      </c>
      <c r="G1674" s="46" t="n">
        <v>46240</v>
      </c>
      <c r="H1674" s="45" t="s">
        <v>167</v>
      </c>
      <c r="I1674" s="45" t="s">
        <v>176</v>
      </c>
      <c r="J1674" s="45" t="s">
        <v>3402</v>
      </c>
      <c r="K1674" s="45" t="n">
        <v>0.8</v>
      </c>
      <c r="L1674" s="45" t="s">
        <v>263</v>
      </c>
      <c r="M1674" s="45" t="s">
        <v>259</v>
      </c>
      <c r="N1674" s="45" t="s">
        <v>167</v>
      </c>
      <c r="O1674" s="47" t="n">
        <v>46258.3019212963</v>
      </c>
      <c r="P1674" s="47" t="n">
        <v>46258.3025115741</v>
      </c>
    </row>
    <row r="1675" customFormat="false" ht="15" hidden="false" customHeight="false" outlineLevel="0" collapsed="false">
      <c r="A1675" s="45" t="n">
        <v>1880</v>
      </c>
      <c r="B1675" s="46" t="n">
        <v>46258</v>
      </c>
      <c r="C1675" s="45" t="s">
        <v>139</v>
      </c>
      <c r="D1675" s="45" t="s">
        <v>140</v>
      </c>
      <c r="E1675" s="45" t="s">
        <v>237</v>
      </c>
      <c r="F1675" s="45" t="s">
        <v>3403</v>
      </c>
      <c r="G1675" s="46" t="n">
        <v>46240</v>
      </c>
      <c r="H1675" s="45" t="s">
        <v>167</v>
      </c>
      <c r="I1675" s="45" t="s">
        <v>176</v>
      </c>
      <c r="J1675" s="45" t="s">
        <v>3404</v>
      </c>
      <c r="K1675" s="45" t="n">
        <v>3.8</v>
      </c>
      <c r="L1675" s="45" t="s">
        <v>263</v>
      </c>
      <c r="M1675" s="45" t="s">
        <v>259</v>
      </c>
      <c r="N1675" s="45" t="s">
        <v>167</v>
      </c>
      <c r="O1675" s="47" t="n">
        <v>46258.3029398148</v>
      </c>
      <c r="P1675" s="47" t="n">
        <v>46258.3055787037</v>
      </c>
    </row>
    <row r="1676" customFormat="false" ht="15" hidden="false" customHeight="false" outlineLevel="0" collapsed="false">
      <c r="A1676" s="45" t="n">
        <v>1881</v>
      </c>
      <c r="B1676" s="46" t="n">
        <v>46258</v>
      </c>
      <c r="C1676" s="45" t="s">
        <v>139</v>
      </c>
      <c r="D1676" s="45" t="s">
        <v>140</v>
      </c>
      <c r="E1676" s="45" t="s">
        <v>2674</v>
      </c>
      <c r="F1676" s="45" t="s">
        <v>3405</v>
      </c>
      <c r="G1676" s="46" t="n">
        <v>46240</v>
      </c>
      <c r="H1676" s="45" t="s">
        <v>167</v>
      </c>
      <c r="I1676" s="45" t="s">
        <v>176</v>
      </c>
      <c r="J1676" s="45" t="s">
        <v>3406</v>
      </c>
      <c r="K1676" s="45" t="n">
        <v>10</v>
      </c>
      <c r="L1676" s="45" t="s">
        <v>263</v>
      </c>
      <c r="M1676" s="45" t="s">
        <v>259</v>
      </c>
      <c r="N1676" s="45" t="s">
        <v>167</v>
      </c>
      <c r="O1676" s="47" t="n">
        <v>46258.3065509259</v>
      </c>
      <c r="P1676" s="47" t="n">
        <v>46258.3134837963</v>
      </c>
    </row>
    <row r="1677" customFormat="false" ht="15" hidden="false" customHeight="false" outlineLevel="0" collapsed="false">
      <c r="A1677" s="45" t="n">
        <v>1882</v>
      </c>
      <c r="B1677" s="46" t="n">
        <v>46258</v>
      </c>
      <c r="C1677" s="45" t="s">
        <v>139</v>
      </c>
      <c r="D1677" s="45" t="s">
        <v>140</v>
      </c>
      <c r="E1677" s="45" t="s">
        <v>2677</v>
      </c>
      <c r="F1677" s="45" t="s">
        <v>3407</v>
      </c>
      <c r="G1677" s="46" t="n">
        <v>46240</v>
      </c>
      <c r="H1677" s="45" t="s">
        <v>168</v>
      </c>
      <c r="I1677" s="45" t="s">
        <v>192</v>
      </c>
      <c r="J1677" s="45" t="s">
        <v>3408</v>
      </c>
      <c r="K1677" s="45" t="n">
        <v>1.2</v>
      </c>
      <c r="L1677" s="45" t="s">
        <v>263</v>
      </c>
      <c r="M1677" s="45" t="s">
        <v>259</v>
      </c>
      <c r="N1677" s="45" t="s">
        <v>2559</v>
      </c>
      <c r="O1677" s="47" t="n">
        <v>46258.3149768519</v>
      </c>
      <c r="P1677" s="47" t="n">
        <v>46258.315787037</v>
      </c>
    </row>
    <row r="1678" customFormat="false" ht="15" hidden="false" customHeight="false" outlineLevel="0" collapsed="false">
      <c r="A1678" s="45" t="n">
        <v>1884</v>
      </c>
      <c r="B1678" s="46" t="n">
        <v>46258</v>
      </c>
      <c r="C1678" s="45" t="s">
        <v>139</v>
      </c>
      <c r="D1678" s="45" t="s">
        <v>140</v>
      </c>
      <c r="E1678" s="45" t="s">
        <v>2705</v>
      </c>
      <c r="F1678" s="45" t="s">
        <v>3409</v>
      </c>
      <c r="G1678" s="46" t="n">
        <v>46240</v>
      </c>
      <c r="H1678" s="45" t="s">
        <v>167</v>
      </c>
      <c r="I1678" s="45" t="s">
        <v>179</v>
      </c>
      <c r="J1678" s="45" t="s">
        <v>3410</v>
      </c>
      <c r="K1678" s="45" t="n">
        <v>20.9</v>
      </c>
      <c r="L1678" s="45" t="s">
        <v>263</v>
      </c>
      <c r="M1678" s="45" t="s">
        <v>259</v>
      </c>
      <c r="N1678" s="45" t="s">
        <v>167</v>
      </c>
      <c r="O1678" s="47" t="n">
        <v>46258.3162037037</v>
      </c>
      <c r="P1678" s="47" t="n">
        <v>46258.3307407407</v>
      </c>
    </row>
    <row r="1679" customFormat="false" ht="15" hidden="false" customHeight="false" outlineLevel="0" collapsed="false">
      <c r="A1679" s="45" t="n">
        <v>1883</v>
      </c>
      <c r="B1679" s="46" t="n">
        <v>46258</v>
      </c>
      <c r="C1679" s="45" t="s">
        <v>135</v>
      </c>
      <c r="D1679" s="45" t="s">
        <v>136</v>
      </c>
      <c r="E1679" s="45" t="s">
        <v>3411</v>
      </c>
      <c r="F1679" s="45" t="s">
        <v>3412</v>
      </c>
      <c r="G1679" s="46" t="n">
        <v>46255</v>
      </c>
      <c r="H1679" s="45" t="s">
        <v>168</v>
      </c>
      <c r="I1679" s="45" t="s">
        <v>191</v>
      </c>
      <c r="J1679" s="45" t="s">
        <v>3413</v>
      </c>
      <c r="K1679" s="45" t="n">
        <v>14.9</v>
      </c>
      <c r="L1679" s="45" t="s">
        <v>263</v>
      </c>
      <c r="M1679" s="45" t="s">
        <v>259</v>
      </c>
      <c r="N1679" s="45" t="s">
        <v>2559</v>
      </c>
      <c r="O1679" s="47" t="n">
        <v>46258.3189930556</v>
      </c>
      <c r="P1679" s="47" t="n">
        <v>46258.3293402778</v>
      </c>
    </row>
    <row r="1680" customFormat="false" ht="15" hidden="false" customHeight="false" outlineLevel="0" collapsed="false">
      <c r="A1680" s="45" t="n">
        <v>1885</v>
      </c>
      <c r="B1680" s="46" t="n">
        <v>46258</v>
      </c>
      <c r="C1680" s="45" t="s">
        <v>135</v>
      </c>
      <c r="D1680" s="45" t="s">
        <v>136</v>
      </c>
      <c r="E1680" s="45" t="s">
        <v>3414</v>
      </c>
      <c r="F1680" s="45" t="s">
        <v>3415</v>
      </c>
      <c r="G1680" s="46" t="n">
        <v>46256</v>
      </c>
      <c r="H1680" s="45" t="s">
        <v>168</v>
      </c>
      <c r="I1680" s="45" t="s">
        <v>192</v>
      </c>
      <c r="J1680" s="45" t="s">
        <v>3416</v>
      </c>
      <c r="K1680" s="45" t="n">
        <v>5</v>
      </c>
      <c r="L1680" s="45" t="s">
        <v>263</v>
      </c>
      <c r="M1680" s="45" t="s">
        <v>259</v>
      </c>
      <c r="N1680" s="45" t="s">
        <v>2559</v>
      </c>
      <c r="O1680" s="47" t="n">
        <v>46258.329525463</v>
      </c>
      <c r="P1680" s="47" t="n">
        <v>46258.332962963</v>
      </c>
    </row>
    <row r="1681" customFormat="false" ht="15" hidden="false" customHeight="false" outlineLevel="0" collapsed="false">
      <c r="A1681" s="45" t="n">
        <v>1886</v>
      </c>
      <c r="B1681" s="46" t="n">
        <v>46258</v>
      </c>
      <c r="C1681" s="45" t="s">
        <v>135</v>
      </c>
      <c r="D1681" s="45" t="s">
        <v>136</v>
      </c>
      <c r="E1681" s="45" t="s">
        <v>226</v>
      </c>
      <c r="F1681" s="45" t="s">
        <v>3417</v>
      </c>
      <c r="G1681" s="46" t="n">
        <v>46257</v>
      </c>
      <c r="H1681" s="45" t="s">
        <v>169</v>
      </c>
      <c r="I1681" s="45"/>
      <c r="J1681" s="45"/>
      <c r="K1681" s="45" t="n">
        <v>2.9</v>
      </c>
      <c r="L1681" s="45" t="s">
        <v>263</v>
      </c>
      <c r="M1681" s="45" t="s">
        <v>259</v>
      </c>
      <c r="N1681" s="45" t="s">
        <v>169</v>
      </c>
      <c r="O1681" s="47" t="n">
        <v>46258.3332175926</v>
      </c>
      <c r="P1681" s="47" t="n">
        <v>46258.3352430556</v>
      </c>
    </row>
    <row r="1682" customFormat="false" ht="15" hidden="false" customHeight="false" outlineLevel="0" collapsed="false">
      <c r="A1682" s="45" t="n">
        <v>1887</v>
      </c>
      <c r="B1682" s="46" t="n">
        <v>46258</v>
      </c>
      <c r="C1682" s="45" t="s">
        <v>139</v>
      </c>
      <c r="D1682" s="45" t="s">
        <v>140</v>
      </c>
      <c r="E1682" s="45" t="s">
        <v>2666</v>
      </c>
      <c r="F1682" s="45" t="s">
        <v>3418</v>
      </c>
      <c r="G1682" s="46" t="n">
        <v>46240</v>
      </c>
      <c r="H1682" s="45" t="s">
        <v>168</v>
      </c>
      <c r="I1682" s="45" t="s">
        <v>191</v>
      </c>
      <c r="J1682" s="45" t="s">
        <v>3419</v>
      </c>
      <c r="K1682" s="45" t="n">
        <v>1.9</v>
      </c>
      <c r="L1682" s="45" t="s">
        <v>263</v>
      </c>
      <c r="M1682" s="45" t="s">
        <v>259</v>
      </c>
      <c r="N1682" s="45" t="s">
        <v>2559</v>
      </c>
      <c r="O1682" s="47" t="n">
        <v>46258.3368171296</v>
      </c>
      <c r="P1682" s="47" t="n">
        <v>46258.338125</v>
      </c>
    </row>
    <row r="1683" customFormat="false" ht="15" hidden="false" customHeight="false" outlineLevel="0" collapsed="false">
      <c r="A1683" s="45" t="n">
        <v>1888</v>
      </c>
      <c r="B1683" s="46" t="n">
        <v>46258</v>
      </c>
      <c r="C1683" s="45" t="s">
        <v>139</v>
      </c>
      <c r="D1683" s="45" t="s">
        <v>140</v>
      </c>
      <c r="E1683" s="45" t="s">
        <v>2652</v>
      </c>
      <c r="F1683" s="45" t="s">
        <v>3420</v>
      </c>
      <c r="G1683" s="46" t="n">
        <v>46252</v>
      </c>
      <c r="H1683" s="45" t="s">
        <v>167</v>
      </c>
      <c r="I1683" s="45" t="s">
        <v>176</v>
      </c>
      <c r="J1683" s="45" t="s">
        <v>3421</v>
      </c>
      <c r="K1683" s="45" t="n">
        <v>4.4</v>
      </c>
      <c r="L1683" s="45" t="s">
        <v>263</v>
      </c>
      <c r="M1683" s="45" t="s">
        <v>259</v>
      </c>
      <c r="N1683" s="45" t="s">
        <v>167</v>
      </c>
      <c r="O1683" s="47" t="n">
        <v>46258.3398148148</v>
      </c>
      <c r="P1683" s="47" t="n">
        <v>46258.3428819445</v>
      </c>
    </row>
    <row r="1684" customFormat="false" ht="15" hidden="false" customHeight="false" outlineLevel="0" collapsed="false">
      <c r="A1684" s="45" t="n">
        <v>1889</v>
      </c>
      <c r="B1684" s="46" t="n">
        <v>46258</v>
      </c>
      <c r="C1684" s="45" t="s">
        <v>133</v>
      </c>
      <c r="D1684" s="45" t="s">
        <v>134</v>
      </c>
      <c r="E1684" s="45" t="s">
        <v>2591</v>
      </c>
      <c r="F1684" s="45" t="s">
        <v>3422</v>
      </c>
      <c r="G1684" s="46" t="n">
        <v>46247</v>
      </c>
      <c r="H1684" s="45" t="s">
        <v>167</v>
      </c>
      <c r="I1684" s="45" t="s">
        <v>176</v>
      </c>
      <c r="J1684" s="45" t="s">
        <v>3423</v>
      </c>
      <c r="K1684" s="45" t="n">
        <v>0.6</v>
      </c>
      <c r="L1684" s="45" t="s">
        <v>263</v>
      </c>
      <c r="M1684" s="45" t="s">
        <v>259</v>
      </c>
      <c r="N1684" s="45" t="s">
        <v>167</v>
      </c>
      <c r="O1684" s="47" t="n">
        <v>46258.4417939815</v>
      </c>
      <c r="P1684" s="47" t="n">
        <v>46258.4421759259</v>
      </c>
    </row>
    <row r="1685" customFormat="false" ht="15" hidden="false" customHeight="false" outlineLevel="0" collapsed="false">
      <c r="A1685" s="45" t="n">
        <v>1890</v>
      </c>
      <c r="B1685" s="46" t="n">
        <v>46258</v>
      </c>
      <c r="C1685" s="45" t="s">
        <v>133</v>
      </c>
      <c r="D1685" s="45" t="s">
        <v>134</v>
      </c>
      <c r="E1685" s="45" t="s">
        <v>2591</v>
      </c>
      <c r="F1685" s="45" t="s">
        <v>3424</v>
      </c>
      <c r="G1685" s="46" t="n">
        <v>46254</v>
      </c>
      <c r="H1685" s="45" t="s">
        <v>167</v>
      </c>
      <c r="I1685" s="45" t="s">
        <v>179</v>
      </c>
      <c r="J1685" s="45" t="s">
        <v>3425</v>
      </c>
      <c r="K1685" s="45" t="n">
        <v>22.3</v>
      </c>
      <c r="L1685" s="45" t="s">
        <v>263</v>
      </c>
      <c r="M1685" s="45" t="s">
        <v>259</v>
      </c>
      <c r="N1685" s="45" t="s">
        <v>167</v>
      </c>
      <c r="O1685" s="47" t="n">
        <v>46258.4422106482</v>
      </c>
      <c r="P1685" s="47" t="n">
        <v>46258.4576736111</v>
      </c>
    </row>
    <row r="1686" customFormat="false" ht="15" hidden="false" customHeight="false" outlineLevel="0" collapsed="false">
      <c r="A1686" s="45" t="n">
        <v>1891</v>
      </c>
      <c r="B1686" s="46" t="n">
        <v>46258</v>
      </c>
      <c r="C1686" s="45" t="s">
        <v>133</v>
      </c>
      <c r="D1686" s="45" t="s">
        <v>134</v>
      </c>
      <c r="E1686" s="45" t="s">
        <v>2591</v>
      </c>
      <c r="F1686" s="45" t="s">
        <v>3426</v>
      </c>
      <c r="G1686" s="46" t="n">
        <v>46209</v>
      </c>
      <c r="H1686" s="45" t="s">
        <v>169</v>
      </c>
      <c r="I1686" s="45"/>
      <c r="J1686" s="45"/>
      <c r="K1686" s="45" t="n">
        <v>5.2</v>
      </c>
      <c r="L1686" s="45" t="s">
        <v>263</v>
      </c>
      <c r="M1686" s="45" t="s">
        <v>259</v>
      </c>
      <c r="N1686" s="45" t="s">
        <v>169</v>
      </c>
      <c r="O1686" s="47" t="n">
        <v>46258.4576967593</v>
      </c>
      <c r="P1686" s="47" t="n">
        <v>46258.4612847222</v>
      </c>
    </row>
    <row r="1687" customFormat="false" ht="15" hidden="false" customHeight="false" outlineLevel="0" collapsed="false">
      <c r="A1687" s="45" t="n">
        <v>1892</v>
      </c>
      <c r="B1687" s="46" t="n">
        <v>46258</v>
      </c>
      <c r="C1687" s="45" t="s">
        <v>133</v>
      </c>
      <c r="D1687" s="45" t="s">
        <v>134</v>
      </c>
      <c r="E1687" s="45" t="s">
        <v>2591</v>
      </c>
      <c r="F1687" s="45" t="s">
        <v>3427</v>
      </c>
      <c r="G1687" s="46" t="n">
        <v>46251</v>
      </c>
      <c r="H1687" s="45" t="s">
        <v>167</v>
      </c>
      <c r="I1687" s="45" t="s">
        <v>179</v>
      </c>
      <c r="J1687" s="45" t="s">
        <v>3428</v>
      </c>
      <c r="K1687" s="45" t="n">
        <v>0.5</v>
      </c>
      <c r="L1687" s="45" t="s">
        <v>263</v>
      </c>
      <c r="M1687" s="45" t="s">
        <v>259</v>
      </c>
      <c r="N1687" s="45" t="s">
        <v>167</v>
      </c>
      <c r="O1687" s="47" t="n">
        <v>46258.4716898148</v>
      </c>
      <c r="P1687" s="47" t="n">
        <v>46258.4720138889</v>
      </c>
    </row>
    <row r="1688" customFormat="false" ht="15" hidden="false" customHeight="false" outlineLevel="0" collapsed="false">
      <c r="A1688" s="45" t="n">
        <v>1893</v>
      </c>
      <c r="B1688" s="46" t="n">
        <v>46258</v>
      </c>
      <c r="C1688" s="45" t="s">
        <v>133</v>
      </c>
      <c r="D1688" s="45" t="s">
        <v>134</v>
      </c>
      <c r="E1688" s="45" t="s">
        <v>2539</v>
      </c>
      <c r="F1688" s="45" t="s">
        <v>3429</v>
      </c>
      <c r="G1688" s="46" t="n">
        <v>46256</v>
      </c>
      <c r="H1688" s="45" t="s">
        <v>167</v>
      </c>
      <c r="I1688" s="45" t="s">
        <v>176</v>
      </c>
      <c r="J1688" s="45" t="s">
        <v>3430</v>
      </c>
      <c r="K1688" s="45" t="n">
        <v>9.9</v>
      </c>
      <c r="L1688" s="45" t="s">
        <v>263</v>
      </c>
      <c r="M1688" s="45" t="s">
        <v>259</v>
      </c>
      <c r="N1688" s="45" t="s">
        <v>167</v>
      </c>
      <c r="O1688" s="47" t="n">
        <v>46258.472037037</v>
      </c>
      <c r="P1688" s="47" t="n">
        <v>46258.478912037</v>
      </c>
    </row>
    <row r="1689" customFormat="false" ht="15" hidden="false" customHeight="false" outlineLevel="0" collapsed="false">
      <c r="A1689" s="45" t="n">
        <v>1894</v>
      </c>
      <c r="B1689" s="46" t="n">
        <v>46258</v>
      </c>
      <c r="C1689" s="45" t="s">
        <v>133</v>
      </c>
      <c r="D1689" s="45" t="s">
        <v>134</v>
      </c>
      <c r="E1689" s="45" t="s">
        <v>2539</v>
      </c>
      <c r="F1689" s="45" t="s">
        <v>3431</v>
      </c>
      <c r="G1689" s="46" t="n">
        <v>46251</v>
      </c>
      <c r="H1689" s="45" t="s">
        <v>167</v>
      </c>
      <c r="I1689" s="45" t="s">
        <v>177</v>
      </c>
      <c r="J1689" s="45" t="s">
        <v>3432</v>
      </c>
      <c r="K1689" s="45" t="n">
        <v>6.5</v>
      </c>
      <c r="L1689" s="45" t="s">
        <v>263</v>
      </c>
      <c r="M1689" s="45" t="s">
        <v>259</v>
      </c>
      <c r="N1689" s="45" t="s">
        <v>167</v>
      </c>
      <c r="O1689" s="47" t="n">
        <v>46258.4791666667</v>
      </c>
      <c r="P1689" s="47" t="n">
        <v>46258.4836689815</v>
      </c>
    </row>
    <row r="1690" customFormat="false" ht="15" hidden="false" customHeight="false" outlineLevel="0" collapsed="false">
      <c r="A1690" s="45" t="n">
        <v>1895</v>
      </c>
      <c r="B1690" s="46" t="n">
        <v>46258</v>
      </c>
      <c r="C1690" s="45" t="s">
        <v>133</v>
      </c>
      <c r="D1690" s="45" t="s">
        <v>134</v>
      </c>
      <c r="E1690" s="45" t="s">
        <v>241</v>
      </c>
      <c r="F1690" s="45" t="s">
        <v>3433</v>
      </c>
      <c r="G1690" s="46" t="n">
        <v>46226</v>
      </c>
      <c r="H1690" s="45" t="s">
        <v>167</v>
      </c>
      <c r="I1690" s="45" t="s">
        <v>176</v>
      </c>
      <c r="J1690" s="45" t="s">
        <v>3434</v>
      </c>
      <c r="K1690" s="45" t="n">
        <v>7.1</v>
      </c>
      <c r="L1690" s="45" t="s">
        <v>263</v>
      </c>
      <c r="M1690" s="45" t="s">
        <v>259</v>
      </c>
      <c r="N1690" s="45" t="s">
        <v>167</v>
      </c>
      <c r="O1690" s="47" t="n">
        <v>46258.4840740741</v>
      </c>
      <c r="P1690" s="47" t="n">
        <v>46258.4890046296</v>
      </c>
    </row>
    <row r="1691" customFormat="false" ht="15" hidden="false" customHeight="false" outlineLevel="0" collapsed="false">
      <c r="A1691" s="45" t="n">
        <v>1896</v>
      </c>
      <c r="B1691" s="46" t="n">
        <v>46258</v>
      </c>
      <c r="C1691" s="45" t="s">
        <v>133</v>
      </c>
      <c r="D1691" s="45" t="s">
        <v>134</v>
      </c>
      <c r="E1691" s="45" t="s">
        <v>241</v>
      </c>
      <c r="F1691" s="45" t="s">
        <v>3435</v>
      </c>
      <c r="G1691" s="46" t="n">
        <v>46226</v>
      </c>
      <c r="H1691" s="45" t="s">
        <v>167</v>
      </c>
      <c r="I1691" s="45" t="s">
        <v>176</v>
      </c>
      <c r="J1691" s="45" t="s">
        <v>3436</v>
      </c>
      <c r="K1691" s="45" t="n">
        <v>9.8</v>
      </c>
      <c r="L1691" s="45" t="s">
        <v>263</v>
      </c>
      <c r="M1691" s="45" t="s">
        <v>259</v>
      </c>
      <c r="N1691" s="45" t="s">
        <v>167</v>
      </c>
      <c r="O1691" s="47" t="n">
        <v>46258.4892708333</v>
      </c>
      <c r="P1691" s="47" t="n">
        <v>46258.496099537</v>
      </c>
    </row>
    <row r="1692" customFormat="false" ht="15" hidden="false" customHeight="false" outlineLevel="0" collapsed="false">
      <c r="A1692" s="45" t="n">
        <v>1897</v>
      </c>
      <c r="B1692" s="46" t="n">
        <v>46258</v>
      </c>
      <c r="C1692" s="45" t="s">
        <v>133</v>
      </c>
      <c r="D1692" s="45" t="s">
        <v>134</v>
      </c>
      <c r="E1692" s="45" t="s">
        <v>1933</v>
      </c>
      <c r="F1692" s="45" t="s">
        <v>3437</v>
      </c>
      <c r="G1692" s="46" t="n">
        <v>46254</v>
      </c>
      <c r="H1692" s="45" t="s">
        <v>167</v>
      </c>
      <c r="I1692" s="45" t="s">
        <v>178</v>
      </c>
      <c r="J1692" s="45" t="s">
        <v>3438</v>
      </c>
      <c r="K1692" s="45" t="n">
        <v>7.7</v>
      </c>
      <c r="L1692" s="45" t="s">
        <v>263</v>
      </c>
      <c r="M1692" s="45" t="s">
        <v>259</v>
      </c>
      <c r="N1692" s="45" t="s">
        <v>167</v>
      </c>
      <c r="O1692" s="47" t="n">
        <v>46258.4977430556</v>
      </c>
      <c r="P1692" s="47" t="n">
        <v>46258.5030787037</v>
      </c>
    </row>
    <row r="1693" customFormat="false" ht="15" hidden="false" customHeight="false" outlineLevel="0" collapsed="false">
      <c r="A1693" s="45" t="n">
        <v>1898</v>
      </c>
      <c r="B1693" s="46" t="n">
        <v>46258</v>
      </c>
      <c r="C1693" s="45" t="s">
        <v>133</v>
      </c>
      <c r="D1693" s="45" t="s">
        <v>134</v>
      </c>
      <c r="E1693" s="45" t="s">
        <v>2594</v>
      </c>
      <c r="F1693" s="45" t="s">
        <v>3439</v>
      </c>
      <c r="G1693" s="46" t="n">
        <v>46243</v>
      </c>
      <c r="H1693" s="45" t="s">
        <v>167</v>
      </c>
      <c r="I1693" s="45" t="s">
        <v>178</v>
      </c>
      <c r="J1693" s="45" t="s">
        <v>3440</v>
      </c>
      <c r="K1693" s="45" t="n">
        <v>10.5</v>
      </c>
      <c r="L1693" s="45" t="s">
        <v>263</v>
      </c>
      <c r="M1693" s="45" t="s">
        <v>259</v>
      </c>
      <c r="N1693" s="45" t="s">
        <v>167</v>
      </c>
      <c r="O1693" s="47" t="n">
        <v>46258.5034953704</v>
      </c>
      <c r="P1693" s="47" t="n">
        <v>46258.510787037</v>
      </c>
    </row>
    <row r="1694" customFormat="false" ht="15" hidden="false" customHeight="false" outlineLevel="0" collapsed="false">
      <c r="A1694" s="45" t="n">
        <v>1899</v>
      </c>
      <c r="B1694" s="46" t="n">
        <v>46258</v>
      </c>
      <c r="C1694" s="45" t="s">
        <v>133</v>
      </c>
      <c r="D1694" s="45" t="s">
        <v>134</v>
      </c>
      <c r="E1694" s="45" t="s">
        <v>2594</v>
      </c>
      <c r="F1694" s="45" t="s">
        <v>3441</v>
      </c>
      <c r="G1694" s="46" t="n">
        <v>46250</v>
      </c>
      <c r="H1694" s="45" t="s">
        <v>167</v>
      </c>
      <c r="I1694" s="45" t="s">
        <v>179</v>
      </c>
      <c r="J1694" s="45" t="s">
        <v>3442</v>
      </c>
      <c r="K1694" s="45" t="n">
        <v>9</v>
      </c>
      <c r="L1694" s="45" t="s">
        <v>263</v>
      </c>
      <c r="M1694" s="45" t="s">
        <v>259</v>
      </c>
      <c r="N1694" s="45" t="s">
        <v>167</v>
      </c>
      <c r="O1694" s="47" t="n">
        <v>46258.5108217593</v>
      </c>
      <c r="P1694" s="47" t="n">
        <v>46258.5170486111</v>
      </c>
    </row>
    <row r="1695" customFormat="false" ht="15" hidden="false" customHeight="false" outlineLevel="0" collapsed="false">
      <c r="A1695" s="45" t="n">
        <v>1900</v>
      </c>
      <c r="B1695" s="46" t="n">
        <v>46258</v>
      </c>
      <c r="C1695" s="45" t="s">
        <v>133</v>
      </c>
      <c r="D1695" s="45" t="s">
        <v>134</v>
      </c>
      <c r="E1695" s="45" t="s">
        <v>2542</v>
      </c>
      <c r="F1695" s="45" t="s">
        <v>3443</v>
      </c>
      <c r="G1695" s="46" t="n">
        <v>46227</v>
      </c>
      <c r="H1695" s="45" t="s">
        <v>167</v>
      </c>
      <c r="I1695" s="45" t="s">
        <v>179</v>
      </c>
      <c r="J1695" s="45" t="s">
        <v>3444</v>
      </c>
      <c r="K1695" s="45" t="n">
        <v>55.8</v>
      </c>
      <c r="L1695" s="45" t="s">
        <v>263</v>
      </c>
      <c r="M1695" s="45" t="s">
        <v>259</v>
      </c>
      <c r="N1695" s="45" t="s">
        <v>167</v>
      </c>
      <c r="O1695" s="47" t="n">
        <v>46258.5170833333</v>
      </c>
      <c r="P1695" s="47" t="n">
        <v>46258.5558333333</v>
      </c>
    </row>
    <row r="1696" customFormat="false" ht="15" hidden="false" customHeight="false" outlineLevel="0" collapsed="false">
      <c r="A1696" s="45" t="n">
        <v>1901</v>
      </c>
      <c r="B1696" s="46" t="n">
        <v>46258</v>
      </c>
      <c r="C1696" s="45" t="s">
        <v>137</v>
      </c>
      <c r="D1696" s="45" t="s">
        <v>138</v>
      </c>
      <c r="E1696" s="45" t="s">
        <v>229</v>
      </c>
      <c r="F1696" s="45" t="s">
        <v>3445</v>
      </c>
      <c r="G1696" s="46" t="n">
        <v>46260</v>
      </c>
      <c r="H1696" s="45" t="s">
        <v>167</v>
      </c>
      <c r="I1696" s="45" t="s">
        <v>176</v>
      </c>
      <c r="J1696" s="45" t="s">
        <v>1344</v>
      </c>
      <c r="K1696" s="45" t="n">
        <v>0.6</v>
      </c>
      <c r="L1696" s="45" t="s">
        <v>263</v>
      </c>
      <c r="M1696" s="45" t="s">
        <v>259</v>
      </c>
      <c r="N1696" s="45" t="s">
        <v>167</v>
      </c>
      <c r="O1696" s="47" t="n">
        <v>46258.574525463</v>
      </c>
      <c r="P1696" s="47" t="n">
        <v>46258.5749652778</v>
      </c>
    </row>
    <row r="1697" customFormat="false" ht="15" hidden="false" customHeight="false" outlineLevel="0" collapsed="false">
      <c r="A1697" s="45" t="n">
        <v>1902</v>
      </c>
      <c r="B1697" s="46" t="n">
        <v>46258</v>
      </c>
      <c r="C1697" s="45" t="s">
        <v>137</v>
      </c>
      <c r="D1697" s="45" t="s">
        <v>138</v>
      </c>
      <c r="E1697" s="45" t="s">
        <v>229</v>
      </c>
      <c r="F1697" s="45" t="s">
        <v>3446</v>
      </c>
      <c r="G1697" s="46" t="n">
        <v>46240</v>
      </c>
      <c r="H1697" s="45" t="s">
        <v>167</v>
      </c>
      <c r="I1697" s="45" t="s">
        <v>178</v>
      </c>
      <c r="J1697" s="45" t="s">
        <v>1242</v>
      </c>
      <c r="K1697" s="45" t="n">
        <v>0.9</v>
      </c>
      <c r="L1697" s="45" t="s">
        <v>263</v>
      </c>
      <c r="M1697" s="45" t="s">
        <v>259</v>
      </c>
      <c r="N1697" s="45" t="s">
        <v>167</v>
      </c>
      <c r="O1697" s="47" t="n">
        <v>46258.5749884259</v>
      </c>
      <c r="P1697" s="47" t="n">
        <v>46258.5756018519</v>
      </c>
    </row>
    <row r="1698" customFormat="false" ht="15" hidden="false" customHeight="false" outlineLevel="0" collapsed="false">
      <c r="A1698" s="45" t="n">
        <v>1903</v>
      </c>
      <c r="B1698" s="46" t="n">
        <v>46258</v>
      </c>
      <c r="C1698" s="45" t="s">
        <v>137</v>
      </c>
      <c r="D1698" s="45" t="s">
        <v>138</v>
      </c>
      <c r="E1698" s="45" t="s">
        <v>219</v>
      </c>
      <c r="F1698" s="45" t="s">
        <v>3447</v>
      </c>
      <c r="G1698" s="46" t="n">
        <v>46254</v>
      </c>
      <c r="H1698" s="45" t="s">
        <v>167</v>
      </c>
      <c r="I1698" s="45" t="s">
        <v>180</v>
      </c>
      <c r="J1698" s="45" t="s">
        <v>445</v>
      </c>
      <c r="K1698" s="45" t="n">
        <v>0.3</v>
      </c>
      <c r="L1698" s="45" t="s">
        <v>263</v>
      </c>
      <c r="M1698" s="45" t="s">
        <v>259</v>
      </c>
      <c r="N1698" s="45" t="s">
        <v>167</v>
      </c>
      <c r="O1698" s="47" t="n">
        <v>46258.5756597222</v>
      </c>
      <c r="P1698" s="47" t="n">
        <v>46258.5759027778</v>
      </c>
    </row>
    <row r="1699" customFormat="false" ht="15" hidden="false" customHeight="false" outlineLevel="0" collapsed="false">
      <c r="A1699" s="45" t="n">
        <v>1904</v>
      </c>
      <c r="B1699" s="46" t="n">
        <v>46258</v>
      </c>
      <c r="C1699" s="45" t="s">
        <v>137</v>
      </c>
      <c r="D1699" s="45" t="s">
        <v>138</v>
      </c>
      <c r="E1699" s="45" t="s">
        <v>219</v>
      </c>
      <c r="F1699" s="45" t="s">
        <v>3448</v>
      </c>
      <c r="G1699" s="46" t="n">
        <v>46253</v>
      </c>
      <c r="H1699" s="45" t="s">
        <v>168</v>
      </c>
      <c r="I1699" s="45" t="s">
        <v>194</v>
      </c>
      <c r="J1699" s="45" t="s">
        <v>3449</v>
      </c>
      <c r="K1699" s="45" t="n">
        <v>0.6</v>
      </c>
      <c r="L1699" s="45" t="s">
        <v>263</v>
      </c>
      <c r="M1699" s="45" t="s">
        <v>259</v>
      </c>
      <c r="N1699" s="45" t="s">
        <v>2559</v>
      </c>
      <c r="O1699" s="47" t="n">
        <v>46258.5759259259</v>
      </c>
      <c r="P1699" s="47" t="n">
        <v>46258.5763541667</v>
      </c>
    </row>
    <row r="1700" customFormat="false" ht="15" hidden="false" customHeight="false" outlineLevel="0" collapsed="false">
      <c r="A1700" s="45" t="n">
        <v>1905</v>
      </c>
      <c r="B1700" s="46" t="n">
        <v>46258</v>
      </c>
      <c r="C1700" s="45" t="s">
        <v>137</v>
      </c>
      <c r="D1700" s="45" t="s">
        <v>138</v>
      </c>
      <c r="E1700" s="45" t="s">
        <v>309</v>
      </c>
      <c r="F1700" s="45" t="s">
        <v>3450</v>
      </c>
      <c r="G1700" s="46" t="n">
        <v>46258</v>
      </c>
      <c r="H1700" s="45" t="s">
        <v>168</v>
      </c>
      <c r="I1700" s="45" t="s">
        <v>194</v>
      </c>
      <c r="J1700" s="45" t="s">
        <v>1394</v>
      </c>
      <c r="K1700" s="45" t="n">
        <v>0.2</v>
      </c>
      <c r="L1700" s="45" t="s">
        <v>263</v>
      </c>
      <c r="M1700" s="45" t="s">
        <v>259</v>
      </c>
      <c r="N1700" s="45" t="s">
        <v>2559</v>
      </c>
      <c r="O1700" s="47" t="n">
        <v>46258.5764467593</v>
      </c>
      <c r="P1700" s="47" t="n">
        <v>46258.5766087963</v>
      </c>
    </row>
    <row r="1701" customFormat="false" ht="15" hidden="false" customHeight="false" outlineLevel="0" collapsed="false">
      <c r="A1701" s="45" t="n">
        <v>1906</v>
      </c>
      <c r="B1701" s="46" t="n">
        <v>46258</v>
      </c>
      <c r="C1701" s="45" t="s">
        <v>137</v>
      </c>
      <c r="D1701" s="45" t="s">
        <v>138</v>
      </c>
      <c r="E1701" s="45" t="s">
        <v>1616</v>
      </c>
      <c r="F1701" s="45" t="s">
        <v>3451</v>
      </c>
      <c r="G1701" s="46" t="n">
        <v>46257</v>
      </c>
      <c r="H1701" s="45" t="s">
        <v>167</v>
      </c>
      <c r="I1701" s="45" t="s">
        <v>178</v>
      </c>
      <c r="J1701" s="45" t="s">
        <v>1242</v>
      </c>
      <c r="K1701" s="45" t="n">
        <v>0.2</v>
      </c>
      <c r="L1701" s="45" t="s">
        <v>263</v>
      </c>
      <c r="M1701" s="45" t="s">
        <v>259</v>
      </c>
      <c r="N1701" s="45" t="s">
        <v>167</v>
      </c>
      <c r="O1701" s="47" t="n">
        <v>46258.5772800926</v>
      </c>
      <c r="P1701" s="47" t="n">
        <v>46258.5774421296</v>
      </c>
    </row>
    <row r="1702" customFormat="false" ht="15" hidden="false" customHeight="false" outlineLevel="0" collapsed="false">
      <c r="A1702" s="45" t="n">
        <v>1907</v>
      </c>
      <c r="B1702" s="46" t="n">
        <v>46258</v>
      </c>
      <c r="C1702" s="45" t="s">
        <v>137</v>
      </c>
      <c r="D1702" s="45" t="s">
        <v>138</v>
      </c>
      <c r="E1702" s="45" t="s">
        <v>1616</v>
      </c>
      <c r="F1702" s="45" t="s">
        <v>3452</v>
      </c>
      <c r="G1702" s="46" t="n">
        <v>46256</v>
      </c>
      <c r="H1702" s="45" t="s">
        <v>167</v>
      </c>
      <c r="I1702" s="45" t="s">
        <v>178</v>
      </c>
      <c r="J1702" s="45" t="s">
        <v>445</v>
      </c>
      <c r="K1702" s="45" t="n">
        <v>0.7</v>
      </c>
      <c r="L1702" s="45" t="s">
        <v>263</v>
      </c>
      <c r="M1702" s="45" t="s">
        <v>259</v>
      </c>
      <c r="N1702" s="45" t="s">
        <v>167</v>
      </c>
      <c r="O1702" s="47" t="n">
        <v>46258.5774652778</v>
      </c>
      <c r="P1702" s="47" t="n">
        <v>46258.577962963</v>
      </c>
    </row>
    <row r="1703" customFormat="false" ht="15" hidden="false" customHeight="false" outlineLevel="0" collapsed="false">
      <c r="A1703" s="45" t="n">
        <v>1908</v>
      </c>
      <c r="B1703" s="46" t="n">
        <v>46258</v>
      </c>
      <c r="C1703" s="45" t="s">
        <v>137</v>
      </c>
      <c r="D1703" s="45" t="s">
        <v>138</v>
      </c>
      <c r="E1703" s="45" t="s">
        <v>1732</v>
      </c>
      <c r="F1703" s="45" t="s">
        <v>3453</v>
      </c>
      <c r="G1703" s="46" t="n">
        <v>46256</v>
      </c>
      <c r="H1703" s="45" t="s">
        <v>167</v>
      </c>
      <c r="I1703" s="45" t="s">
        <v>180</v>
      </c>
      <c r="J1703" s="45" t="s">
        <v>445</v>
      </c>
      <c r="K1703" s="45" t="n">
        <v>0.7</v>
      </c>
      <c r="L1703" s="45" t="s">
        <v>263</v>
      </c>
      <c r="M1703" s="45" t="s">
        <v>259</v>
      </c>
      <c r="N1703" s="45" t="s">
        <v>167</v>
      </c>
      <c r="O1703" s="47" t="n">
        <v>46258.5780092593</v>
      </c>
      <c r="P1703" s="47" t="n">
        <v>46258.5785069445</v>
      </c>
    </row>
    <row r="1704" customFormat="false" ht="15" hidden="false" customHeight="false" outlineLevel="0" collapsed="false">
      <c r="A1704" s="45" t="n">
        <v>1909</v>
      </c>
      <c r="B1704" s="46" t="n">
        <v>46258</v>
      </c>
      <c r="C1704" s="45" t="s">
        <v>135</v>
      </c>
      <c r="D1704" s="45" t="s">
        <v>136</v>
      </c>
      <c r="E1704" s="45" t="s">
        <v>220</v>
      </c>
      <c r="F1704" s="45" t="s">
        <v>3326</v>
      </c>
      <c r="G1704" s="46" t="n">
        <v>46252</v>
      </c>
      <c r="H1704" s="45" t="s">
        <v>57</v>
      </c>
      <c r="I1704" s="45" t="s">
        <v>200</v>
      </c>
      <c r="J1704" s="45" t="s">
        <v>3454</v>
      </c>
      <c r="K1704" s="45" t="n">
        <v>2.4</v>
      </c>
      <c r="L1704" s="45" t="s">
        <v>259</v>
      </c>
      <c r="M1704" s="45" t="s">
        <v>259</v>
      </c>
      <c r="N1704" s="45" t="s">
        <v>57</v>
      </c>
      <c r="O1704" s="47" t="n">
        <v>46258.7417708333</v>
      </c>
      <c r="P1704" s="47" t="n">
        <v>46258.7434027778</v>
      </c>
    </row>
    <row r="1705" customFormat="false" ht="15" hidden="false" customHeight="false" outlineLevel="0" collapsed="false">
      <c r="A1705" s="45" t="n">
        <v>1910</v>
      </c>
      <c r="B1705" s="46" t="n">
        <v>46258</v>
      </c>
      <c r="C1705" s="45" t="s">
        <v>135</v>
      </c>
      <c r="D1705" s="45" t="s">
        <v>136</v>
      </c>
      <c r="E1705" s="45" t="s">
        <v>3244</v>
      </c>
      <c r="F1705" s="45" t="s">
        <v>3455</v>
      </c>
      <c r="G1705" s="46" t="n">
        <v>46252</v>
      </c>
      <c r="H1705" s="45" t="s">
        <v>167</v>
      </c>
      <c r="I1705" s="45" t="s">
        <v>178</v>
      </c>
      <c r="J1705" s="45" t="s">
        <v>3456</v>
      </c>
      <c r="K1705" s="45" t="n">
        <v>1.4</v>
      </c>
      <c r="L1705" s="45" t="s">
        <v>263</v>
      </c>
      <c r="M1705" s="45" t="s">
        <v>259</v>
      </c>
      <c r="N1705" s="45" t="s">
        <v>167</v>
      </c>
      <c r="O1705" s="47" t="n">
        <v>46258.7434375</v>
      </c>
      <c r="P1705" s="47" t="n">
        <v>46258.7444212963</v>
      </c>
    </row>
    <row r="1706" customFormat="false" ht="15" hidden="false" customHeight="false" outlineLevel="0" collapsed="false">
      <c r="A1706" s="45" t="n">
        <v>1911</v>
      </c>
      <c r="B1706" s="46" t="n">
        <v>46258</v>
      </c>
      <c r="C1706" s="45" t="s">
        <v>135</v>
      </c>
      <c r="D1706" s="45" t="s">
        <v>136</v>
      </c>
      <c r="E1706" s="45" t="s">
        <v>3244</v>
      </c>
      <c r="F1706" s="45" t="s">
        <v>3245</v>
      </c>
      <c r="G1706" s="46" t="n">
        <v>46252</v>
      </c>
      <c r="H1706" s="45" t="s">
        <v>167</v>
      </c>
      <c r="I1706" s="45" t="s">
        <v>176</v>
      </c>
      <c r="J1706" s="45" t="s">
        <v>3457</v>
      </c>
      <c r="K1706" s="45" t="n">
        <v>6.4</v>
      </c>
      <c r="L1706" s="45" t="s">
        <v>259</v>
      </c>
      <c r="M1706" s="45" t="s">
        <v>259</v>
      </c>
      <c r="N1706" s="45" t="s">
        <v>167</v>
      </c>
      <c r="O1706" s="47" t="n">
        <v>46258.7444675926</v>
      </c>
      <c r="P1706" s="47" t="n">
        <v>46258.7488888889</v>
      </c>
    </row>
    <row r="1707" customFormat="false" ht="15" hidden="false" customHeight="false" outlineLevel="0" collapsed="false">
      <c r="A1707" s="45" t="n">
        <v>1912</v>
      </c>
      <c r="B1707" s="46" t="n">
        <v>46258</v>
      </c>
      <c r="C1707" s="45" t="s">
        <v>135</v>
      </c>
      <c r="D1707" s="45" t="s">
        <v>136</v>
      </c>
      <c r="E1707" s="45" t="s">
        <v>1833</v>
      </c>
      <c r="F1707" s="45" t="s">
        <v>3458</v>
      </c>
      <c r="G1707" s="46" t="n">
        <v>46252</v>
      </c>
      <c r="H1707" s="45" t="s">
        <v>167</v>
      </c>
      <c r="I1707" s="45" t="s">
        <v>180</v>
      </c>
      <c r="J1707" s="45" t="s">
        <v>3459</v>
      </c>
      <c r="K1707" s="45" t="n">
        <v>2</v>
      </c>
      <c r="L1707" s="45" t="s">
        <v>259</v>
      </c>
      <c r="M1707" s="45" t="s">
        <v>259</v>
      </c>
      <c r="N1707" s="45" t="s">
        <v>167</v>
      </c>
      <c r="O1707" s="47" t="n">
        <v>46258.7490625</v>
      </c>
      <c r="P1707" s="47" t="n">
        <v>46258.750462963</v>
      </c>
    </row>
    <row r="1708" customFormat="false" ht="15" hidden="false" customHeight="false" outlineLevel="0" collapsed="false">
      <c r="A1708" s="45" t="n">
        <v>1913</v>
      </c>
      <c r="B1708" s="46" t="n">
        <v>46258</v>
      </c>
      <c r="C1708" s="45" t="s">
        <v>135</v>
      </c>
      <c r="D1708" s="45" t="s">
        <v>136</v>
      </c>
      <c r="E1708" s="45" t="s">
        <v>218</v>
      </c>
      <c r="F1708" s="45" t="s">
        <v>3460</v>
      </c>
      <c r="G1708" s="46" t="n">
        <v>46251</v>
      </c>
      <c r="H1708" s="45" t="s">
        <v>167</v>
      </c>
      <c r="I1708" s="45" t="s">
        <v>180</v>
      </c>
      <c r="J1708" s="45" t="s">
        <v>3461</v>
      </c>
      <c r="K1708" s="45" t="n">
        <v>8.8</v>
      </c>
      <c r="L1708" s="45" t="s">
        <v>259</v>
      </c>
      <c r="M1708" s="45" t="s">
        <v>259</v>
      </c>
      <c r="N1708" s="45" t="s">
        <v>167</v>
      </c>
      <c r="O1708" s="47" t="n">
        <v>46258.7505439815</v>
      </c>
      <c r="P1708" s="47" t="n">
        <v>46258.7566203704</v>
      </c>
    </row>
    <row r="1709" customFormat="false" ht="15" hidden="false" customHeight="false" outlineLevel="0" collapsed="false">
      <c r="A1709" s="45" t="n">
        <v>1914</v>
      </c>
      <c r="B1709" s="46" t="n">
        <v>46258</v>
      </c>
      <c r="C1709" s="45" t="s">
        <v>135</v>
      </c>
      <c r="D1709" s="45" t="s">
        <v>136</v>
      </c>
      <c r="E1709" s="45" t="s">
        <v>3298</v>
      </c>
      <c r="F1709" s="45" t="s">
        <v>3462</v>
      </c>
      <c r="G1709" s="46" t="n">
        <v>46251</v>
      </c>
      <c r="H1709" s="45" t="s">
        <v>167</v>
      </c>
      <c r="I1709" s="45" t="s">
        <v>178</v>
      </c>
      <c r="J1709" s="45" t="s">
        <v>2507</v>
      </c>
      <c r="K1709" s="45" t="n">
        <v>2.1</v>
      </c>
      <c r="L1709" s="45" t="s">
        <v>263</v>
      </c>
      <c r="M1709" s="45" t="s">
        <v>259</v>
      </c>
      <c r="N1709" s="45" t="s">
        <v>167</v>
      </c>
      <c r="O1709" s="47" t="n">
        <v>46258.7573726852</v>
      </c>
      <c r="P1709" s="47" t="n">
        <v>46258.7588425926</v>
      </c>
    </row>
    <row r="1710" customFormat="false" ht="15" hidden="false" customHeight="false" outlineLevel="0" collapsed="false">
      <c r="A1710" s="45" t="n">
        <v>1915</v>
      </c>
      <c r="B1710" s="46" t="n">
        <v>46258</v>
      </c>
      <c r="C1710" s="45" t="s">
        <v>135</v>
      </c>
      <c r="D1710" s="45" t="s">
        <v>136</v>
      </c>
      <c r="E1710" s="45" t="s">
        <v>226</v>
      </c>
      <c r="F1710" s="45" t="s">
        <v>3463</v>
      </c>
      <c r="G1710" s="46" t="n">
        <v>46255</v>
      </c>
      <c r="H1710" s="45" t="s">
        <v>169</v>
      </c>
      <c r="I1710" s="45"/>
      <c r="J1710" s="45"/>
      <c r="K1710" s="45" t="n">
        <v>5.9</v>
      </c>
      <c r="L1710" s="45" t="s">
        <v>263</v>
      </c>
      <c r="M1710" s="45" t="s">
        <v>259</v>
      </c>
      <c r="N1710" s="45" t="s">
        <v>169</v>
      </c>
      <c r="O1710" s="47" t="n">
        <v>46258.7687615741</v>
      </c>
      <c r="P1710" s="47" t="n">
        <v>46258.7728703704</v>
      </c>
    </row>
    <row r="1711" customFormat="false" ht="15" hidden="false" customHeight="false" outlineLevel="0" collapsed="false">
      <c r="A1711" s="45" t="n">
        <v>1916</v>
      </c>
      <c r="B1711" s="46" t="n">
        <v>46258</v>
      </c>
      <c r="C1711" s="45" t="s">
        <v>135</v>
      </c>
      <c r="D1711" s="45" t="s">
        <v>136</v>
      </c>
      <c r="E1711" s="45" t="s">
        <v>3411</v>
      </c>
      <c r="F1711" s="45" t="s">
        <v>3464</v>
      </c>
      <c r="G1711" s="46" t="n">
        <v>46254</v>
      </c>
      <c r="H1711" s="45" t="s">
        <v>167</v>
      </c>
      <c r="I1711" s="45" t="s">
        <v>177</v>
      </c>
      <c r="J1711" s="45" t="s">
        <v>3465</v>
      </c>
      <c r="K1711" s="45" t="n">
        <v>5.8</v>
      </c>
      <c r="L1711" s="45" t="s">
        <v>263</v>
      </c>
      <c r="M1711" s="45" t="s">
        <v>259</v>
      </c>
      <c r="N1711" s="45" t="s">
        <v>167</v>
      </c>
      <c r="O1711" s="47" t="n">
        <v>46258.7729861111</v>
      </c>
      <c r="P1711" s="47" t="n">
        <v>46258.777025463</v>
      </c>
    </row>
    <row r="1712" customFormat="false" ht="15" hidden="false" customHeight="false" outlineLevel="0" collapsed="false">
      <c r="A1712" s="45" t="n">
        <v>1917</v>
      </c>
      <c r="B1712" s="46" t="n">
        <v>46258</v>
      </c>
      <c r="C1712" s="45" t="s">
        <v>135</v>
      </c>
      <c r="D1712" s="45" t="s">
        <v>136</v>
      </c>
      <c r="E1712" s="45" t="s">
        <v>1833</v>
      </c>
      <c r="F1712" s="45" t="s">
        <v>3458</v>
      </c>
      <c r="G1712" s="46" t="n">
        <v>46252</v>
      </c>
      <c r="H1712" s="45" t="s">
        <v>168</v>
      </c>
      <c r="I1712" s="45" t="s">
        <v>191</v>
      </c>
      <c r="J1712" s="45" t="s">
        <v>3466</v>
      </c>
      <c r="K1712" s="45" t="n">
        <v>3.1</v>
      </c>
      <c r="L1712" s="45" t="s">
        <v>259</v>
      </c>
      <c r="M1712" s="45" t="s">
        <v>259</v>
      </c>
      <c r="N1712" s="45" t="s">
        <v>2559</v>
      </c>
      <c r="O1712" s="47" t="n">
        <v>46258.7770601852</v>
      </c>
      <c r="P1712" s="47" t="n">
        <v>46258.7792476852</v>
      </c>
    </row>
    <row r="1713" customFormat="false" ht="15" hidden="false" customHeight="false" outlineLevel="0" collapsed="false">
      <c r="A1713" s="45" t="n">
        <v>1918</v>
      </c>
      <c r="B1713" s="46" t="n">
        <v>46258</v>
      </c>
      <c r="C1713" s="45" t="s">
        <v>135</v>
      </c>
      <c r="D1713" s="45" t="s">
        <v>136</v>
      </c>
      <c r="E1713" s="45" t="s">
        <v>218</v>
      </c>
      <c r="F1713" s="45" t="s">
        <v>3460</v>
      </c>
      <c r="G1713" s="46" t="n">
        <v>46251</v>
      </c>
      <c r="H1713" s="45" t="s">
        <v>167</v>
      </c>
      <c r="I1713" s="45" t="s">
        <v>180</v>
      </c>
      <c r="J1713" s="45" t="s">
        <v>3467</v>
      </c>
      <c r="K1713" s="45" t="n">
        <v>58.1</v>
      </c>
      <c r="L1713" s="45" t="s">
        <v>259</v>
      </c>
      <c r="M1713" s="45" t="s">
        <v>259</v>
      </c>
      <c r="N1713" s="45" t="s">
        <v>167</v>
      </c>
      <c r="O1713" s="47" t="n">
        <v>46258.7801041667</v>
      </c>
      <c r="P1713" s="47" t="n">
        <v>46258.8204398148</v>
      </c>
    </row>
    <row r="1714" customFormat="false" ht="15" hidden="false" customHeight="false" outlineLevel="0" collapsed="false">
      <c r="A1714" s="45" t="n">
        <v>1919</v>
      </c>
      <c r="B1714" s="46" t="n">
        <v>46258</v>
      </c>
      <c r="C1714" s="45" t="s">
        <v>135</v>
      </c>
      <c r="D1714" s="45" t="s">
        <v>136</v>
      </c>
      <c r="E1714" s="45" t="s">
        <v>218</v>
      </c>
      <c r="F1714" s="45" t="s">
        <v>3468</v>
      </c>
      <c r="G1714" s="46" t="n">
        <v>46251</v>
      </c>
      <c r="H1714" s="45" t="s">
        <v>167</v>
      </c>
      <c r="I1714" s="45" t="s">
        <v>180</v>
      </c>
      <c r="J1714" s="45" t="s">
        <v>3469</v>
      </c>
      <c r="K1714" s="45" t="n">
        <v>30.1</v>
      </c>
      <c r="L1714" s="45" t="s">
        <v>263</v>
      </c>
      <c r="M1714" s="45" t="s">
        <v>259</v>
      </c>
      <c r="N1714" s="45" t="s">
        <v>167</v>
      </c>
      <c r="O1714" s="47" t="n">
        <v>46258.8205787037</v>
      </c>
      <c r="P1714" s="47" t="n">
        <v>46258.8414583333</v>
      </c>
    </row>
    <row r="1715" customFormat="false" ht="15" hidden="false" customHeight="false" outlineLevel="0" collapsed="false">
      <c r="A1715" s="45" t="n">
        <v>1921</v>
      </c>
      <c r="B1715" s="46" t="n">
        <v>46258</v>
      </c>
      <c r="C1715" s="45" t="s">
        <v>135</v>
      </c>
      <c r="D1715" s="45" t="s">
        <v>136</v>
      </c>
      <c r="E1715" s="45" t="s">
        <v>492</v>
      </c>
      <c r="F1715" s="45" t="s">
        <v>3470</v>
      </c>
      <c r="G1715" s="46" t="n">
        <v>46250</v>
      </c>
      <c r="H1715" s="45" t="s">
        <v>168</v>
      </c>
      <c r="I1715" s="45" t="s">
        <v>191</v>
      </c>
      <c r="J1715" s="45" t="s">
        <v>3471</v>
      </c>
      <c r="K1715" s="45" t="n">
        <v>31.6</v>
      </c>
      <c r="L1715" s="45" t="s">
        <v>263</v>
      </c>
      <c r="M1715" s="45" t="s">
        <v>259</v>
      </c>
      <c r="N1715" s="45" t="s">
        <v>2559</v>
      </c>
      <c r="O1715" s="47" t="n">
        <v>46258.8415277778</v>
      </c>
      <c r="P1715" s="47" t="n">
        <v>46258.8635069444</v>
      </c>
    </row>
    <row r="1716" customFormat="false" ht="15" hidden="false" customHeight="false" outlineLevel="0" collapsed="false">
      <c r="A1716" s="45" t="n">
        <v>1920</v>
      </c>
      <c r="B1716" s="46" t="n">
        <v>46258</v>
      </c>
      <c r="C1716" s="45" t="s">
        <v>133</v>
      </c>
      <c r="D1716" s="45" t="s">
        <v>134</v>
      </c>
      <c r="E1716" s="45" t="s">
        <v>2542</v>
      </c>
      <c r="F1716" s="45" t="s">
        <v>3472</v>
      </c>
      <c r="G1716" s="46" t="n">
        <v>46250</v>
      </c>
      <c r="H1716" s="45" t="s">
        <v>167</v>
      </c>
      <c r="I1716" s="45" t="s">
        <v>179</v>
      </c>
      <c r="J1716" s="45" t="s">
        <v>3473</v>
      </c>
      <c r="K1716" s="45" t="n">
        <v>1.6</v>
      </c>
      <c r="L1716" s="45" t="s">
        <v>263</v>
      </c>
      <c r="M1716" s="45" t="s">
        <v>259</v>
      </c>
      <c r="N1716" s="45" t="s">
        <v>167</v>
      </c>
      <c r="O1716" s="47" t="n">
        <v>46258.8572916667</v>
      </c>
      <c r="P1716" s="47" t="n">
        <v>46258.8583680556</v>
      </c>
    </row>
    <row r="1717" customFormat="false" ht="15" hidden="false" customHeight="false" outlineLevel="0" collapsed="false">
      <c r="A1717" s="45" t="n">
        <v>1927</v>
      </c>
      <c r="B1717" s="46" t="n">
        <v>46258</v>
      </c>
      <c r="C1717" s="45" t="s">
        <v>133</v>
      </c>
      <c r="D1717" s="45" t="s">
        <v>134</v>
      </c>
      <c r="E1717" s="45" t="s">
        <v>2542</v>
      </c>
      <c r="F1717" s="45" t="s">
        <v>3474</v>
      </c>
      <c r="G1717" s="46" t="n">
        <v>46253</v>
      </c>
      <c r="H1717" s="45" t="s">
        <v>167</v>
      </c>
      <c r="I1717" s="45" t="s">
        <v>179</v>
      </c>
      <c r="J1717" s="45" t="s">
        <v>3475</v>
      </c>
      <c r="K1717" s="45" t="n">
        <v>136.1</v>
      </c>
      <c r="L1717" s="45" t="s">
        <v>263</v>
      </c>
      <c r="M1717" s="45" t="s">
        <v>259</v>
      </c>
      <c r="N1717" s="45" t="s">
        <v>167</v>
      </c>
      <c r="O1717" s="47" t="n">
        <v>46258.8584027778</v>
      </c>
      <c r="P1717" s="47" t="n">
        <v>46258.9529282407</v>
      </c>
    </row>
    <row r="1718" customFormat="false" ht="15" hidden="false" customHeight="false" outlineLevel="0" collapsed="false">
      <c r="A1718" s="45" t="n">
        <v>1922</v>
      </c>
      <c r="B1718" s="46" t="n">
        <v>46258</v>
      </c>
      <c r="C1718" s="45" t="s">
        <v>135</v>
      </c>
      <c r="D1718" s="45" t="s">
        <v>136</v>
      </c>
      <c r="E1718" s="45" t="s">
        <v>408</v>
      </c>
      <c r="F1718" s="45" t="s">
        <v>3476</v>
      </c>
      <c r="G1718" s="46" t="n">
        <v>46249</v>
      </c>
      <c r="H1718" s="45" t="s">
        <v>168</v>
      </c>
      <c r="I1718" s="45" t="s">
        <v>192</v>
      </c>
      <c r="J1718" s="45" t="s">
        <v>3477</v>
      </c>
      <c r="K1718" s="45" t="n">
        <v>2.4</v>
      </c>
      <c r="L1718" s="45" t="s">
        <v>263</v>
      </c>
      <c r="M1718" s="45" t="s">
        <v>259</v>
      </c>
      <c r="N1718" s="45" t="s">
        <v>2559</v>
      </c>
      <c r="O1718" s="47" t="n">
        <v>46258.8636226852</v>
      </c>
      <c r="P1718" s="47" t="n">
        <v>46258.8653125</v>
      </c>
    </row>
    <row r="1719" customFormat="false" ht="15" hidden="false" customHeight="false" outlineLevel="0" collapsed="false">
      <c r="A1719" s="45" t="n">
        <v>1923</v>
      </c>
      <c r="B1719" s="46" t="n">
        <v>46258</v>
      </c>
      <c r="C1719" s="45" t="s">
        <v>135</v>
      </c>
      <c r="D1719" s="45" t="s">
        <v>136</v>
      </c>
      <c r="E1719" s="45" t="s">
        <v>475</v>
      </c>
      <c r="F1719" s="45" t="s">
        <v>3478</v>
      </c>
      <c r="G1719" s="46" t="n">
        <v>46249</v>
      </c>
      <c r="H1719" s="45" t="s">
        <v>57</v>
      </c>
      <c r="I1719" s="45" t="s">
        <v>200</v>
      </c>
      <c r="J1719" s="45" t="s">
        <v>3479</v>
      </c>
      <c r="K1719" s="45" t="n">
        <v>4.7</v>
      </c>
      <c r="L1719" s="45" t="s">
        <v>263</v>
      </c>
      <c r="M1719" s="45" t="s">
        <v>259</v>
      </c>
      <c r="N1719" s="45" t="s">
        <v>57</v>
      </c>
      <c r="O1719" s="47" t="n">
        <v>46258.865462963</v>
      </c>
      <c r="P1719" s="47" t="n">
        <v>46258.8687384259</v>
      </c>
    </row>
    <row r="1720" customFormat="false" ht="15" hidden="false" customHeight="false" outlineLevel="0" collapsed="false">
      <c r="A1720" s="45" t="n">
        <v>1924</v>
      </c>
      <c r="B1720" s="46" t="n">
        <v>46258</v>
      </c>
      <c r="C1720" s="45" t="s">
        <v>135</v>
      </c>
      <c r="D1720" s="45" t="s">
        <v>136</v>
      </c>
      <c r="E1720" s="45" t="s">
        <v>238</v>
      </c>
      <c r="F1720" s="45" t="s">
        <v>3480</v>
      </c>
      <c r="G1720" s="46" t="n">
        <v>46249</v>
      </c>
      <c r="H1720" s="45" t="s">
        <v>168</v>
      </c>
      <c r="I1720" s="45" t="s">
        <v>196</v>
      </c>
      <c r="J1720" s="45" t="s">
        <v>3481</v>
      </c>
      <c r="K1720" s="45" t="n">
        <v>11.4</v>
      </c>
      <c r="L1720" s="45" t="s">
        <v>263</v>
      </c>
      <c r="M1720" s="45" t="s">
        <v>259</v>
      </c>
      <c r="N1720" s="45" t="s">
        <v>2559</v>
      </c>
      <c r="O1720" s="47" t="n">
        <v>46258.8687615741</v>
      </c>
      <c r="P1720" s="47" t="n">
        <v>46258.8766782407</v>
      </c>
    </row>
    <row r="1721" customFormat="false" ht="15" hidden="false" customHeight="false" outlineLevel="0" collapsed="false">
      <c r="A1721" s="45" t="n">
        <v>1925</v>
      </c>
      <c r="B1721" s="46" t="n">
        <v>46258</v>
      </c>
      <c r="C1721" s="45" t="s">
        <v>135</v>
      </c>
      <c r="D1721" s="45" t="s">
        <v>136</v>
      </c>
      <c r="E1721" s="45" t="s">
        <v>236</v>
      </c>
      <c r="F1721" s="45" t="s">
        <v>3482</v>
      </c>
      <c r="G1721" s="46" t="n">
        <v>46248</v>
      </c>
      <c r="H1721" s="45" t="s">
        <v>168</v>
      </c>
      <c r="I1721" s="45" t="s">
        <v>192</v>
      </c>
      <c r="J1721" s="45" t="s">
        <v>3483</v>
      </c>
      <c r="K1721" s="45" t="n">
        <v>3.6</v>
      </c>
      <c r="L1721" s="45" t="s">
        <v>263</v>
      </c>
      <c r="M1721" s="45" t="s">
        <v>259</v>
      </c>
      <c r="N1721" s="45" t="s">
        <v>2559</v>
      </c>
      <c r="O1721" s="47" t="n">
        <v>46258.8768055556</v>
      </c>
      <c r="P1721" s="47" t="n">
        <v>46258.8793171296</v>
      </c>
    </row>
    <row r="1722" customFormat="false" ht="15" hidden="false" customHeight="false" outlineLevel="0" collapsed="false">
      <c r="A1722" s="45" t="n">
        <v>1926</v>
      </c>
      <c r="B1722" s="46" t="n">
        <v>46258</v>
      </c>
      <c r="C1722" s="45" t="s">
        <v>135</v>
      </c>
      <c r="D1722" s="45" t="s">
        <v>136</v>
      </c>
      <c r="E1722" s="45" t="s">
        <v>492</v>
      </c>
      <c r="F1722" s="45" t="s">
        <v>3484</v>
      </c>
      <c r="G1722" s="46" t="n">
        <v>46248</v>
      </c>
      <c r="H1722" s="45" t="s">
        <v>57</v>
      </c>
      <c r="I1722" s="45" t="s">
        <v>201</v>
      </c>
      <c r="J1722" s="45" t="s">
        <v>3485</v>
      </c>
      <c r="K1722" s="45" t="n">
        <v>8.5</v>
      </c>
      <c r="L1722" s="45" t="s">
        <v>263</v>
      </c>
      <c r="M1722" s="45" t="s">
        <v>259</v>
      </c>
      <c r="N1722" s="45" t="s">
        <v>57</v>
      </c>
      <c r="O1722" s="47" t="n">
        <v>46258.8793402778</v>
      </c>
      <c r="P1722" s="47" t="n">
        <v>46258.8852430556</v>
      </c>
    </row>
    <row r="1723" customFormat="false" ht="15" hidden="false" customHeight="false" outlineLevel="0" collapsed="false">
      <c r="A1723" s="45" t="n">
        <v>1928</v>
      </c>
      <c r="B1723" s="46" t="n">
        <v>46258</v>
      </c>
      <c r="C1723" s="45" t="s">
        <v>135</v>
      </c>
      <c r="D1723" s="45" t="s">
        <v>136</v>
      </c>
      <c r="E1723" s="45" t="s">
        <v>475</v>
      </c>
      <c r="F1723" s="45" t="s">
        <v>3486</v>
      </c>
      <c r="G1723" s="46" t="n">
        <v>46247</v>
      </c>
      <c r="H1723" s="45" t="s">
        <v>168</v>
      </c>
      <c r="I1723" s="45" t="s">
        <v>192</v>
      </c>
      <c r="J1723" s="45" t="s">
        <v>3487</v>
      </c>
      <c r="K1723" s="45" t="n">
        <v>153.6</v>
      </c>
      <c r="L1723" s="45" t="s">
        <v>263</v>
      </c>
      <c r="M1723" s="45" t="s">
        <v>259</v>
      </c>
      <c r="N1723" s="45" t="s">
        <v>2559</v>
      </c>
      <c r="O1723" s="47" t="n">
        <v>46258.9123958333</v>
      </c>
      <c r="P1723" s="47" t="n">
        <v>46259.0190625</v>
      </c>
    </row>
    <row r="1724" customFormat="false" ht="15" hidden="false" customHeight="false" outlineLevel="0" collapsed="false">
      <c r="A1724" s="45" t="n">
        <v>1929</v>
      </c>
      <c r="B1724" s="46" t="n">
        <v>46259</v>
      </c>
      <c r="C1724" s="45" t="s">
        <v>135</v>
      </c>
      <c r="D1724" s="45" t="s">
        <v>136</v>
      </c>
      <c r="E1724" s="45" t="s">
        <v>226</v>
      </c>
      <c r="F1724" s="45" t="s">
        <v>3488</v>
      </c>
      <c r="G1724" s="46" t="n">
        <v>46246</v>
      </c>
      <c r="H1724" s="45" t="s">
        <v>169</v>
      </c>
      <c r="I1724" s="45"/>
      <c r="J1724" s="45"/>
      <c r="K1724" s="45" t="n">
        <v>19</v>
      </c>
      <c r="L1724" s="45" t="s">
        <v>263</v>
      </c>
      <c r="M1724" s="45" t="s">
        <v>259</v>
      </c>
      <c r="N1724" s="45" t="s">
        <v>169</v>
      </c>
      <c r="O1724" s="47" t="n">
        <v>46259.0206944444</v>
      </c>
      <c r="P1724" s="47" t="n">
        <v>46259.033912037</v>
      </c>
    </row>
    <row r="1725" customFormat="false" ht="15" hidden="false" customHeight="false" outlineLevel="0" collapsed="false">
      <c r="A1725" s="45" t="n">
        <v>1930</v>
      </c>
      <c r="B1725" s="46" t="n">
        <v>46259</v>
      </c>
      <c r="C1725" s="45" t="s">
        <v>135</v>
      </c>
      <c r="D1725" s="45" t="s">
        <v>136</v>
      </c>
      <c r="E1725" s="45" t="s">
        <v>577</v>
      </c>
      <c r="F1725" s="45" t="s">
        <v>3489</v>
      </c>
      <c r="G1725" s="46" t="n">
        <v>46239</v>
      </c>
      <c r="H1725" s="45" t="s">
        <v>167</v>
      </c>
      <c r="I1725" s="45" t="s">
        <v>181</v>
      </c>
      <c r="J1725" s="45" t="s">
        <v>3490</v>
      </c>
      <c r="K1725" s="45" t="n">
        <v>10.1</v>
      </c>
      <c r="L1725" s="45" t="s">
        <v>263</v>
      </c>
      <c r="M1725" s="45" t="s">
        <v>259</v>
      </c>
      <c r="N1725" s="45" t="s">
        <v>167</v>
      </c>
      <c r="O1725" s="47" t="n">
        <v>46259.0340046296</v>
      </c>
      <c r="P1725" s="47" t="n">
        <v>46259.0409837963</v>
      </c>
    </row>
    <row r="1726" customFormat="false" ht="15" hidden="false" customHeight="false" outlineLevel="0" collapsed="false">
      <c r="A1726" s="45" t="n">
        <v>1931</v>
      </c>
      <c r="B1726" s="46" t="n">
        <v>46259</v>
      </c>
      <c r="C1726" s="45" t="s">
        <v>141</v>
      </c>
      <c r="D1726" s="45" t="s">
        <v>142</v>
      </c>
      <c r="E1726" s="45" t="s">
        <v>231</v>
      </c>
      <c r="F1726" s="45" t="s">
        <v>3491</v>
      </c>
      <c r="G1726" s="46" t="n">
        <v>46257</v>
      </c>
      <c r="H1726" s="45" t="s">
        <v>167</v>
      </c>
      <c r="I1726" s="45" t="s">
        <v>178</v>
      </c>
      <c r="J1726" s="45" t="s">
        <v>3492</v>
      </c>
      <c r="K1726" s="45" t="n">
        <v>59.5</v>
      </c>
      <c r="L1726" s="45" t="s">
        <v>263</v>
      </c>
      <c r="M1726" s="45" t="s">
        <v>259</v>
      </c>
      <c r="N1726" s="45" t="s">
        <v>167</v>
      </c>
      <c r="O1726" s="47" t="n">
        <v>46259.2373148148</v>
      </c>
      <c r="P1726" s="47" t="n">
        <v>46259.2786689815</v>
      </c>
    </row>
    <row r="1727" customFormat="false" ht="15" hidden="false" customHeight="false" outlineLevel="0" collapsed="false">
      <c r="A1727" s="45" t="n">
        <v>1932</v>
      </c>
      <c r="B1727" s="46" t="n">
        <v>46259</v>
      </c>
      <c r="C1727" s="45" t="s">
        <v>141</v>
      </c>
      <c r="D1727" s="45" t="s">
        <v>142</v>
      </c>
      <c r="E1727" s="45" t="s">
        <v>1027</v>
      </c>
      <c r="F1727" s="45" t="s">
        <v>3493</v>
      </c>
      <c r="G1727" s="46" t="n">
        <v>46256</v>
      </c>
      <c r="H1727" s="45" t="s">
        <v>167</v>
      </c>
      <c r="I1727" s="45" t="s">
        <v>176</v>
      </c>
      <c r="J1727" s="45" t="s">
        <v>3494</v>
      </c>
      <c r="K1727" s="45" t="n">
        <v>3.6</v>
      </c>
      <c r="L1727" s="45" t="s">
        <v>263</v>
      </c>
      <c r="M1727" s="45" t="s">
        <v>259</v>
      </c>
      <c r="N1727" s="45" t="s">
        <v>167</v>
      </c>
      <c r="O1727" s="47" t="n">
        <v>46259.3211458333</v>
      </c>
      <c r="P1727" s="47" t="n">
        <v>46259.3236458333</v>
      </c>
    </row>
    <row r="1728" customFormat="false" ht="15" hidden="false" customHeight="false" outlineLevel="0" collapsed="false">
      <c r="A1728" s="45" t="n">
        <v>1933</v>
      </c>
      <c r="B1728" s="46" t="n">
        <v>46259</v>
      </c>
      <c r="C1728" s="45" t="s">
        <v>141</v>
      </c>
      <c r="D1728" s="45" t="s">
        <v>142</v>
      </c>
      <c r="E1728" s="45" t="s">
        <v>230</v>
      </c>
      <c r="F1728" s="45" t="s">
        <v>3495</v>
      </c>
      <c r="G1728" s="46" t="n">
        <v>46256</v>
      </c>
      <c r="H1728" s="45" t="s">
        <v>167</v>
      </c>
      <c r="I1728" s="45" t="s">
        <v>180</v>
      </c>
      <c r="J1728" s="45" t="s">
        <v>3496</v>
      </c>
      <c r="K1728" s="45" t="n">
        <v>1.1</v>
      </c>
      <c r="L1728" s="45" t="s">
        <v>263</v>
      </c>
      <c r="M1728" s="45" t="s">
        <v>259</v>
      </c>
      <c r="N1728" s="45" t="s">
        <v>167</v>
      </c>
      <c r="O1728" s="47" t="n">
        <v>46259.3327083333</v>
      </c>
      <c r="P1728" s="47" t="n">
        <v>46259.3334606482</v>
      </c>
    </row>
    <row r="1729" customFormat="false" ht="15" hidden="false" customHeight="false" outlineLevel="0" collapsed="false">
      <c r="A1729" s="45" t="n">
        <v>1934</v>
      </c>
      <c r="B1729" s="46" t="n">
        <v>46260</v>
      </c>
      <c r="C1729" s="45" t="s">
        <v>135</v>
      </c>
      <c r="D1729" s="45" t="s">
        <v>136</v>
      </c>
      <c r="E1729" s="45" t="s">
        <v>492</v>
      </c>
      <c r="F1729" s="45" t="s">
        <v>3497</v>
      </c>
      <c r="G1729" s="46" t="n">
        <v>46240</v>
      </c>
      <c r="H1729" s="45" t="s">
        <v>167</v>
      </c>
      <c r="I1729" s="45" t="s">
        <v>178</v>
      </c>
      <c r="J1729" s="45" t="s">
        <v>3498</v>
      </c>
      <c r="K1729" s="45" t="n">
        <v>2.4</v>
      </c>
      <c r="L1729" s="45" t="s">
        <v>263</v>
      </c>
      <c r="M1729" s="45" t="s">
        <v>259</v>
      </c>
      <c r="N1729" s="45" t="s">
        <v>167</v>
      </c>
      <c r="O1729" s="47" t="n">
        <v>46260.0400578704</v>
      </c>
      <c r="P1729" s="47" t="n">
        <v>46260.0417476852</v>
      </c>
    </row>
    <row r="1730" customFormat="false" ht="15" hidden="false" customHeight="false" outlineLevel="0" collapsed="false">
      <c r="A1730" s="45" t="n">
        <v>1935</v>
      </c>
      <c r="B1730" s="46" t="n">
        <v>46260</v>
      </c>
      <c r="C1730" s="45" t="s">
        <v>141</v>
      </c>
      <c r="D1730" s="45" t="s">
        <v>142</v>
      </c>
      <c r="E1730" s="45" t="s">
        <v>3223</v>
      </c>
      <c r="F1730" s="45" t="s">
        <v>3499</v>
      </c>
      <c r="G1730" s="46" t="n">
        <v>46258</v>
      </c>
      <c r="H1730" s="45" t="s">
        <v>167</v>
      </c>
      <c r="I1730" s="45" t="s">
        <v>185</v>
      </c>
      <c r="J1730" s="45" t="s">
        <v>3500</v>
      </c>
      <c r="K1730" s="45" t="n">
        <v>0.7</v>
      </c>
      <c r="L1730" s="45" t="s">
        <v>263</v>
      </c>
      <c r="M1730" s="45" t="s">
        <v>259</v>
      </c>
      <c r="N1730" s="45" t="s">
        <v>167</v>
      </c>
      <c r="O1730" s="47" t="n">
        <v>46260.1089236111</v>
      </c>
      <c r="P1730" s="47" t="n">
        <v>46260.109375</v>
      </c>
    </row>
    <row r="1731" customFormat="false" ht="15" hidden="false" customHeight="false" outlineLevel="0" collapsed="false">
      <c r="A1731" s="45" t="n">
        <v>1936</v>
      </c>
      <c r="B1731" s="46" t="n">
        <v>46260</v>
      </c>
      <c r="C1731" s="45" t="s">
        <v>141</v>
      </c>
      <c r="D1731" s="45" t="s">
        <v>142</v>
      </c>
      <c r="E1731" s="45" t="s">
        <v>1704</v>
      </c>
      <c r="F1731" s="45" t="s">
        <v>3501</v>
      </c>
      <c r="G1731" s="46" t="n">
        <v>46258</v>
      </c>
      <c r="H1731" s="45" t="s">
        <v>168</v>
      </c>
      <c r="I1731" s="45" t="s">
        <v>191</v>
      </c>
      <c r="J1731" s="45" t="s">
        <v>3502</v>
      </c>
      <c r="K1731" s="45" t="n">
        <v>25.3</v>
      </c>
      <c r="L1731" s="45" t="s">
        <v>263</v>
      </c>
      <c r="M1731" s="45" t="s">
        <v>259</v>
      </c>
      <c r="N1731" s="45" t="s">
        <v>2559</v>
      </c>
      <c r="O1731" s="47" t="n">
        <v>46260.1444675926</v>
      </c>
      <c r="P1731" s="47" t="n">
        <v>46260.162025463</v>
      </c>
    </row>
    <row r="1732" customFormat="false" ht="15" hidden="false" customHeight="false" outlineLevel="0" collapsed="false">
      <c r="A1732" s="45" t="n">
        <v>1937</v>
      </c>
      <c r="B1732" s="46" t="n">
        <v>46260</v>
      </c>
      <c r="C1732" s="45" t="s">
        <v>141</v>
      </c>
      <c r="D1732" s="45" t="s">
        <v>142</v>
      </c>
      <c r="E1732" s="45" t="s">
        <v>1704</v>
      </c>
      <c r="F1732" s="45" t="s">
        <v>3503</v>
      </c>
      <c r="G1732" s="46" t="n">
        <v>46258</v>
      </c>
      <c r="H1732" s="45" t="s">
        <v>57</v>
      </c>
      <c r="I1732" s="45" t="s">
        <v>201</v>
      </c>
      <c r="J1732" s="45" t="s">
        <v>3504</v>
      </c>
      <c r="K1732" s="45" t="n">
        <v>17.3</v>
      </c>
      <c r="L1732" s="45" t="s">
        <v>263</v>
      </c>
      <c r="M1732" s="45" t="s">
        <v>259</v>
      </c>
      <c r="N1732" s="45" t="s">
        <v>57</v>
      </c>
      <c r="O1732" s="47" t="n">
        <v>46260.2631828704</v>
      </c>
      <c r="P1732" s="47" t="n">
        <v>46260.2751851852</v>
      </c>
    </row>
    <row r="1733" customFormat="false" ht="15" hidden="false" customHeight="false" outlineLevel="0" collapsed="false">
      <c r="A1733" s="45" t="n">
        <v>1938</v>
      </c>
      <c r="B1733" s="46" t="n">
        <v>46261</v>
      </c>
      <c r="C1733" s="45" t="s">
        <v>141</v>
      </c>
      <c r="D1733" s="45" t="s">
        <v>142</v>
      </c>
      <c r="E1733" s="45" t="s">
        <v>230</v>
      </c>
      <c r="F1733" s="45" t="s">
        <v>3505</v>
      </c>
      <c r="G1733" s="46" t="n">
        <v>46257</v>
      </c>
      <c r="H1733" s="45" t="s">
        <v>167</v>
      </c>
      <c r="I1733" s="45" t="s">
        <v>176</v>
      </c>
      <c r="J1733" s="45" t="s">
        <v>3506</v>
      </c>
      <c r="K1733" s="45" t="n">
        <v>2.7</v>
      </c>
      <c r="L1733" s="45" t="s">
        <v>263</v>
      </c>
      <c r="M1733" s="45" t="s">
        <v>259</v>
      </c>
      <c r="N1733" s="45" t="s">
        <v>167</v>
      </c>
      <c r="O1733" s="47" t="n">
        <v>46261.0725115741</v>
      </c>
      <c r="P1733" s="47" t="n">
        <v>46261.0743865741</v>
      </c>
    </row>
    <row r="1734" customFormat="false" ht="15" hidden="false" customHeight="false" outlineLevel="0" collapsed="false">
      <c r="A1734" s="45" t="n">
        <v>1939</v>
      </c>
      <c r="B1734" s="46" t="n">
        <v>46261</v>
      </c>
      <c r="C1734" s="45" t="s">
        <v>141</v>
      </c>
      <c r="D1734" s="45" t="s">
        <v>142</v>
      </c>
      <c r="E1734" s="45" t="s">
        <v>225</v>
      </c>
      <c r="F1734" s="45" t="s">
        <v>3507</v>
      </c>
      <c r="G1734" s="46" t="n">
        <v>46259</v>
      </c>
      <c r="H1734" s="45" t="s">
        <v>167</v>
      </c>
      <c r="I1734" s="45" t="s">
        <v>179</v>
      </c>
      <c r="J1734" s="45" t="s">
        <v>3508</v>
      </c>
      <c r="K1734" s="45" t="n">
        <v>0.3</v>
      </c>
      <c r="L1734" s="45" t="s">
        <v>263</v>
      </c>
      <c r="M1734" s="45" t="s">
        <v>259</v>
      </c>
      <c r="N1734" s="45" t="s">
        <v>167</v>
      </c>
      <c r="O1734" s="47" t="n">
        <v>46261.2211458333</v>
      </c>
      <c r="P1734" s="47" t="n">
        <v>46261.2213657407</v>
      </c>
    </row>
    <row r="1735" customFormat="false" ht="15" hidden="false" customHeight="false" outlineLevel="0" collapsed="false">
      <c r="A1735" s="45" t="n">
        <v>1940</v>
      </c>
      <c r="B1735" s="46" t="n">
        <v>46261</v>
      </c>
      <c r="C1735" s="45" t="s">
        <v>141</v>
      </c>
      <c r="D1735" s="45" t="s">
        <v>142</v>
      </c>
      <c r="E1735" s="45" t="s">
        <v>917</v>
      </c>
      <c r="F1735" s="45" t="s">
        <v>3509</v>
      </c>
      <c r="G1735" s="46" t="n">
        <v>46258</v>
      </c>
      <c r="H1735" s="45" t="s">
        <v>167</v>
      </c>
      <c r="I1735" s="45" t="s">
        <v>184</v>
      </c>
      <c r="J1735" s="45" t="s">
        <v>3510</v>
      </c>
      <c r="K1735" s="45" t="n">
        <v>0.6</v>
      </c>
      <c r="L1735" s="45" t="s">
        <v>259</v>
      </c>
      <c r="M1735" s="45" t="s">
        <v>259</v>
      </c>
      <c r="N1735" s="45" t="s">
        <v>167</v>
      </c>
      <c r="O1735" s="47" t="n">
        <v>46261.2625810185</v>
      </c>
      <c r="P1735" s="47" t="n">
        <v>46261.2629861111</v>
      </c>
    </row>
    <row r="1736" customFormat="false" ht="15" hidden="false" customHeight="false" outlineLevel="0" collapsed="false">
      <c r="A1736" s="45" t="n">
        <v>1941</v>
      </c>
      <c r="B1736" s="46" t="n">
        <v>46261</v>
      </c>
      <c r="C1736" s="45" t="s">
        <v>131</v>
      </c>
      <c r="D1736" s="45" t="s">
        <v>132</v>
      </c>
      <c r="E1736" s="45" t="s">
        <v>240</v>
      </c>
      <c r="F1736" s="45" t="s">
        <v>3511</v>
      </c>
      <c r="G1736" s="46" t="n">
        <v>46260</v>
      </c>
      <c r="H1736" s="45" t="s">
        <v>57</v>
      </c>
      <c r="I1736" s="45" t="s">
        <v>200</v>
      </c>
      <c r="J1736" s="45" t="s">
        <v>3512</v>
      </c>
      <c r="K1736" s="45" t="n">
        <v>1</v>
      </c>
      <c r="L1736" s="45" t="s">
        <v>263</v>
      </c>
      <c r="M1736" s="45" t="s">
        <v>259</v>
      </c>
      <c r="N1736" s="45" t="s">
        <v>57</v>
      </c>
      <c r="O1736" s="47" t="n">
        <v>46261.8892939815</v>
      </c>
      <c r="P1736" s="47" t="n">
        <v>46261.8899884259</v>
      </c>
    </row>
    <row r="1737" customFormat="false" ht="15" hidden="false" customHeight="false" outlineLevel="0" collapsed="false">
      <c r="A1737" s="45" t="n">
        <v>1942</v>
      </c>
      <c r="B1737" s="46" t="n">
        <v>46261</v>
      </c>
      <c r="C1737" s="45" t="s">
        <v>131</v>
      </c>
      <c r="D1737" s="45" t="s">
        <v>132</v>
      </c>
      <c r="E1737" s="45" t="s">
        <v>240</v>
      </c>
      <c r="F1737" s="45" t="s">
        <v>3513</v>
      </c>
      <c r="G1737" s="46" t="n">
        <v>46256</v>
      </c>
      <c r="H1737" s="45" t="s">
        <v>167</v>
      </c>
      <c r="I1737" s="45" t="s">
        <v>177</v>
      </c>
      <c r="J1737" s="45" t="s">
        <v>3514</v>
      </c>
      <c r="K1737" s="45" t="n">
        <v>40.8</v>
      </c>
      <c r="L1737" s="45" t="s">
        <v>263</v>
      </c>
      <c r="M1737" s="45" t="s">
        <v>259</v>
      </c>
      <c r="N1737" s="45" t="s">
        <v>167</v>
      </c>
      <c r="O1737" s="47" t="n">
        <v>46261.9243865741</v>
      </c>
      <c r="P1737" s="47" t="n">
        <v>46261.9527314815</v>
      </c>
    </row>
    <row r="1738" customFormat="false" ht="15" hidden="false" customHeight="false" outlineLevel="0" collapsed="false">
      <c r="A1738" s="45" t="n">
        <v>1943</v>
      </c>
      <c r="B1738" s="46" t="n">
        <v>46261</v>
      </c>
      <c r="C1738" s="45" t="s">
        <v>131</v>
      </c>
      <c r="D1738" s="45" t="s">
        <v>132</v>
      </c>
      <c r="E1738" s="45" t="s">
        <v>240</v>
      </c>
      <c r="F1738" s="45" t="s">
        <v>3515</v>
      </c>
      <c r="G1738" s="46" t="n">
        <v>46260</v>
      </c>
      <c r="H1738" s="45" t="s">
        <v>167</v>
      </c>
      <c r="I1738" s="45" t="s">
        <v>180</v>
      </c>
      <c r="J1738" s="45" t="s">
        <v>3516</v>
      </c>
      <c r="K1738" s="45" t="n">
        <v>1.3</v>
      </c>
      <c r="L1738" s="45" t="s">
        <v>263</v>
      </c>
      <c r="M1738" s="45" t="s">
        <v>259</v>
      </c>
      <c r="N1738" s="45" t="s">
        <v>167</v>
      </c>
      <c r="O1738" s="47" t="n">
        <v>46261.9527430556</v>
      </c>
      <c r="P1738" s="47" t="n">
        <v>46261.9536342593</v>
      </c>
    </row>
    <row r="1739" customFormat="false" ht="15" hidden="false" customHeight="false" outlineLevel="0" collapsed="false">
      <c r="A1739" s="45" t="n">
        <v>1944</v>
      </c>
      <c r="B1739" s="46" t="n">
        <v>46261</v>
      </c>
      <c r="C1739" s="45" t="s">
        <v>135</v>
      </c>
      <c r="D1739" s="45" t="s">
        <v>136</v>
      </c>
      <c r="E1739" s="45" t="s">
        <v>238</v>
      </c>
      <c r="F1739" s="45" t="s">
        <v>3517</v>
      </c>
      <c r="G1739" s="46" t="n">
        <v>46261</v>
      </c>
      <c r="H1739" s="45" t="s">
        <v>167</v>
      </c>
      <c r="I1739" s="45" t="s">
        <v>176</v>
      </c>
      <c r="J1739" s="45" t="s">
        <v>3518</v>
      </c>
      <c r="K1739" s="45" t="n">
        <v>0.8</v>
      </c>
      <c r="L1739" s="45" t="s">
        <v>263</v>
      </c>
      <c r="M1739" s="45" t="s">
        <v>259</v>
      </c>
      <c r="N1739" s="45" t="s">
        <v>167</v>
      </c>
      <c r="O1739" s="47" t="n">
        <v>46261.9973726852</v>
      </c>
      <c r="P1739" s="47" t="n">
        <v>46261.9979166667</v>
      </c>
    </row>
    <row r="1740" customFormat="false" ht="15" hidden="false" customHeight="false" outlineLevel="0" collapsed="false">
      <c r="A1740" s="45" t="n">
        <v>1945</v>
      </c>
      <c r="B1740" s="46" t="n">
        <v>46261</v>
      </c>
      <c r="C1740" s="45" t="s">
        <v>135</v>
      </c>
      <c r="D1740" s="45" t="s">
        <v>136</v>
      </c>
      <c r="E1740" s="45" t="s">
        <v>3519</v>
      </c>
      <c r="F1740" s="45" t="s">
        <v>3520</v>
      </c>
      <c r="G1740" s="46" t="n">
        <v>46260</v>
      </c>
      <c r="H1740" s="45" t="s">
        <v>169</v>
      </c>
      <c r="I1740" s="45"/>
      <c r="J1740" s="45"/>
      <c r="K1740" s="45" t="n">
        <v>2.2</v>
      </c>
      <c r="L1740" s="45" t="s">
        <v>263</v>
      </c>
      <c r="M1740" s="45" t="s">
        <v>259</v>
      </c>
      <c r="N1740" s="45" t="s">
        <v>169</v>
      </c>
      <c r="O1740" s="47" t="n">
        <v>46261.9988310185</v>
      </c>
      <c r="P1740" s="47" t="n">
        <v>46262.0003587963</v>
      </c>
    </row>
    <row r="1741" customFormat="false" ht="15" hidden="false" customHeight="false" outlineLevel="0" collapsed="false">
      <c r="A1741" s="45" t="n">
        <v>1946</v>
      </c>
      <c r="B1741" s="46" t="n">
        <v>46262</v>
      </c>
      <c r="C1741" s="45" t="s">
        <v>135</v>
      </c>
      <c r="D1741" s="45" t="s">
        <v>136</v>
      </c>
      <c r="E1741" s="45" t="s">
        <v>492</v>
      </c>
      <c r="F1741" s="45" t="s">
        <v>3521</v>
      </c>
      <c r="G1741" s="46" t="n">
        <v>46260</v>
      </c>
      <c r="H1741" s="45" t="s">
        <v>168</v>
      </c>
      <c r="I1741" s="45" t="s">
        <v>196</v>
      </c>
      <c r="J1741" s="45" t="s">
        <v>3522</v>
      </c>
      <c r="K1741" s="45" t="n">
        <v>7.2</v>
      </c>
      <c r="L1741" s="45" t="s">
        <v>259</v>
      </c>
      <c r="M1741" s="45" t="s">
        <v>259</v>
      </c>
      <c r="N1741" s="45" t="s">
        <v>2559</v>
      </c>
      <c r="O1741" s="47" t="n">
        <v>46262.0005092593</v>
      </c>
      <c r="P1741" s="47" t="n">
        <v>46262.005474537</v>
      </c>
    </row>
    <row r="1742" customFormat="false" ht="15" hidden="false" customHeight="false" outlineLevel="0" collapsed="false">
      <c r="A1742" s="45" t="n">
        <v>1947</v>
      </c>
      <c r="B1742" s="46" t="n">
        <v>46262</v>
      </c>
      <c r="C1742" s="45" t="s">
        <v>133</v>
      </c>
      <c r="D1742" s="45" t="s">
        <v>134</v>
      </c>
      <c r="E1742" s="45" t="s">
        <v>2539</v>
      </c>
      <c r="F1742" s="45" t="s">
        <v>3523</v>
      </c>
      <c r="G1742" s="46" t="n">
        <v>46261</v>
      </c>
      <c r="H1742" s="45" t="s">
        <v>167</v>
      </c>
      <c r="I1742" s="45" t="s">
        <v>176</v>
      </c>
      <c r="J1742" s="45" t="s">
        <v>3524</v>
      </c>
      <c r="K1742" s="45" t="n">
        <v>15.2</v>
      </c>
      <c r="L1742" s="45" t="s">
        <v>263</v>
      </c>
      <c r="M1742" s="45" t="s">
        <v>259</v>
      </c>
      <c r="N1742" s="45" t="s">
        <v>167</v>
      </c>
      <c r="O1742" s="47" t="n">
        <v>46262.3413078704</v>
      </c>
      <c r="P1742" s="47" t="n">
        <v>46262.3518634259</v>
      </c>
    </row>
    <row r="1743" customFormat="false" ht="15" hidden="false" customHeight="false" outlineLevel="0" collapsed="false">
      <c r="A1743" s="45" t="n">
        <v>1948</v>
      </c>
      <c r="B1743" s="46" t="n">
        <v>46262</v>
      </c>
      <c r="C1743" s="45" t="s">
        <v>133</v>
      </c>
      <c r="D1743" s="45" t="s">
        <v>134</v>
      </c>
      <c r="E1743" s="45" t="s">
        <v>3525</v>
      </c>
      <c r="F1743" s="45" t="s">
        <v>3526</v>
      </c>
      <c r="G1743" s="46" t="n">
        <v>46260</v>
      </c>
      <c r="H1743" s="45" t="s">
        <v>167</v>
      </c>
      <c r="I1743" s="45" t="s">
        <v>179</v>
      </c>
      <c r="J1743" s="45" t="s">
        <v>3527</v>
      </c>
      <c r="K1743" s="45" t="n">
        <v>16.1</v>
      </c>
      <c r="L1743" s="45" t="s">
        <v>263</v>
      </c>
      <c r="M1743" s="45" t="s">
        <v>259</v>
      </c>
      <c r="N1743" s="45" t="s">
        <v>167</v>
      </c>
      <c r="O1743" s="47" t="n">
        <v>46262.3518981482</v>
      </c>
      <c r="P1743" s="47" t="n">
        <v>46262.3631018519</v>
      </c>
    </row>
    <row r="1744" customFormat="false" ht="15" hidden="false" customHeight="false" outlineLevel="0" collapsed="false">
      <c r="A1744" s="45" t="n">
        <v>1949</v>
      </c>
      <c r="B1744" s="46" t="n">
        <v>46262</v>
      </c>
      <c r="C1744" s="45" t="s">
        <v>133</v>
      </c>
      <c r="D1744" s="45" t="s">
        <v>134</v>
      </c>
      <c r="E1744" s="45" t="s">
        <v>3525</v>
      </c>
      <c r="F1744" s="45" t="s">
        <v>3528</v>
      </c>
      <c r="G1744" s="46" t="n">
        <v>46260</v>
      </c>
      <c r="H1744" s="45" t="s">
        <v>167</v>
      </c>
      <c r="I1744" s="45" t="s">
        <v>176</v>
      </c>
      <c r="J1744" s="45" t="s">
        <v>3529</v>
      </c>
      <c r="K1744" s="45" t="n">
        <v>15.7</v>
      </c>
      <c r="L1744" s="45" t="s">
        <v>263</v>
      </c>
      <c r="M1744" s="45" t="s">
        <v>259</v>
      </c>
      <c r="N1744" s="45" t="s">
        <v>167</v>
      </c>
      <c r="O1744" s="47" t="n">
        <v>46262.3638657407</v>
      </c>
      <c r="P1744" s="47" t="n">
        <v>46262.3747569445</v>
      </c>
    </row>
    <row r="1745" customFormat="false" ht="15" hidden="false" customHeight="false" outlineLevel="0" collapsed="false">
      <c r="A1745" s="45" t="n">
        <v>1950</v>
      </c>
      <c r="B1745" s="46" t="n">
        <v>46262</v>
      </c>
      <c r="C1745" s="45" t="s">
        <v>133</v>
      </c>
      <c r="D1745" s="45" t="s">
        <v>134</v>
      </c>
      <c r="E1745" s="45" t="s">
        <v>2594</v>
      </c>
      <c r="F1745" s="45" t="s">
        <v>3530</v>
      </c>
      <c r="G1745" s="46" t="n">
        <v>46258</v>
      </c>
      <c r="H1745" s="45" t="s">
        <v>167</v>
      </c>
      <c r="I1745" s="45" t="s">
        <v>178</v>
      </c>
      <c r="J1745" s="45" t="s">
        <v>3531</v>
      </c>
      <c r="K1745" s="45" t="n">
        <v>5.9</v>
      </c>
      <c r="L1745" s="45" t="s">
        <v>263</v>
      </c>
      <c r="M1745" s="45" t="s">
        <v>259</v>
      </c>
      <c r="N1745" s="45" t="s">
        <v>167</v>
      </c>
      <c r="O1745" s="47" t="n">
        <v>46262.3747800926</v>
      </c>
      <c r="P1745" s="47" t="n">
        <v>46262.378900463</v>
      </c>
    </row>
    <row r="1746" customFormat="false" ht="15" hidden="false" customHeight="false" outlineLevel="0" collapsed="false">
      <c r="A1746" s="45" t="n">
        <v>1951</v>
      </c>
      <c r="B1746" s="46" t="n">
        <v>46262</v>
      </c>
      <c r="C1746" s="45" t="s">
        <v>133</v>
      </c>
      <c r="D1746" s="45" t="s">
        <v>134</v>
      </c>
      <c r="E1746" s="45" t="s">
        <v>2462</v>
      </c>
      <c r="F1746" s="45" t="s">
        <v>3532</v>
      </c>
      <c r="G1746" s="46" t="n">
        <v>46256</v>
      </c>
      <c r="H1746" s="45" t="s">
        <v>167</v>
      </c>
      <c r="I1746" s="45" t="s">
        <v>176</v>
      </c>
      <c r="J1746" s="45" t="s">
        <v>3533</v>
      </c>
      <c r="K1746" s="45" t="n">
        <v>9.1</v>
      </c>
      <c r="L1746" s="45" t="s">
        <v>263</v>
      </c>
      <c r="M1746" s="45" t="s">
        <v>259</v>
      </c>
      <c r="N1746" s="45" t="s">
        <v>167</v>
      </c>
      <c r="O1746" s="47" t="n">
        <v>46262.3789583333</v>
      </c>
      <c r="P1746" s="47" t="n">
        <v>46262.3852430556</v>
      </c>
    </row>
    <row r="1747" customFormat="false" ht="15" hidden="false" customHeight="false" outlineLevel="0" collapsed="false">
      <c r="A1747" s="45" t="n">
        <v>1952</v>
      </c>
      <c r="B1747" s="46" t="n">
        <v>46262</v>
      </c>
      <c r="C1747" s="45" t="s">
        <v>133</v>
      </c>
      <c r="D1747" s="45" t="s">
        <v>134</v>
      </c>
      <c r="E1747" s="45" t="s">
        <v>2933</v>
      </c>
      <c r="F1747" s="45" t="s">
        <v>3534</v>
      </c>
      <c r="G1747" s="46" t="n">
        <v>46257</v>
      </c>
      <c r="H1747" s="45" t="s">
        <v>167</v>
      </c>
      <c r="I1747" s="45" t="s">
        <v>179</v>
      </c>
      <c r="J1747" s="45" t="s">
        <v>3535</v>
      </c>
      <c r="K1747" s="45" t="n">
        <v>12.8</v>
      </c>
      <c r="L1747" s="45" t="s">
        <v>263</v>
      </c>
      <c r="M1747" s="45" t="s">
        <v>259</v>
      </c>
      <c r="N1747" s="45" t="s">
        <v>167</v>
      </c>
      <c r="O1747" s="47" t="n">
        <v>46262.3852777778</v>
      </c>
      <c r="P1747" s="47" t="n">
        <v>46262.3941782407</v>
      </c>
    </row>
    <row r="1748" customFormat="false" ht="15" hidden="false" customHeight="false" outlineLevel="0" collapsed="false">
      <c r="A1748" s="45" t="n">
        <v>1953</v>
      </c>
      <c r="B1748" s="46" t="n">
        <v>46262</v>
      </c>
      <c r="C1748" s="45" t="s">
        <v>131</v>
      </c>
      <c r="D1748" s="45" t="s">
        <v>132</v>
      </c>
      <c r="E1748" s="45" t="s">
        <v>3536</v>
      </c>
      <c r="F1748" s="45" t="s">
        <v>3537</v>
      </c>
      <c r="G1748" s="46" t="n">
        <v>46255</v>
      </c>
      <c r="H1748" s="45" t="s">
        <v>167</v>
      </c>
      <c r="I1748" s="45" t="s">
        <v>176</v>
      </c>
      <c r="J1748" s="45" t="s">
        <v>3538</v>
      </c>
      <c r="K1748" s="45" t="n">
        <v>1.2</v>
      </c>
      <c r="L1748" s="45" t="s">
        <v>263</v>
      </c>
      <c r="M1748" s="45" t="s">
        <v>259</v>
      </c>
      <c r="N1748" s="45" t="s">
        <v>167</v>
      </c>
      <c r="O1748" s="47" t="n">
        <v>46262.7901157407</v>
      </c>
      <c r="P1748" s="47" t="n">
        <v>46262.7909837963</v>
      </c>
    </row>
    <row r="1749" customFormat="false" ht="15" hidden="false" customHeight="false" outlineLevel="0" collapsed="false">
      <c r="A1749" s="45" t="n">
        <v>1954</v>
      </c>
      <c r="B1749" s="46" t="n">
        <v>46262</v>
      </c>
      <c r="C1749" s="45" t="s">
        <v>131</v>
      </c>
      <c r="D1749" s="45" t="s">
        <v>132</v>
      </c>
      <c r="E1749" s="45" t="s">
        <v>3539</v>
      </c>
      <c r="F1749" s="45" t="s">
        <v>3540</v>
      </c>
      <c r="G1749" s="46" t="n">
        <v>46258</v>
      </c>
      <c r="H1749" s="45" t="s">
        <v>167</v>
      </c>
      <c r="I1749" s="45" t="s">
        <v>177</v>
      </c>
      <c r="J1749" s="45" t="s">
        <v>3541</v>
      </c>
      <c r="K1749" s="45" t="n">
        <v>1.2</v>
      </c>
      <c r="L1749" s="45" t="s">
        <v>263</v>
      </c>
      <c r="M1749" s="45" t="s">
        <v>259</v>
      </c>
      <c r="N1749" s="45" t="s">
        <v>167</v>
      </c>
      <c r="O1749" s="47" t="n">
        <v>46262.8232060185</v>
      </c>
      <c r="P1749" s="47" t="n">
        <v>46262.8240393519</v>
      </c>
    </row>
    <row r="1750" customFormat="false" ht="15" hidden="false" customHeight="false" outlineLevel="0" collapsed="false">
      <c r="A1750" s="45" t="n">
        <v>1955</v>
      </c>
      <c r="B1750" s="46" t="n">
        <v>46262</v>
      </c>
      <c r="C1750" s="45" t="s">
        <v>135</v>
      </c>
      <c r="D1750" s="45" t="s">
        <v>136</v>
      </c>
      <c r="E1750" s="45" t="s">
        <v>492</v>
      </c>
      <c r="F1750" s="45" t="s">
        <v>3521</v>
      </c>
      <c r="G1750" s="46" t="n">
        <v>46260</v>
      </c>
      <c r="H1750" s="45" t="s">
        <v>167</v>
      </c>
      <c r="I1750" s="45" t="s">
        <v>178</v>
      </c>
      <c r="J1750" s="45" t="s">
        <v>2507</v>
      </c>
      <c r="K1750" s="45" t="n">
        <v>0.9</v>
      </c>
      <c r="L1750" s="45" t="s">
        <v>259</v>
      </c>
      <c r="M1750" s="45" t="s">
        <v>259</v>
      </c>
      <c r="N1750" s="45" t="s">
        <v>167</v>
      </c>
      <c r="O1750" s="47" t="n">
        <v>46262.9271527778</v>
      </c>
      <c r="P1750" s="47" t="n">
        <v>46262.9277777778</v>
      </c>
    </row>
    <row r="1751" customFormat="false" ht="15" hidden="false" customHeight="false" outlineLevel="0" collapsed="false">
      <c r="A1751" s="45" t="n">
        <v>1956</v>
      </c>
      <c r="B1751" s="46" t="n">
        <v>46262</v>
      </c>
      <c r="C1751" s="45" t="s">
        <v>135</v>
      </c>
      <c r="D1751" s="45" t="s">
        <v>136</v>
      </c>
      <c r="E1751" s="45" t="s">
        <v>226</v>
      </c>
      <c r="F1751" s="45" t="s">
        <v>3542</v>
      </c>
      <c r="G1751" s="46" t="n">
        <v>46260</v>
      </c>
      <c r="H1751" s="45" t="s">
        <v>167</v>
      </c>
      <c r="I1751" s="45" t="s">
        <v>180</v>
      </c>
      <c r="J1751" s="45" t="s">
        <v>3543</v>
      </c>
      <c r="K1751" s="45" t="n">
        <v>13.1</v>
      </c>
      <c r="L1751" s="45" t="s">
        <v>263</v>
      </c>
      <c r="M1751" s="45" t="s">
        <v>259</v>
      </c>
      <c r="N1751" s="45" t="s">
        <v>167</v>
      </c>
      <c r="O1751" s="47" t="n">
        <v>46262.9295138889</v>
      </c>
      <c r="P1751" s="47" t="n">
        <v>46262.938587963</v>
      </c>
    </row>
    <row r="1752" customFormat="false" ht="15" hidden="false" customHeight="false" outlineLevel="0" collapsed="false">
      <c r="A1752" s="45" t="n">
        <v>1957</v>
      </c>
      <c r="B1752" s="46" t="n">
        <v>46263</v>
      </c>
      <c r="C1752" s="45" t="s">
        <v>131</v>
      </c>
      <c r="D1752" s="45" t="s">
        <v>132</v>
      </c>
      <c r="E1752" s="45" t="s">
        <v>3544</v>
      </c>
      <c r="F1752" s="45" t="s">
        <v>3545</v>
      </c>
      <c r="G1752" s="46" t="n">
        <v>46258</v>
      </c>
      <c r="H1752" s="45" t="s">
        <v>167</v>
      </c>
      <c r="I1752" s="45" t="s">
        <v>181</v>
      </c>
      <c r="J1752" s="45" t="s">
        <v>3546</v>
      </c>
      <c r="K1752" s="45" t="n">
        <v>0.9</v>
      </c>
      <c r="L1752" s="45" t="s">
        <v>263</v>
      </c>
      <c r="M1752" s="45" t="s">
        <v>259</v>
      </c>
      <c r="N1752" s="45" t="s">
        <v>167</v>
      </c>
      <c r="O1752" s="47" t="n">
        <v>46263.0654513889</v>
      </c>
      <c r="P1752" s="47" t="n">
        <v>46263.066087963</v>
      </c>
    </row>
    <row r="1753" customFormat="false" ht="15" hidden="false" customHeight="false" outlineLevel="0" collapsed="false">
      <c r="A1753" s="45" t="n">
        <v>1961</v>
      </c>
      <c r="B1753" s="46" t="n">
        <v>46263</v>
      </c>
      <c r="C1753" s="45" t="s">
        <v>131</v>
      </c>
      <c r="D1753" s="45" t="s">
        <v>132</v>
      </c>
      <c r="E1753" s="45" t="s">
        <v>3536</v>
      </c>
      <c r="F1753" s="45" t="s">
        <v>3547</v>
      </c>
      <c r="G1753" s="46" t="n">
        <v>46259</v>
      </c>
      <c r="H1753" s="45" t="s">
        <v>167</v>
      </c>
      <c r="I1753" s="45" t="s">
        <v>180</v>
      </c>
      <c r="J1753" s="45" t="s">
        <v>3548</v>
      </c>
      <c r="K1753" s="45" t="n">
        <v>35.3</v>
      </c>
      <c r="L1753" s="45" t="s">
        <v>263</v>
      </c>
      <c r="M1753" s="45" t="s">
        <v>259</v>
      </c>
      <c r="N1753" s="45" t="s">
        <v>167</v>
      </c>
      <c r="O1753" s="47" t="n">
        <v>46263.0661342593</v>
      </c>
      <c r="P1753" s="47" t="n">
        <v>46263.0906481482</v>
      </c>
    </row>
    <row r="1754" customFormat="false" ht="15" hidden="false" customHeight="false" outlineLevel="0" collapsed="false">
      <c r="A1754" s="45" t="n">
        <v>1958</v>
      </c>
      <c r="B1754" s="46" t="n">
        <v>46263</v>
      </c>
      <c r="C1754" s="45" t="s">
        <v>135</v>
      </c>
      <c r="D1754" s="45" t="s">
        <v>136</v>
      </c>
      <c r="E1754" s="45" t="s">
        <v>3244</v>
      </c>
      <c r="F1754" s="45" t="s">
        <v>3549</v>
      </c>
      <c r="G1754" s="46" t="n">
        <v>46259</v>
      </c>
      <c r="H1754" s="45" t="s">
        <v>167</v>
      </c>
      <c r="I1754" s="45" t="s">
        <v>176</v>
      </c>
      <c r="J1754" s="45" t="s">
        <v>3550</v>
      </c>
      <c r="K1754" s="45" t="n">
        <v>4.9</v>
      </c>
      <c r="L1754" s="45" t="s">
        <v>263</v>
      </c>
      <c r="M1754" s="45" t="s">
        <v>259</v>
      </c>
      <c r="N1754" s="45" t="s">
        <v>167</v>
      </c>
      <c r="O1754" s="47" t="n">
        <v>46263.0667592593</v>
      </c>
      <c r="P1754" s="47" t="n">
        <v>46263.070162037</v>
      </c>
    </row>
    <row r="1755" customFormat="false" ht="15" hidden="false" customHeight="false" outlineLevel="0" collapsed="false">
      <c r="A1755" s="45" t="n">
        <v>1959</v>
      </c>
      <c r="B1755" s="46" t="n">
        <v>46263</v>
      </c>
      <c r="C1755" s="45" t="s">
        <v>135</v>
      </c>
      <c r="D1755" s="45" t="s">
        <v>136</v>
      </c>
      <c r="E1755" s="45" t="s">
        <v>3519</v>
      </c>
      <c r="F1755" s="45" t="s">
        <v>3551</v>
      </c>
      <c r="G1755" s="46" t="n">
        <v>46259</v>
      </c>
      <c r="H1755" s="45" t="s">
        <v>169</v>
      </c>
      <c r="I1755" s="45"/>
      <c r="J1755" s="45"/>
      <c r="K1755" s="45" t="n">
        <v>0.5</v>
      </c>
      <c r="L1755" s="45" t="s">
        <v>263</v>
      </c>
      <c r="M1755" s="45" t="s">
        <v>259</v>
      </c>
      <c r="N1755" s="45" t="s">
        <v>169</v>
      </c>
      <c r="O1755" s="47" t="n">
        <v>46263.0717476852</v>
      </c>
      <c r="P1755" s="47" t="n">
        <v>46263.0721180556</v>
      </c>
    </row>
    <row r="1756" customFormat="false" ht="15" hidden="false" customHeight="false" outlineLevel="0" collapsed="false">
      <c r="A1756" s="45" t="n">
        <v>1960</v>
      </c>
      <c r="B1756" s="46" t="n">
        <v>46263</v>
      </c>
      <c r="C1756" s="45" t="s">
        <v>135</v>
      </c>
      <c r="D1756" s="45" t="s">
        <v>136</v>
      </c>
      <c r="E1756" s="45" t="s">
        <v>1833</v>
      </c>
      <c r="F1756" s="45" t="s">
        <v>3552</v>
      </c>
      <c r="G1756" s="46" t="n">
        <v>46259</v>
      </c>
      <c r="H1756" s="45" t="s">
        <v>167</v>
      </c>
      <c r="I1756" s="45" t="s">
        <v>180</v>
      </c>
      <c r="J1756" s="45" t="s">
        <v>1048</v>
      </c>
      <c r="K1756" s="45" t="n">
        <v>5</v>
      </c>
      <c r="L1756" s="45" t="s">
        <v>259</v>
      </c>
      <c r="M1756" s="45" t="s">
        <v>259</v>
      </c>
      <c r="N1756" s="45" t="s">
        <v>167</v>
      </c>
      <c r="O1756" s="47" t="n">
        <v>46263.0723726852</v>
      </c>
      <c r="P1756" s="47" t="n">
        <v>46263.0758564815</v>
      </c>
    </row>
    <row r="1757" customFormat="false" ht="15" hidden="false" customHeight="false" outlineLevel="0" collapsed="false">
      <c r="A1757" s="45" t="n">
        <v>1962</v>
      </c>
      <c r="B1757" s="46" t="n">
        <v>46263</v>
      </c>
      <c r="C1757" s="45" t="s">
        <v>135</v>
      </c>
      <c r="D1757" s="45" t="s">
        <v>136</v>
      </c>
      <c r="E1757" s="45" t="s">
        <v>1833</v>
      </c>
      <c r="F1757" s="45" t="s">
        <v>3552</v>
      </c>
      <c r="G1757" s="46" t="n">
        <v>46259</v>
      </c>
      <c r="H1757" s="45" t="s">
        <v>167</v>
      </c>
      <c r="I1757" s="45" t="s">
        <v>180</v>
      </c>
      <c r="J1757" s="45" t="s">
        <v>3553</v>
      </c>
      <c r="K1757" s="45" t="n">
        <v>149.4</v>
      </c>
      <c r="L1757" s="45" t="s">
        <v>259</v>
      </c>
      <c r="M1757" s="45" t="s">
        <v>259</v>
      </c>
      <c r="N1757" s="45" t="s">
        <v>167</v>
      </c>
      <c r="O1757" s="47" t="n">
        <v>46263.0765740741</v>
      </c>
      <c r="P1757" s="47" t="n">
        <v>46263.1803009259</v>
      </c>
    </row>
    <row r="1758" customFormat="false" ht="15" hidden="false" customHeight="false" outlineLevel="0" collapsed="false">
      <c r="A1758" s="45" t="n">
        <v>1963</v>
      </c>
      <c r="B1758" s="46" t="n">
        <v>46263</v>
      </c>
      <c r="C1758" s="45" t="s">
        <v>133</v>
      </c>
      <c r="D1758" s="45" t="s">
        <v>134</v>
      </c>
      <c r="E1758" s="45" t="s">
        <v>2539</v>
      </c>
      <c r="F1758" s="45" t="s">
        <v>3554</v>
      </c>
      <c r="G1758" s="46" t="n">
        <v>46257</v>
      </c>
      <c r="H1758" s="45" t="s">
        <v>57</v>
      </c>
      <c r="I1758" s="45" t="s">
        <v>200</v>
      </c>
      <c r="J1758" s="45" t="s">
        <v>3555</v>
      </c>
      <c r="K1758" s="45" t="n">
        <v>0.3</v>
      </c>
      <c r="L1758" s="45" t="s">
        <v>263</v>
      </c>
      <c r="M1758" s="45" t="s">
        <v>259</v>
      </c>
      <c r="N1758" s="45" t="s">
        <v>57</v>
      </c>
      <c r="O1758" s="47" t="n">
        <v>46263.3738310185</v>
      </c>
      <c r="P1758" s="47" t="n">
        <v>46263.3740625</v>
      </c>
    </row>
    <row r="1759" customFormat="false" ht="15" hidden="false" customHeight="false" outlineLevel="0" collapsed="false">
      <c r="A1759" s="45" t="n">
        <v>1964</v>
      </c>
      <c r="B1759" s="46" t="n">
        <v>46263</v>
      </c>
      <c r="C1759" s="45" t="s">
        <v>133</v>
      </c>
      <c r="D1759" s="45" t="s">
        <v>134</v>
      </c>
      <c r="E1759" s="45" t="s">
        <v>3556</v>
      </c>
      <c r="F1759" s="45" t="s">
        <v>3557</v>
      </c>
      <c r="G1759" s="46" t="n">
        <v>46258</v>
      </c>
      <c r="H1759" s="45" t="s">
        <v>167</v>
      </c>
      <c r="I1759" s="45" t="s">
        <v>179</v>
      </c>
      <c r="J1759" s="45" t="s">
        <v>3558</v>
      </c>
      <c r="K1759" s="45" t="n">
        <v>0.2</v>
      </c>
      <c r="L1759" s="45" t="s">
        <v>263</v>
      </c>
      <c r="M1759" s="45" t="s">
        <v>259</v>
      </c>
      <c r="N1759" s="45" t="s">
        <v>167</v>
      </c>
      <c r="O1759" s="47" t="n">
        <v>46263.4530671296</v>
      </c>
      <c r="P1759" s="47" t="n">
        <v>46263.4532175926</v>
      </c>
    </row>
    <row r="1760" customFormat="false" ht="15" hidden="false" customHeight="false" outlineLevel="0" collapsed="false">
      <c r="A1760" s="45" t="n">
        <v>1965</v>
      </c>
      <c r="B1760" s="46" t="n">
        <v>46263</v>
      </c>
      <c r="C1760" s="45" t="s">
        <v>133</v>
      </c>
      <c r="D1760" s="45" t="s">
        <v>134</v>
      </c>
      <c r="E1760" s="45" t="s">
        <v>2457</v>
      </c>
      <c r="F1760" s="45" t="s">
        <v>3559</v>
      </c>
      <c r="G1760" s="46" t="n">
        <v>46256</v>
      </c>
      <c r="H1760" s="45" t="s">
        <v>167</v>
      </c>
      <c r="I1760" s="45" t="s">
        <v>176</v>
      </c>
      <c r="J1760" s="45" t="s">
        <v>3560</v>
      </c>
      <c r="K1760" s="45" t="n">
        <v>15.4</v>
      </c>
      <c r="L1760" s="45" t="s">
        <v>263</v>
      </c>
      <c r="M1760" s="45" t="s">
        <v>259</v>
      </c>
      <c r="N1760" s="45" t="s">
        <v>167</v>
      </c>
      <c r="O1760" s="47" t="n">
        <v>46263.4532407407</v>
      </c>
      <c r="P1760" s="47" t="n">
        <v>46263.4639467593</v>
      </c>
    </row>
    <row r="1761" customFormat="false" ht="15" hidden="false" customHeight="false" outlineLevel="0" collapsed="false">
      <c r="A1761" s="45" t="n">
        <v>1966</v>
      </c>
      <c r="B1761" s="46" t="n">
        <v>46263</v>
      </c>
      <c r="C1761" s="45" t="s">
        <v>133</v>
      </c>
      <c r="D1761" s="45" t="s">
        <v>134</v>
      </c>
      <c r="E1761" s="45" t="s">
        <v>3556</v>
      </c>
      <c r="F1761" s="45" t="s">
        <v>3561</v>
      </c>
      <c r="G1761" s="46" t="n">
        <v>46258</v>
      </c>
      <c r="H1761" s="45" t="s">
        <v>57</v>
      </c>
      <c r="I1761" s="45" t="s">
        <v>200</v>
      </c>
      <c r="J1761" s="45" t="s">
        <v>3562</v>
      </c>
      <c r="K1761" s="45" t="n">
        <v>10.2</v>
      </c>
      <c r="L1761" s="45" t="s">
        <v>263</v>
      </c>
      <c r="M1761" s="45" t="s">
        <v>259</v>
      </c>
      <c r="N1761" s="45" t="s">
        <v>57</v>
      </c>
      <c r="O1761" s="47" t="n">
        <v>46263.4679398148</v>
      </c>
      <c r="P1761" s="47" t="n">
        <v>46263.4750115741</v>
      </c>
    </row>
    <row r="1762" customFormat="false" ht="15" hidden="false" customHeight="false" outlineLevel="0" collapsed="false">
      <c r="A1762" s="45" t="n">
        <v>1967</v>
      </c>
      <c r="B1762" s="46" t="n">
        <v>46263</v>
      </c>
      <c r="C1762" s="45" t="s">
        <v>133</v>
      </c>
      <c r="D1762" s="45" t="s">
        <v>134</v>
      </c>
      <c r="E1762" s="45" t="s">
        <v>3556</v>
      </c>
      <c r="F1762" s="45" t="s">
        <v>3563</v>
      </c>
      <c r="G1762" s="46" t="n">
        <v>46258</v>
      </c>
      <c r="H1762" s="45" t="s">
        <v>167</v>
      </c>
      <c r="I1762" s="45" t="s">
        <v>179</v>
      </c>
      <c r="J1762" s="45" t="s">
        <v>3564</v>
      </c>
      <c r="K1762" s="45" t="n">
        <v>11.7</v>
      </c>
      <c r="L1762" s="45" t="s">
        <v>263</v>
      </c>
      <c r="M1762" s="45" t="s">
        <v>259</v>
      </c>
      <c r="N1762" s="45" t="s">
        <v>167</v>
      </c>
      <c r="O1762" s="47" t="n">
        <v>46263.4762384259</v>
      </c>
      <c r="P1762" s="47" t="n">
        <v>46263.4843865741</v>
      </c>
    </row>
    <row r="1763" customFormat="false" ht="15" hidden="false" customHeight="false" outlineLevel="0" collapsed="false">
      <c r="A1763" s="45" t="n">
        <v>1968</v>
      </c>
      <c r="B1763" s="46" t="n">
        <v>46263</v>
      </c>
      <c r="C1763" s="45" t="s">
        <v>133</v>
      </c>
      <c r="D1763" s="45" t="s">
        <v>134</v>
      </c>
      <c r="E1763" s="45" t="s">
        <v>2539</v>
      </c>
      <c r="F1763" s="45" t="s">
        <v>3565</v>
      </c>
      <c r="G1763" s="46" t="n">
        <v>46257</v>
      </c>
      <c r="H1763" s="45" t="s">
        <v>167</v>
      </c>
      <c r="I1763" s="45" t="s">
        <v>179</v>
      </c>
      <c r="J1763" s="45" t="s">
        <v>3566</v>
      </c>
      <c r="K1763" s="45" t="n">
        <v>6.5</v>
      </c>
      <c r="L1763" s="45" t="s">
        <v>263</v>
      </c>
      <c r="M1763" s="45" t="s">
        <v>259</v>
      </c>
      <c r="N1763" s="45" t="s">
        <v>167</v>
      </c>
      <c r="O1763" s="47" t="n">
        <v>46263.4844212963</v>
      </c>
      <c r="P1763" s="47" t="n">
        <v>46263.4889467593</v>
      </c>
    </row>
    <row r="1764" customFormat="false" ht="15" hidden="false" customHeight="false" outlineLevel="0" collapsed="false">
      <c r="A1764" s="45" t="n">
        <v>1969</v>
      </c>
      <c r="B1764" s="46" t="n">
        <v>46263</v>
      </c>
      <c r="C1764" s="45" t="s">
        <v>133</v>
      </c>
      <c r="D1764" s="45" t="s">
        <v>134</v>
      </c>
      <c r="E1764" s="45" t="s">
        <v>2539</v>
      </c>
      <c r="F1764" s="45" t="s">
        <v>3567</v>
      </c>
      <c r="G1764" s="46" t="n">
        <v>46261</v>
      </c>
      <c r="H1764" s="45" t="s">
        <v>167</v>
      </c>
      <c r="I1764" s="45" t="s">
        <v>179</v>
      </c>
      <c r="J1764" s="45" t="s">
        <v>3568</v>
      </c>
      <c r="K1764" s="45" t="n">
        <v>11.6</v>
      </c>
      <c r="L1764" s="45" t="s">
        <v>263</v>
      </c>
      <c r="M1764" s="45" t="s">
        <v>259</v>
      </c>
      <c r="N1764" s="45" t="s">
        <v>167</v>
      </c>
      <c r="O1764" s="47" t="n">
        <v>46263.4889814815</v>
      </c>
      <c r="P1764" s="47" t="n">
        <v>46263.4970486111</v>
      </c>
    </row>
    <row r="1765" customFormat="false" ht="15" hidden="false" customHeight="false" outlineLevel="0" collapsed="false">
      <c r="A1765" s="45" t="n">
        <v>1970</v>
      </c>
      <c r="B1765" s="46" t="n">
        <v>46263</v>
      </c>
      <c r="C1765" s="45" t="s">
        <v>133</v>
      </c>
      <c r="D1765" s="45" t="s">
        <v>134</v>
      </c>
      <c r="E1765" s="45" t="s">
        <v>241</v>
      </c>
      <c r="F1765" s="45" t="s">
        <v>3569</v>
      </c>
      <c r="G1765" s="46" t="n">
        <v>46256</v>
      </c>
      <c r="H1765" s="45" t="s">
        <v>167</v>
      </c>
      <c r="I1765" s="45" t="s">
        <v>179</v>
      </c>
      <c r="J1765" s="45" t="s">
        <v>3570</v>
      </c>
      <c r="K1765" s="45" t="n">
        <v>14</v>
      </c>
      <c r="L1765" s="45" t="s">
        <v>263</v>
      </c>
      <c r="M1765" s="45" t="s">
        <v>259</v>
      </c>
      <c r="N1765" s="45" t="s">
        <v>167</v>
      </c>
      <c r="O1765" s="47" t="n">
        <v>46263.4970949074</v>
      </c>
      <c r="P1765" s="47" t="n">
        <v>46263.5068055556</v>
      </c>
    </row>
    <row r="1766" customFormat="false" ht="15" hidden="false" customHeight="false" outlineLevel="0" collapsed="false">
      <c r="A1766" s="45" t="n">
        <v>1971</v>
      </c>
      <c r="B1766" s="46" t="n">
        <v>46263</v>
      </c>
      <c r="C1766" s="45" t="s">
        <v>133</v>
      </c>
      <c r="D1766" s="45" t="s">
        <v>134</v>
      </c>
      <c r="E1766" s="45" t="s">
        <v>3556</v>
      </c>
      <c r="F1766" s="45" t="s">
        <v>3571</v>
      </c>
      <c r="G1766" s="46" t="n">
        <v>46261</v>
      </c>
      <c r="H1766" s="45" t="s">
        <v>168</v>
      </c>
      <c r="I1766" s="45" t="s">
        <v>193</v>
      </c>
      <c r="J1766" s="45" t="s">
        <v>3572</v>
      </c>
      <c r="K1766" s="45" t="n">
        <v>9.2</v>
      </c>
      <c r="L1766" s="45" t="s">
        <v>263</v>
      </c>
      <c r="M1766" s="45" t="s">
        <v>259</v>
      </c>
      <c r="N1766" s="45" t="s">
        <v>2559</v>
      </c>
      <c r="O1766" s="47" t="n">
        <v>46263.5072337963</v>
      </c>
      <c r="P1766" s="47" t="n">
        <v>46263.5136226852</v>
      </c>
    </row>
    <row r="1767" customFormat="false" ht="15" hidden="false" customHeight="false" outlineLevel="0" collapsed="false">
      <c r="A1767" s="45" t="n">
        <v>1972</v>
      </c>
      <c r="B1767" s="46" t="n">
        <v>46263</v>
      </c>
      <c r="C1767" s="45" t="s">
        <v>133</v>
      </c>
      <c r="D1767" s="45" t="s">
        <v>134</v>
      </c>
      <c r="E1767" s="45" t="s">
        <v>2591</v>
      </c>
      <c r="F1767" s="45" t="s">
        <v>3573</v>
      </c>
      <c r="G1767" s="46" t="n">
        <v>46258</v>
      </c>
      <c r="H1767" s="45" t="s">
        <v>168</v>
      </c>
      <c r="I1767" s="45" t="s">
        <v>196</v>
      </c>
      <c r="J1767" s="45" t="s">
        <v>3574</v>
      </c>
      <c r="K1767" s="45" t="n">
        <v>4</v>
      </c>
      <c r="L1767" s="45" t="s">
        <v>263</v>
      </c>
      <c r="M1767" s="45" t="s">
        <v>259</v>
      </c>
      <c r="N1767" s="45" t="s">
        <v>2559</v>
      </c>
      <c r="O1767" s="47" t="n">
        <v>46263.5274421296</v>
      </c>
      <c r="P1767" s="47" t="n">
        <v>46263.5302199074</v>
      </c>
    </row>
    <row r="1768" customFormat="false" ht="15" hidden="false" customHeight="false" outlineLevel="0" collapsed="false">
      <c r="A1768" s="45" t="n">
        <v>1973</v>
      </c>
      <c r="B1768" s="46" t="n">
        <v>46263</v>
      </c>
      <c r="C1768" s="45" t="s">
        <v>133</v>
      </c>
      <c r="D1768" s="45" t="s">
        <v>134</v>
      </c>
      <c r="E1768" s="45" t="s">
        <v>3525</v>
      </c>
      <c r="F1768" s="45" t="s">
        <v>3575</v>
      </c>
      <c r="G1768" s="46" t="n">
        <v>46260</v>
      </c>
      <c r="H1768" s="45" t="s">
        <v>169</v>
      </c>
      <c r="I1768" s="45"/>
      <c r="J1768" s="45"/>
      <c r="K1768" s="45" t="n">
        <v>1.1</v>
      </c>
      <c r="L1768" s="45" t="s">
        <v>263</v>
      </c>
      <c r="M1768" s="45" t="s">
        <v>259</v>
      </c>
      <c r="N1768" s="45" t="s">
        <v>169</v>
      </c>
      <c r="O1768" s="47" t="n">
        <v>46263.5316435185</v>
      </c>
      <c r="P1768" s="47" t="n">
        <v>46263.5324074074</v>
      </c>
    </row>
    <row r="1769" customFormat="false" ht="15" hidden="false" customHeight="false" outlineLevel="0" collapsed="false">
      <c r="A1769" s="45" t="n">
        <v>1974</v>
      </c>
      <c r="B1769" s="46" t="n">
        <v>46263</v>
      </c>
      <c r="C1769" s="45" t="s">
        <v>133</v>
      </c>
      <c r="D1769" s="45" t="s">
        <v>134</v>
      </c>
      <c r="E1769" s="45" t="s">
        <v>2539</v>
      </c>
      <c r="F1769" s="45" t="s">
        <v>3576</v>
      </c>
      <c r="G1769" s="46" t="n">
        <v>46262</v>
      </c>
      <c r="H1769" s="45" t="s">
        <v>168</v>
      </c>
      <c r="I1769" s="45" t="s">
        <v>196</v>
      </c>
      <c r="J1769" s="45" t="s">
        <v>3577</v>
      </c>
      <c r="K1769" s="45" t="n">
        <v>6.5</v>
      </c>
      <c r="L1769" s="45" t="s">
        <v>259</v>
      </c>
      <c r="M1769" s="45" t="s">
        <v>259</v>
      </c>
      <c r="N1769" s="45" t="s">
        <v>2559</v>
      </c>
      <c r="O1769" s="47" t="n">
        <v>46263.5411805556</v>
      </c>
      <c r="P1769" s="47" t="n">
        <v>46263.5457291667</v>
      </c>
    </row>
    <row r="1770" customFormat="false" ht="15" hidden="false" customHeight="false" outlineLevel="0" collapsed="false">
      <c r="A1770" s="45" t="n">
        <v>1975</v>
      </c>
      <c r="B1770" s="46" t="n">
        <v>46263</v>
      </c>
      <c r="C1770" s="45" t="s">
        <v>133</v>
      </c>
      <c r="D1770" s="45" t="s">
        <v>134</v>
      </c>
      <c r="E1770" s="45" t="s">
        <v>241</v>
      </c>
      <c r="F1770" s="45" t="s">
        <v>3578</v>
      </c>
      <c r="G1770" s="46" t="n">
        <v>46262</v>
      </c>
      <c r="H1770" s="45" t="s">
        <v>167</v>
      </c>
      <c r="I1770" s="45" t="s">
        <v>176</v>
      </c>
      <c r="J1770" s="45" t="s">
        <v>3579</v>
      </c>
      <c r="K1770" s="45" t="n">
        <v>3.8</v>
      </c>
      <c r="L1770" s="45" t="s">
        <v>259</v>
      </c>
      <c r="M1770" s="45" t="s">
        <v>259</v>
      </c>
      <c r="N1770" s="45" t="s">
        <v>167</v>
      </c>
      <c r="O1770" s="47" t="n">
        <v>46263.5484375</v>
      </c>
      <c r="P1770" s="47" t="n">
        <v>46263.5510532407</v>
      </c>
    </row>
    <row r="1771" customFormat="false" ht="15" hidden="false" customHeight="false" outlineLevel="0" collapsed="false">
      <c r="A1771" s="45" t="n">
        <v>1976</v>
      </c>
      <c r="B1771" s="46" t="n">
        <v>46263</v>
      </c>
      <c r="C1771" s="45" t="s">
        <v>139</v>
      </c>
      <c r="D1771" s="45" t="s">
        <v>140</v>
      </c>
      <c r="E1771" s="45" t="s">
        <v>2666</v>
      </c>
      <c r="F1771" s="45" t="s">
        <v>3580</v>
      </c>
      <c r="G1771" s="46" t="n">
        <v>46257</v>
      </c>
      <c r="H1771" s="45" t="s">
        <v>167</v>
      </c>
      <c r="I1771" s="45" t="s">
        <v>183</v>
      </c>
      <c r="J1771" s="45" t="s">
        <v>3581</v>
      </c>
      <c r="K1771" s="45" t="n">
        <v>3.1</v>
      </c>
      <c r="L1771" s="45" t="s">
        <v>263</v>
      </c>
      <c r="M1771" s="45" t="s">
        <v>259</v>
      </c>
      <c r="N1771" s="45" t="s">
        <v>167</v>
      </c>
      <c r="O1771" s="47" t="n">
        <v>46263.7333680556</v>
      </c>
      <c r="P1771" s="47" t="n">
        <v>46263.7355439815</v>
      </c>
    </row>
    <row r="1772" customFormat="false" ht="15" hidden="false" customHeight="false" outlineLevel="0" collapsed="false">
      <c r="A1772" s="45" t="n">
        <v>1977</v>
      </c>
      <c r="B1772" s="46" t="n">
        <v>46263</v>
      </c>
      <c r="C1772" s="45" t="s">
        <v>131</v>
      </c>
      <c r="D1772" s="45" t="s">
        <v>132</v>
      </c>
      <c r="E1772" s="45" t="s">
        <v>2143</v>
      </c>
      <c r="F1772" s="45" t="s">
        <v>3582</v>
      </c>
      <c r="G1772" s="46" t="n">
        <v>46262</v>
      </c>
      <c r="H1772" s="45" t="s">
        <v>168</v>
      </c>
      <c r="I1772" s="45" t="s">
        <v>193</v>
      </c>
      <c r="J1772" s="45" t="s">
        <v>3583</v>
      </c>
      <c r="K1772" s="45" t="n">
        <v>3.5</v>
      </c>
      <c r="L1772" s="45" t="s">
        <v>263</v>
      </c>
      <c r="M1772" s="45" t="s">
        <v>259</v>
      </c>
      <c r="N1772" s="45" t="s">
        <v>2559</v>
      </c>
      <c r="O1772" s="47" t="n">
        <v>46263.7643055556</v>
      </c>
      <c r="P1772" s="47" t="n">
        <v>46263.7667592593</v>
      </c>
    </row>
    <row r="1773" customFormat="false" ht="15" hidden="false" customHeight="false" outlineLevel="0" collapsed="false">
      <c r="A1773" s="45" t="n">
        <v>1978</v>
      </c>
      <c r="B1773" s="46" t="n">
        <v>46263</v>
      </c>
      <c r="C1773" s="45" t="s">
        <v>131</v>
      </c>
      <c r="D1773" s="45" t="s">
        <v>132</v>
      </c>
      <c r="E1773" s="45" t="s">
        <v>2127</v>
      </c>
      <c r="F1773" s="45" t="s">
        <v>3584</v>
      </c>
      <c r="G1773" s="46" t="n">
        <v>46262</v>
      </c>
      <c r="H1773" s="45" t="s">
        <v>167</v>
      </c>
      <c r="I1773" s="45" t="s">
        <v>183</v>
      </c>
      <c r="J1773" s="45" t="s">
        <v>3585</v>
      </c>
      <c r="K1773" s="45" t="n">
        <v>0.8</v>
      </c>
      <c r="L1773" s="45" t="s">
        <v>263</v>
      </c>
      <c r="M1773" s="45" t="s">
        <v>259</v>
      </c>
      <c r="N1773" s="45" t="s">
        <v>167</v>
      </c>
      <c r="O1773" s="47" t="n">
        <v>46263.7667824074</v>
      </c>
      <c r="P1773" s="47" t="n">
        <v>46263.767349537</v>
      </c>
    </row>
    <row r="1774" customFormat="false" ht="15" hidden="false" customHeight="false" outlineLevel="0" collapsed="false">
      <c r="A1774" s="45" t="n">
        <v>1979</v>
      </c>
      <c r="B1774" s="46" t="n">
        <v>46263</v>
      </c>
      <c r="C1774" s="45" t="s">
        <v>139</v>
      </c>
      <c r="D1774" s="45" t="s">
        <v>140</v>
      </c>
      <c r="E1774" s="45" t="s">
        <v>2666</v>
      </c>
      <c r="F1774" s="45" t="s">
        <v>3586</v>
      </c>
      <c r="G1774" s="46" t="n">
        <v>46258</v>
      </c>
      <c r="H1774" s="45" t="s">
        <v>167</v>
      </c>
      <c r="I1774" s="45" t="s">
        <v>176</v>
      </c>
      <c r="J1774" s="45" t="s">
        <v>3587</v>
      </c>
      <c r="K1774" s="45" t="n">
        <v>4</v>
      </c>
      <c r="L1774" s="45" t="s">
        <v>263</v>
      </c>
      <c r="M1774" s="45" t="s">
        <v>259</v>
      </c>
      <c r="N1774" s="45" t="s">
        <v>167</v>
      </c>
      <c r="O1774" s="47" t="n">
        <v>46263.7760416667</v>
      </c>
      <c r="P1774" s="47" t="n">
        <v>46263.7788078704</v>
      </c>
    </row>
    <row r="1775" customFormat="false" ht="15" hidden="false" customHeight="false" outlineLevel="0" collapsed="false">
      <c r="A1775" s="45" t="n">
        <v>1980</v>
      </c>
      <c r="B1775" s="46" t="n">
        <v>46263</v>
      </c>
      <c r="C1775" s="45" t="s">
        <v>131</v>
      </c>
      <c r="D1775" s="45" t="s">
        <v>132</v>
      </c>
      <c r="E1775" s="45" t="s">
        <v>2254</v>
      </c>
      <c r="F1775" s="45" t="s">
        <v>3588</v>
      </c>
      <c r="G1775" s="46" t="n">
        <v>46263</v>
      </c>
      <c r="H1775" s="45" t="s">
        <v>167</v>
      </c>
      <c r="I1775" s="45" t="s">
        <v>180</v>
      </c>
      <c r="J1775" s="45" t="s">
        <v>3589</v>
      </c>
      <c r="K1775" s="45" t="n">
        <v>0.8</v>
      </c>
      <c r="L1775" s="45" t="s">
        <v>263</v>
      </c>
      <c r="M1775" s="45" t="s">
        <v>259</v>
      </c>
      <c r="N1775" s="45" t="s">
        <v>167</v>
      </c>
      <c r="O1775" s="47" t="n">
        <v>46263.7975578704</v>
      </c>
      <c r="P1775" s="47" t="n">
        <v>46263.7981481482</v>
      </c>
    </row>
    <row r="1776" customFormat="false" ht="15" hidden="false" customHeight="false" outlineLevel="0" collapsed="false">
      <c r="A1776" s="45" t="n">
        <v>1981</v>
      </c>
      <c r="B1776" s="46" t="n">
        <v>46263</v>
      </c>
      <c r="C1776" s="45" t="s">
        <v>131</v>
      </c>
      <c r="D1776" s="45" t="s">
        <v>132</v>
      </c>
      <c r="E1776" s="45" t="s">
        <v>3544</v>
      </c>
      <c r="F1776" s="45" t="s">
        <v>3590</v>
      </c>
      <c r="G1776" s="46" t="n">
        <v>46262</v>
      </c>
      <c r="H1776" s="45" t="s">
        <v>57</v>
      </c>
      <c r="I1776" s="45" t="s">
        <v>200</v>
      </c>
      <c r="J1776" s="45" t="s">
        <v>3591</v>
      </c>
      <c r="K1776" s="45" t="n">
        <v>0.7</v>
      </c>
      <c r="L1776" s="45" t="s">
        <v>263</v>
      </c>
      <c r="M1776" s="45" t="s">
        <v>259</v>
      </c>
      <c r="N1776" s="45" t="s">
        <v>57</v>
      </c>
      <c r="O1776" s="47" t="n">
        <v>46263.8023032407</v>
      </c>
      <c r="P1776" s="47" t="n">
        <v>46263.8027546296</v>
      </c>
    </row>
    <row r="1777" customFormat="false" ht="15" hidden="false" customHeight="false" outlineLevel="0" collapsed="false">
      <c r="A1777" s="45" t="n">
        <v>1982</v>
      </c>
      <c r="B1777" s="46" t="n">
        <v>46263</v>
      </c>
      <c r="C1777" s="45" t="s">
        <v>139</v>
      </c>
      <c r="D1777" s="45" t="s">
        <v>140</v>
      </c>
      <c r="E1777" s="45" t="s">
        <v>2666</v>
      </c>
      <c r="F1777" s="45" t="s">
        <v>3592</v>
      </c>
      <c r="G1777" s="46" t="n">
        <v>46258</v>
      </c>
      <c r="H1777" s="45" t="s">
        <v>167</v>
      </c>
      <c r="I1777" s="45" t="s">
        <v>177</v>
      </c>
      <c r="J1777" s="45" t="s">
        <v>3593</v>
      </c>
      <c r="K1777" s="45" t="n">
        <v>0.8</v>
      </c>
      <c r="L1777" s="45" t="s">
        <v>263</v>
      </c>
      <c r="M1777" s="45" t="s">
        <v>259</v>
      </c>
      <c r="N1777" s="45" t="s">
        <v>167</v>
      </c>
      <c r="O1777" s="47" t="n">
        <v>46263.960775463</v>
      </c>
      <c r="P1777" s="47" t="n">
        <v>46263.9612962963</v>
      </c>
    </row>
    <row r="1778" customFormat="false" ht="15" hidden="false" customHeight="false" outlineLevel="0" collapsed="false">
      <c r="A1778" s="45" t="n">
        <v>1983</v>
      </c>
      <c r="B1778" s="46" t="n">
        <v>46264</v>
      </c>
      <c r="C1778" s="45" t="s">
        <v>139</v>
      </c>
      <c r="D1778" s="45" t="s">
        <v>140</v>
      </c>
      <c r="E1778" s="45" t="s">
        <v>221</v>
      </c>
      <c r="F1778" s="45" t="s">
        <v>3594</v>
      </c>
      <c r="G1778" s="46" t="n">
        <v>46258</v>
      </c>
      <c r="H1778" s="45" t="s">
        <v>167</v>
      </c>
      <c r="I1778" s="45" t="s">
        <v>179</v>
      </c>
      <c r="J1778" s="45" t="s">
        <v>3595</v>
      </c>
      <c r="K1778" s="45" t="n">
        <v>0.9</v>
      </c>
      <c r="L1778" s="45" t="s">
        <v>263</v>
      </c>
      <c r="M1778" s="45" t="s">
        <v>259</v>
      </c>
      <c r="N1778" s="45" t="s">
        <v>167</v>
      </c>
      <c r="O1778" s="47" t="n">
        <v>46264.0534027778</v>
      </c>
      <c r="P1778" s="47" t="n">
        <v>46264.0540277778</v>
      </c>
    </row>
    <row r="1779" customFormat="false" ht="15" hidden="false" customHeight="false" outlineLevel="0" collapsed="false">
      <c r="A1779" s="45" t="n">
        <v>1984</v>
      </c>
      <c r="B1779" s="46" t="n">
        <v>46264</v>
      </c>
      <c r="C1779" s="45" t="s">
        <v>139</v>
      </c>
      <c r="D1779" s="45" t="s">
        <v>140</v>
      </c>
      <c r="E1779" s="45" t="s">
        <v>221</v>
      </c>
      <c r="F1779" s="45" t="s">
        <v>3596</v>
      </c>
      <c r="G1779" s="46" t="n">
        <v>46256</v>
      </c>
      <c r="H1779" s="45" t="s">
        <v>167</v>
      </c>
      <c r="I1779" s="45" t="s">
        <v>183</v>
      </c>
      <c r="J1779" s="45" t="s">
        <v>3597</v>
      </c>
      <c r="K1779" s="45" t="n">
        <v>7.5</v>
      </c>
      <c r="L1779" s="45" t="s">
        <v>263</v>
      </c>
      <c r="M1779" s="45" t="s">
        <v>259</v>
      </c>
      <c r="N1779" s="45" t="s">
        <v>167</v>
      </c>
      <c r="O1779" s="47" t="n">
        <v>46264.0555092593</v>
      </c>
      <c r="P1779" s="47" t="n">
        <v>46264.0607291667</v>
      </c>
    </row>
    <row r="1780" customFormat="false" ht="15" hidden="false" customHeight="false" outlineLevel="0" collapsed="false">
      <c r="A1780" s="45" t="n">
        <v>1985</v>
      </c>
      <c r="B1780" s="46" t="n">
        <v>46264</v>
      </c>
      <c r="C1780" s="45" t="s">
        <v>139</v>
      </c>
      <c r="D1780" s="45" t="s">
        <v>140</v>
      </c>
      <c r="E1780" s="45" t="s">
        <v>221</v>
      </c>
      <c r="F1780" s="45" t="s">
        <v>3598</v>
      </c>
      <c r="G1780" s="46" t="n">
        <v>46261</v>
      </c>
      <c r="H1780" s="45" t="s">
        <v>167</v>
      </c>
      <c r="I1780" s="45" t="s">
        <v>183</v>
      </c>
      <c r="J1780" s="45" t="s">
        <v>3599</v>
      </c>
      <c r="K1780" s="45" t="n">
        <v>17.2</v>
      </c>
      <c r="L1780" s="45" t="s">
        <v>263</v>
      </c>
      <c r="M1780" s="45" t="s">
        <v>259</v>
      </c>
      <c r="N1780" s="45" t="s">
        <v>167</v>
      </c>
      <c r="O1780" s="47" t="n">
        <v>46264.1647800926</v>
      </c>
      <c r="P1780" s="47" t="n">
        <v>46264.1767476852</v>
      </c>
    </row>
    <row r="1781" customFormat="false" ht="15" hidden="false" customHeight="false" outlineLevel="0" collapsed="false">
      <c r="A1781" s="45" t="n">
        <v>1986</v>
      </c>
      <c r="B1781" s="46" t="n">
        <v>46264</v>
      </c>
      <c r="C1781" s="45" t="s">
        <v>139</v>
      </c>
      <c r="D1781" s="45" t="s">
        <v>140</v>
      </c>
      <c r="E1781" s="45" t="s">
        <v>221</v>
      </c>
      <c r="F1781" s="45" t="s">
        <v>3600</v>
      </c>
      <c r="G1781" s="46" t="n">
        <v>46261</v>
      </c>
      <c r="H1781" s="45" t="s">
        <v>167</v>
      </c>
      <c r="I1781" s="45" t="s">
        <v>176</v>
      </c>
      <c r="J1781" s="45" t="s">
        <v>3601</v>
      </c>
      <c r="K1781" s="45" t="n">
        <v>1.1</v>
      </c>
      <c r="L1781" s="45" t="s">
        <v>263</v>
      </c>
      <c r="M1781" s="45" t="s">
        <v>259</v>
      </c>
      <c r="N1781" s="45" t="s">
        <v>167</v>
      </c>
      <c r="O1781" s="47" t="n">
        <v>46264.1808333333</v>
      </c>
      <c r="P1781" s="47" t="n">
        <v>46264.1815625</v>
      </c>
    </row>
    <row r="1782" customFormat="false" ht="15" hidden="false" customHeight="false" outlineLevel="0" collapsed="false">
      <c r="A1782" s="45" t="n">
        <v>1987</v>
      </c>
      <c r="B1782" s="46" t="n">
        <v>46264</v>
      </c>
      <c r="C1782" s="45" t="s">
        <v>135</v>
      </c>
      <c r="D1782" s="45" t="s">
        <v>136</v>
      </c>
      <c r="E1782" s="45" t="s">
        <v>220</v>
      </c>
      <c r="F1782" s="45" t="s">
        <v>3602</v>
      </c>
      <c r="G1782" s="46" t="n">
        <v>46259</v>
      </c>
      <c r="H1782" s="45" t="s">
        <v>167</v>
      </c>
      <c r="I1782" s="45" t="s">
        <v>184</v>
      </c>
      <c r="J1782" s="45" t="s">
        <v>3603</v>
      </c>
      <c r="K1782" s="45" t="n">
        <v>21.5</v>
      </c>
      <c r="L1782" s="45" t="s">
        <v>263</v>
      </c>
      <c r="M1782" s="45" t="s">
        <v>259</v>
      </c>
      <c r="N1782" s="45" t="s">
        <v>167</v>
      </c>
      <c r="O1782" s="47" t="n">
        <v>46264.1997569444</v>
      </c>
      <c r="P1782" s="47" t="n">
        <v>46264.2147106482</v>
      </c>
    </row>
    <row r="1783" customFormat="false" ht="15" hidden="false" customHeight="false" outlineLevel="0" collapsed="false">
      <c r="A1783" s="45" t="n">
        <v>1988</v>
      </c>
      <c r="B1783" s="46" t="n">
        <v>46264</v>
      </c>
      <c r="C1783" s="45" t="s">
        <v>135</v>
      </c>
      <c r="D1783" s="45" t="s">
        <v>136</v>
      </c>
      <c r="E1783" s="45" t="s">
        <v>3414</v>
      </c>
      <c r="F1783" s="45" t="s">
        <v>3604</v>
      </c>
      <c r="G1783" s="46" t="n">
        <v>46258</v>
      </c>
      <c r="H1783" s="45" t="s">
        <v>168</v>
      </c>
      <c r="I1783" s="45" t="s">
        <v>191</v>
      </c>
      <c r="J1783" s="45" t="s">
        <v>3605</v>
      </c>
      <c r="K1783" s="45" t="n">
        <v>9.4</v>
      </c>
      <c r="L1783" s="45" t="s">
        <v>263</v>
      </c>
      <c r="M1783" s="45" t="s">
        <v>259</v>
      </c>
      <c r="N1783" s="45" t="s">
        <v>2559</v>
      </c>
      <c r="O1783" s="47" t="n">
        <v>46264.2148611111</v>
      </c>
      <c r="P1783" s="47" t="n">
        <v>46264.2213657407</v>
      </c>
    </row>
    <row r="1784" customFormat="false" ht="15" hidden="false" customHeight="false" outlineLevel="0" collapsed="false">
      <c r="A1784" s="45" t="n">
        <v>1989</v>
      </c>
      <c r="B1784" s="46" t="n">
        <v>46264</v>
      </c>
      <c r="C1784" s="45" t="s">
        <v>135</v>
      </c>
      <c r="D1784" s="45" t="s">
        <v>136</v>
      </c>
      <c r="E1784" s="45" t="s">
        <v>3411</v>
      </c>
      <c r="F1784" s="45" t="s">
        <v>3606</v>
      </c>
      <c r="G1784" s="46" t="n">
        <v>46258</v>
      </c>
      <c r="H1784" s="45" t="s">
        <v>167</v>
      </c>
      <c r="I1784" s="45" t="s">
        <v>185</v>
      </c>
      <c r="J1784" s="45" t="s">
        <v>3607</v>
      </c>
      <c r="K1784" s="45" t="n">
        <v>0.4</v>
      </c>
      <c r="L1784" s="45" t="s">
        <v>263</v>
      </c>
      <c r="M1784" s="45" t="s">
        <v>259</v>
      </c>
      <c r="N1784" s="45" t="s">
        <v>167</v>
      </c>
      <c r="O1784" s="47" t="n">
        <v>46264.2234606482</v>
      </c>
      <c r="P1784" s="47" t="n">
        <v>46264.2237615741</v>
      </c>
    </row>
    <row r="1785" customFormat="false" ht="15" hidden="false" customHeight="false" outlineLevel="0" collapsed="false">
      <c r="A1785" s="45" t="n">
        <v>1990</v>
      </c>
      <c r="B1785" s="46" t="n">
        <v>46264</v>
      </c>
      <c r="C1785" s="45" t="s">
        <v>135</v>
      </c>
      <c r="D1785" s="45" t="s">
        <v>136</v>
      </c>
      <c r="E1785" s="45" t="s">
        <v>236</v>
      </c>
      <c r="F1785" s="45" t="s">
        <v>3608</v>
      </c>
      <c r="G1785" s="46" t="n">
        <v>46258</v>
      </c>
      <c r="H1785" s="45" t="s">
        <v>167</v>
      </c>
      <c r="I1785" s="45" t="s">
        <v>178</v>
      </c>
      <c r="J1785" s="45" t="s">
        <v>3609</v>
      </c>
      <c r="K1785" s="45" t="n">
        <v>6.4</v>
      </c>
      <c r="L1785" s="45" t="s">
        <v>263</v>
      </c>
      <c r="M1785" s="45" t="s">
        <v>259</v>
      </c>
      <c r="N1785" s="45" t="s">
        <v>167</v>
      </c>
      <c r="O1785" s="47" t="n">
        <v>46264.2238078704</v>
      </c>
      <c r="P1785" s="47" t="n">
        <v>46264.2282291667</v>
      </c>
    </row>
    <row r="1786" customFormat="false" ht="15" hidden="false" customHeight="false" outlineLevel="0" collapsed="false">
      <c r="A1786" s="45" t="n">
        <v>1991</v>
      </c>
      <c r="B1786" s="46" t="n">
        <v>46264</v>
      </c>
      <c r="C1786" s="45" t="s">
        <v>135</v>
      </c>
      <c r="D1786" s="45" t="s">
        <v>136</v>
      </c>
      <c r="E1786" s="45" t="s">
        <v>236</v>
      </c>
      <c r="F1786" s="45" t="s">
        <v>3610</v>
      </c>
      <c r="G1786" s="46" t="n">
        <v>46258</v>
      </c>
      <c r="H1786" s="45" t="s">
        <v>167</v>
      </c>
      <c r="I1786" s="45" t="s">
        <v>178</v>
      </c>
      <c r="J1786" s="45" t="s">
        <v>3611</v>
      </c>
      <c r="K1786" s="45" t="n">
        <v>0.5</v>
      </c>
      <c r="L1786" s="45" t="s">
        <v>263</v>
      </c>
      <c r="M1786" s="45" t="s">
        <v>259</v>
      </c>
      <c r="N1786" s="45" t="s">
        <v>167</v>
      </c>
      <c r="O1786" s="47" t="n">
        <v>46264.238900463</v>
      </c>
      <c r="P1786" s="47" t="n">
        <v>46264.2392361111</v>
      </c>
    </row>
    <row r="1787" customFormat="false" ht="15" hidden="false" customHeight="false" outlineLevel="0" collapsed="false">
      <c r="A1787" s="45" t="n">
        <v>1992</v>
      </c>
      <c r="B1787" s="46" t="n">
        <v>46264</v>
      </c>
      <c r="C1787" s="45" t="s">
        <v>135</v>
      </c>
      <c r="D1787" s="45" t="s">
        <v>136</v>
      </c>
      <c r="E1787" s="45" t="s">
        <v>236</v>
      </c>
      <c r="F1787" s="45" t="s">
        <v>3612</v>
      </c>
      <c r="G1787" s="46" t="n">
        <v>46258</v>
      </c>
      <c r="H1787" s="45" t="s">
        <v>167</v>
      </c>
      <c r="I1787" s="45" t="s">
        <v>178</v>
      </c>
      <c r="J1787" s="45" t="s">
        <v>833</v>
      </c>
      <c r="K1787" s="45" t="n">
        <v>7.1</v>
      </c>
      <c r="L1787" s="45" t="s">
        <v>263</v>
      </c>
      <c r="M1787" s="45" t="s">
        <v>259</v>
      </c>
      <c r="N1787" s="45" t="s">
        <v>167</v>
      </c>
      <c r="O1787" s="47" t="n">
        <v>46264.239375</v>
      </c>
      <c r="P1787" s="47" t="n">
        <v>46264.2442824074</v>
      </c>
    </row>
    <row r="1788" customFormat="false" ht="15" hidden="false" customHeight="false" outlineLevel="0" collapsed="false">
      <c r="A1788" s="45" t="n">
        <v>1993</v>
      </c>
      <c r="B1788" s="46" t="n">
        <v>46265</v>
      </c>
      <c r="C1788" s="45" t="s">
        <v>139</v>
      </c>
      <c r="D1788" s="45" t="s">
        <v>140</v>
      </c>
      <c r="E1788" s="45" t="s">
        <v>2816</v>
      </c>
      <c r="F1788" s="45" t="s">
        <v>3613</v>
      </c>
      <c r="G1788" s="46" t="n">
        <v>46261</v>
      </c>
      <c r="H1788" s="45" t="s">
        <v>167</v>
      </c>
      <c r="I1788" s="45" t="s">
        <v>179</v>
      </c>
      <c r="J1788" s="45" t="s">
        <v>3614</v>
      </c>
      <c r="K1788" s="45" t="n">
        <v>0.1</v>
      </c>
      <c r="L1788" s="45" t="s">
        <v>263</v>
      </c>
      <c r="M1788" s="45" t="s">
        <v>259</v>
      </c>
      <c r="N1788" s="45" t="s">
        <v>167</v>
      </c>
      <c r="O1788" s="47" t="n">
        <v>46265.2060648148</v>
      </c>
      <c r="P1788" s="47" t="n">
        <v>46265.2061226852</v>
      </c>
    </row>
    <row r="1789" customFormat="false" ht="15" hidden="false" customHeight="false" outlineLevel="0" collapsed="false">
      <c r="A1789" s="45" t="n">
        <v>1994</v>
      </c>
      <c r="B1789" s="46" t="n">
        <v>46265</v>
      </c>
      <c r="C1789" s="45" t="s">
        <v>139</v>
      </c>
      <c r="D1789" s="45" t="s">
        <v>140</v>
      </c>
      <c r="E1789" s="45" t="s">
        <v>2677</v>
      </c>
      <c r="F1789" s="45" t="s">
        <v>3615</v>
      </c>
      <c r="G1789" s="46" t="n">
        <v>46259</v>
      </c>
      <c r="H1789" s="45" t="s">
        <v>169</v>
      </c>
      <c r="I1789" s="45"/>
      <c r="J1789" s="45"/>
      <c r="K1789" s="45" t="n">
        <v>2</v>
      </c>
      <c r="L1789" s="45" t="s">
        <v>263</v>
      </c>
      <c r="M1789" s="45" t="s">
        <v>259</v>
      </c>
      <c r="N1789" s="45" t="s">
        <v>169</v>
      </c>
      <c r="O1789" s="47" t="n">
        <v>46265.2061689815</v>
      </c>
      <c r="P1789" s="47" t="n">
        <v>46265.2075462963</v>
      </c>
    </row>
    <row r="1790" customFormat="false" ht="15" hidden="false" customHeight="false" outlineLevel="0" collapsed="false">
      <c r="A1790" s="45" t="n">
        <v>1995</v>
      </c>
      <c r="B1790" s="46" t="n">
        <v>46265</v>
      </c>
      <c r="C1790" s="45" t="s">
        <v>139</v>
      </c>
      <c r="D1790" s="45" t="s">
        <v>140</v>
      </c>
      <c r="E1790" s="45" t="s">
        <v>2816</v>
      </c>
      <c r="F1790" s="45" t="s">
        <v>3616</v>
      </c>
      <c r="G1790" s="46" t="n">
        <v>46258</v>
      </c>
      <c r="H1790" s="45" t="s">
        <v>168</v>
      </c>
      <c r="I1790" s="45" t="s">
        <v>191</v>
      </c>
      <c r="J1790" s="45" t="s">
        <v>3617</v>
      </c>
      <c r="K1790" s="45" t="n">
        <v>1.9</v>
      </c>
      <c r="L1790" s="45" t="s">
        <v>263</v>
      </c>
      <c r="M1790" s="45" t="s">
        <v>259</v>
      </c>
      <c r="N1790" s="45" t="s">
        <v>2559</v>
      </c>
      <c r="O1790" s="47" t="n">
        <v>46265.2218634259</v>
      </c>
      <c r="P1790" s="47" t="n">
        <v>46265.2231597222</v>
      </c>
    </row>
    <row r="1791" customFormat="false" ht="15" hidden="false" customHeight="false" outlineLevel="0" collapsed="false">
      <c r="A1791" s="45" t="n">
        <v>1996</v>
      </c>
      <c r="B1791" s="46" t="n">
        <v>46265</v>
      </c>
      <c r="C1791" s="45" t="s">
        <v>139</v>
      </c>
      <c r="D1791" s="45" t="s">
        <v>140</v>
      </c>
      <c r="E1791" s="45" t="s">
        <v>2677</v>
      </c>
      <c r="F1791" s="45" t="s">
        <v>3618</v>
      </c>
      <c r="G1791" s="46" t="n">
        <v>46258</v>
      </c>
      <c r="H1791" s="45" t="s">
        <v>167</v>
      </c>
      <c r="I1791" s="45" t="s">
        <v>184</v>
      </c>
      <c r="J1791" s="45" t="s">
        <v>3619</v>
      </c>
      <c r="K1791" s="45" t="n">
        <v>1.2</v>
      </c>
      <c r="L1791" s="45" t="s">
        <v>263</v>
      </c>
      <c r="M1791" s="45" t="s">
        <v>259</v>
      </c>
      <c r="N1791" s="45" t="s">
        <v>167</v>
      </c>
      <c r="O1791" s="47" t="n">
        <v>46265.239849537</v>
      </c>
      <c r="P1791" s="47" t="n">
        <v>46265.2407060185</v>
      </c>
    </row>
    <row r="1792" customFormat="false" ht="15" hidden="false" customHeight="false" outlineLevel="0" collapsed="false">
      <c r="A1792" s="45" t="n">
        <v>1997</v>
      </c>
      <c r="B1792" s="46" t="n">
        <v>46265</v>
      </c>
      <c r="C1792" s="45" t="s">
        <v>139</v>
      </c>
      <c r="D1792" s="45" t="s">
        <v>140</v>
      </c>
      <c r="E1792" s="45" t="s">
        <v>237</v>
      </c>
      <c r="F1792" s="45" t="s">
        <v>3620</v>
      </c>
      <c r="G1792" s="46" t="n">
        <v>46258</v>
      </c>
      <c r="H1792" s="45" t="s">
        <v>167</v>
      </c>
      <c r="I1792" s="45" t="s">
        <v>176</v>
      </c>
      <c r="J1792" s="45" t="s">
        <v>3621</v>
      </c>
      <c r="K1792" s="45" t="n">
        <v>4.4</v>
      </c>
      <c r="L1792" s="45" t="s">
        <v>259</v>
      </c>
      <c r="M1792" s="45" t="s">
        <v>259</v>
      </c>
      <c r="N1792" s="45" t="s">
        <v>167</v>
      </c>
      <c r="O1792" s="47" t="n">
        <v>46265.2533680556</v>
      </c>
      <c r="P1792" s="47" t="n">
        <v>46265.2564467593</v>
      </c>
    </row>
    <row r="1793" customFormat="false" ht="15" hidden="false" customHeight="false" outlineLevel="0" collapsed="false">
      <c r="A1793" s="45" t="n">
        <v>1998</v>
      </c>
      <c r="B1793" s="46" t="n">
        <v>46265</v>
      </c>
      <c r="C1793" s="45" t="s">
        <v>139</v>
      </c>
      <c r="D1793" s="45" t="s">
        <v>140</v>
      </c>
      <c r="E1793" s="45" t="s">
        <v>237</v>
      </c>
      <c r="F1793" s="45" t="s">
        <v>3620</v>
      </c>
      <c r="G1793" s="46" t="n">
        <v>46258</v>
      </c>
      <c r="H1793" s="45" t="s">
        <v>167</v>
      </c>
      <c r="I1793" s="45" t="s">
        <v>176</v>
      </c>
      <c r="J1793" s="45" t="s">
        <v>3622</v>
      </c>
      <c r="K1793" s="45" t="n">
        <v>5.7</v>
      </c>
      <c r="L1793" s="45" t="s">
        <v>259</v>
      </c>
      <c r="M1793" s="45" t="s">
        <v>259</v>
      </c>
      <c r="N1793" s="45" t="s">
        <v>167</v>
      </c>
      <c r="O1793" s="47" t="n">
        <v>46265.2590509259</v>
      </c>
      <c r="P1793" s="47" t="n">
        <v>46265.2630324074</v>
      </c>
    </row>
    <row r="1794" customFormat="false" ht="15" hidden="false" customHeight="false" outlineLevel="0" collapsed="false">
      <c r="A1794" s="45" t="n">
        <v>1999</v>
      </c>
      <c r="B1794" s="46" t="n">
        <v>46265</v>
      </c>
      <c r="C1794" s="45" t="s">
        <v>133</v>
      </c>
      <c r="D1794" s="45" t="s">
        <v>134</v>
      </c>
      <c r="E1794" s="45" t="s">
        <v>2539</v>
      </c>
      <c r="F1794" s="45" t="s">
        <v>3623</v>
      </c>
      <c r="G1794" s="46" t="n">
        <v>46264</v>
      </c>
      <c r="H1794" s="45" t="s">
        <v>169</v>
      </c>
      <c r="I1794" s="45"/>
      <c r="J1794" s="45"/>
      <c r="K1794" s="45" t="n">
        <v>0.9</v>
      </c>
      <c r="L1794" s="45" t="s">
        <v>263</v>
      </c>
      <c r="M1794" s="45" t="s">
        <v>259</v>
      </c>
      <c r="N1794" s="45" t="s">
        <v>169</v>
      </c>
      <c r="O1794" s="47" t="n">
        <v>46265.3654282407</v>
      </c>
      <c r="P1794" s="47" t="n">
        <v>46265.3660300926</v>
      </c>
    </row>
    <row r="1795" customFormat="false" ht="15" hidden="false" customHeight="false" outlineLevel="0" collapsed="false">
      <c r="A1795" s="45" t="n">
        <v>2000</v>
      </c>
      <c r="B1795" s="46" t="n">
        <v>46265</v>
      </c>
      <c r="C1795" s="45" t="s">
        <v>133</v>
      </c>
      <c r="D1795" s="45" t="s">
        <v>134</v>
      </c>
      <c r="E1795" s="45" t="s">
        <v>2591</v>
      </c>
      <c r="F1795" s="45" t="s">
        <v>3624</v>
      </c>
      <c r="G1795" s="46" t="n">
        <v>46264</v>
      </c>
      <c r="H1795" s="45" t="s">
        <v>168</v>
      </c>
      <c r="I1795" s="45" t="s">
        <v>192</v>
      </c>
      <c r="J1795" s="45" t="s">
        <v>3625</v>
      </c>
      <c r="K1795" s="45" t="n">
        <v>6.2</v>
      </c>
      <c r="L1795" s="45" t="s">
        <v>263</v>
      </c>
      <c r="M1795" s="45" t="s">
        <v>259</v>
      </c>
      <c r="N1795" s="45" t="s">
        <v>2559</v>
      </c>
      <c r="O1795" s="47" t="n">
        <v>46265.3660763889</v>
      </c>
      <c r="P1795" s="47" t="n">
        <v>46265.3703472222</v>
      </c>
    </row>
    <row r="1796" customFormat="false" ht="15" hidden="false" customHeight="false" outlineLevel="0" collapsed="false">
      <c r="A1796" s="45" t="n">
        <v>2001</v>
      </c>
      <c r="B1796" s="46" t="n">
        <v>46265</v>
      </c>
      <c r="C1796" s="45" t="s">
        <v>133</v>
      </c>
      <c r="D1796" s="45" t="s">
        <v>134</v>
      </c>
      <c r="E1796" s="45" t="s">
        <v>241</v>
      </c>
      <c r="F1796" s="45" t="s">
        <v>3578</v>
      </c>
      <c r="G1796" s="46" t="n">
        <v>46262</v>
      </c>
      <c r="H1796" s="45" t="s">
        <v>167</v>
      </c>
      <c r="I1796" s="45" t="s">
        <v>176</v>
      </c>
      <c r="J1796" s="45" t="s">
        <v>3626</v>
      </c>
      <c r="K1796" s="45" t="n">
        <v>8.9</v>
      </c>
      <c r="L1796" s="45" t="s">
        <v>259</v>
      </c>
      <c r="M1796" s="45" t="s">
        <v>259</v>
      </c>
      <c r="N1796" s="45" t="s">
        <v>167</v>
      </c>
      <c r="O1796" s="47" t="n">
        <v>46265.3759143519</v>
      </c>
      <c r="P1796" s="47" t="n">
        <v>46265.3821296296</v>
      </c>
    </row>
    <row r="1797" customFormat="false" ht="15" hidden="false" customHeight="false" outlineLevel="0" collapsed="false">
      <c r="A1797" s="45" t="n">
        <v>2002</v>
      </c>
      <c r="B1797" s="46" t="n">
        <v>46265</v>
      </c>
      <c r="C1797" s="45" t="s">
        <v>133</v>
      </c>
      <c r="D1797" s="45" t="s">
        <v>134</v>
      </c>
      <c r="E1797" s="45" t="s">
        <v>405</v>
      </c>
      <c r="F1797" s="45" t="s">
        <v>3627</v>
      </c>
      <c r="G1797" s="46" t="n">
        <v>46261</v>
      </c>
      <c r="H1797" s="45" t="s">
        <v>167</v>
      </c>
      <c r="I1797" s="45" t="s">
        <v>176</v>
      </c>
      <c r="J1797" s="45" t="s">
        <v>3628</v>
      </c>
      <c r="K1797" s="45" t="n">
        <v>18.3</v>
      </c>
      <c r="L1797" s="45" t="s">
        <v>263</v>
      </c>
      <c r="M1797" s="45" t="s">
        <v>259</v>
      </c>
      <c r="N1797" s="45" t="s">
        <v>167</v>
      </c>
      <c r="O1797" s="47" t="n">
        <v>46265.382337963</v>
      </c>
      <c r="P1797" s="47" t="n">
        <v>46265.3950231482</v>
      </c>
    </row>
    <row r="1798" customFormat="false" ht="15" hidden="false" customHeight="false" outlineLevel="0" collapsed="false">
      <c r="A1798" s="45" t="n">
        <v>2003</v>
      </c>
      <c r="B1798" s="46" t="n">
        <v>46265</v>
      </c>
      <c r="C1798" s="45" t="s">
        <v>133</v>
      </c>
      <c r="D1798" s="45" t="s">
        <v>134</v>
      </c>
      <c r="E1798" s="45" t="s">
        <v>2457</v>
      </c>
      <c r="F1798" s="45" t="s">
        <v>3629</v>
      </c>
      <c r="G1798" s="46" t="n">
        <v>46263</v>
      </c>
      <c r="H1798" s="45" t="s">
        <v>168</v>
      </c>
      <c r="I1798" s="45" t="s">
        <v>193</v>
      </c>
      <c r="J1798" s="45" t="s">
        <v>3630</v>
      </c>
      <c r="K1798" s="45" t="n">
        <v>12.7</v>
      </c>
      <c r="L1798" s="45" t="s">
        <v>263</v>
      </c>
      <c r="M1798" s="45" t="s">
        <v>259</v>
      </c>
      <c r="N1798" s="45" t="s">
        <v>2559</v>
      </c>
      <c r="O1798" s="47" t="n">
        <v>46265.3961226852</v>
      </c>
      <c r="P1798" s="47" t="n">
        <v>46265.4049074074</v>
      </c>
    </row>
    <row r="1799" customFormat="false" ht="15" hidden="false" customHeight="false" outlineLevel="0" collapsed="false">
      <c r="A1799" s="45" t="n">
        <v>2004</v>
      </c>
      <c r="B1799" s="46" t="n">
        <v>46265</v>
      </c>
      <c r="C1799" s="45" t="s">
        <v>133</v>
      </c>
      <c r="D1799" s="45" t="s">
        <v>134</v>
      </c>
      <c r="E1799" s="45" t="s">
        <v>2539</v>
      </c>
      <c r="F1799" s="45" t="s">
        <v>3631</v>
      </c>
      <c r="G1799" s="46" t="n">
        <v>46263</v>
      </c>
      <c r="H1799" s="45" t="s">
        <v>167</v>
      </c>
      <c r="I1799" s="45" t="s">
        <v>176</v>
      </c>
      <c r="J1799" s="45" t="s">
        <v>3632</v>
      </c>
      <c r="K1799" s="45" t="n">
        <v>6</v>
      </c>
      <c r="L1799" s="45" t="s">
        <v>263</v>
      </c>
      <c r="M1799" s="45" t="s">
        <v>259</v>
      </c>
      <c r="N1799" s="45" t="s">
        <v>167</v>
      </c>
      <c r="O1799" s="47" t="n">
        <v>46265.4077893519</v>
      </c>
      <c r="P1799" s="47" t="n">
        <v>46265.4119560185</v>
      </c>
    </row>
    <row r="1800" customFormat="false" ht="15" hidden="false" customHeight="false" outlineLevel="0" collapsed="false">
      <c r="A1800" s="45" t="n">
        <v>2005</v>
      </c>
      <c r="B1800" s="46" t="n">
        <v>46265</v>
      </c>
      <c r="C1800" s="45" t="s">
        <v>133</v>
      </c>
      <c r="D1800" s="45" t="s">
        <v>134</v>
      </c>
      <c r="E1800" s="45" t="s">
        <v>2539</v>
      </c>
      <c r="F1800" s="45" t="s">
        <v>3576</v>
      </c>
      <c r="G1800" s="46" t="n">
        <v>46262</v>
      </c>
      <c r="H1800" s="45" t="s">
        <v>167</v>
      </c>
      <c r="I1800" s="45" t="s">
        <v>178</v>
      </c>
      <c r="J1800" s="45" t="s">
        <v>3633</v>
      </c>
      <c r="K1800" s="45" t="n">
        <v>6.2</v>
      </c>
      <c r="L1800" s="45" t="s">
        <v>259</v>
      </c>
      <c r="M1800" s="45" t="s">
        <v>259</v>
      </c>
      <c r="N1800" s="45" t="s">
        <v>167</v>
      </c>
      <c r="O1800" s="47" t="n">
        <v>46265.4122106481</v>
      </c>
      <c r="P1800" s="47" t="n">
        <v>46265.4165046296</v>
      </c>
    </row>
    <row r="1801" customFormat="false" ht="15" hidden="false" customHeight="false" outlineLevel="0" collapsed="false">
      <c r="A1801" s="45" t="n">
        <v>2006</v>
      </c>
      <c r="B1801" s="46" t="n">
        <v>46265</v>
      </c>
      <c r="C1801" s="45" t="s">
        <v>133</v>
      </c>
      <c r="D1801" s="45" t="s">
        <v>134</v>
      </c>
      <c r="E1801" s="45" t="s">
        <v>2462</v>
      </c>
      <c r="F1801" s="45" t="s">
        <v>3634</v>
      </c>
      <c r="G1801" s="46" t="n">
        <v>46262</v>
      </c>
      <c r="H1801" s="45" t="s">
        <v>167</v>
      </c>
      <c r="I1801" s="45" t="s">
        <v>179</v>
      </c>
      <c r="J1801" s="45" t="s">
        <v>3635</v>
      </c>
      <c r="K1801" s="45" t="n">
        <v>16.9</v>
      </c>
      <c r="L1801" s="45" t="s">
        <v>263</v>
      </c>
      <c r="M1801" s="45" t="s">
        <v>259</v>
      </c>
      <c r="N1801" s="45" t="s">
        <v>167</v>
      </c>
      <c r="O1801" s="47" t="n">
        <v>46265.4165277778</v>
      </c>
      <c r="P1801" s="47" t="n">
        <v>46265.428275463</v>
      </c>
    </row>
    <row r="1802" customFormat="false" ht="15" hidden="false" customHeight="false" outlineLevel="0" collapsed="false">
      <c r="A1802" s="45" t="n">
        <v>2007</v>
      </c>
      <c r="B1802" s="46" t="n">
        <v>46265</v>
      </c>
      <c r="C1802" s="45" t="s">
        <v>133</v>
      </c>
      <c r="D1802" s="45" t="s">
        <v>134</v>
      </c>
      <c r="E1802" s="45" t="s">
        <v>2591</v>
      </c>
      <c r="F1802" s="45" t="s">
        <v>3636</v>
      </c>
      <c r="G1802" s="46" t="n">
        <v>46262</v>
      </c>
      <c r="H1802" s="45" t="s">
        <v>167</v>
      </c>
      <c r="I1802" s="45" t="s">
        <v>179</v>
      </c>
      <c r="J1802" s="45" t="s">
        <v>3637</v>
      </c>
      <c r="K1802" s="45" t="n">
        <v>19.2</v>
      </c>
      <c r="L1802" s="45" t="s">
        <v>263</v>
      </c>
      <c r="M1802" s="45" t="s">
        <v>259</v>
      </c>
      <c r="N1802" s="45" t="s">
        <v>167</v>
      </c>
      <c r="O1802" s="47" t="n">
        <v>46265.4283217593</v>
      </c>
      <c r="P1802" s="47" t="n">
        <v>46265.4416782407</v>
      </c>
    </row>
    <row r="1803" customFormat="false" ht="15" hidden="false" customHeight="false" outlineLevel="0" collapsed="false">
      <c r="A1803" s="45" t="n">
        <v>2008</v>
      </c>
      <c r="B1803" s="46" t="n">
        <v>46265</v>
      </c>
      <c r="C1803" s="45" t="s">
        <v>133</v>
      </c>
      <c r="D1803" s="45" t="s">
        <v>134</v>
      </c>
      <c r="E1803" s="45" t="s">
        <v>2539</v>
      </c>
      <c r="F1803" s="45" t="s">
        <v>3638</v>
      </c>
      <c r="G1803" s="46" t="n">
        <v>46262</v>
      </c>
      <c r="H1803" s="45" t="s">
        <v>167</v>
      </c>
      <c r="I1803" s="45" t="s">
        <v>181</v>
      </c>
      <c r="J1803" s="45" t="s">
        <v>3639</v>
      </c>
      <c r="K1803" s="45" t="n">
        <v>6.3</v>
      </c>
      <c r="L1803" s="45" t="s">
        <v>263</v>
      </c>
      <c r="M1803" s="45" t="s">
        <v>259</v>
      </c>
      <c r="N1803" s="45" t="s">
        <v>167</v>
      </c>
      <c r="O1803" s="47" t="n">
        <v>46265.4427314815</v>
      </c>
      <c r="P1803" s="47" t="n">
        <v>46265.4471412037</v>
      </c>
    </row>
    <row r="1804" customFormat="false" ht="15" hidden="false" customHeight="false" outlineLevel="0" collapsed="false">
      <c r="A1804" s="45" t="n">
        <v>2009</v>
      </c>
      <c r="B1804" s="46" t="n">
        <v>46266</v>
      </c>
      <c r="C1804" s="45" t="s">
        <v>135</v>
      </c>
      <c r="D1804" s="45" t="s">
        <v>136</v>
      </c>
      <c r="E1804" s="45" t="s">
        <v>3411</v>
      </c>
      <c r="F1804" s="45" t="s">
        <v>3640</v>
      </c>
      <c r="G1804" s="46" t="n">
        <v>46265</v>
      </c>
      <c r="H1804" s="45" t="s">
        <v>169</v>
      </c>
      <c r="I1804" s="45"/>
      <c r="J1804" s="45"/>
      <c r="K1804" s="45" t="n">
        <v>0.4</v>
      </c>
      <c r="L1804" s="45" t="s">
        <v>259</v>
      </c>
      <c r="M1804" s="45" t="s">
        <v>259</v>
      </c>
      <c r="N1804" s="45" t="s">
        <v>169</v>
      </c>
      <c r="O1804" s="47" t="n">
        <v>46266.303900463</v>
      </c>
      <c r="P1804" s="47" t="n">
        <v>46266.3041782407</v>
      </c>
    </row>
    <row r="1805" customFormat="false" ht="15" hidden="false" customHeight="false" outlineLevel="0" collapsed="false">
      <c r="A1805" s="45" t="n">
        <v>2010</v>
      </c>
      <c r="B1805" s="46" t="n">
        <v>46266</v>
      </c>
      <c r="C1805" s="45" t="s">
        <v>141</v>
      </c>
      <c r="D1805" s="45" t="s">
        <v>142</v>
      </c>
      <c r="E1805" s="45" t="s">
        <v>231</v>
      </c>
      <c r="F1805" s="45" t="s">
        <v>3641</v>
      </c>
      <c r="G1805" s="46" t="n">
        <v>46264</v>
      </c>
      <c r="H1805" s="45" t="s">
        <v>167</v>
      </c>
      <c r="I1805" s="45" t="s">
        <v>178</v>
      </c>
      <c r="J1805" s="45" t="s">
        <v>3642</v>
      </c>
      <c r="K1805" s="45" t="n">
        <v>0.4</v>
      </c>
      <c r="L1805" s="45" t="s">
        <v>259</v>
      </c>
      <c r="M1805" s="45" t="s">
        <v>259</v>
      </c>
      <c r="N1805" s="45" t="s">
        <v>167</v>
      </c>
      <c r="O1805" s="47" t="n">
        <v>46266.3040625</v>
      </c>
      <c r="P1805" s="47" t="n">
        <v>46266.3043287037</v>
      </c>
    </row>
    <row r="1806" customFormat="false" ht="15" hidden="false" customHeight="false" outlineLevel="0" collapsed="false">
      <c r="A1806" s="45" t="n">
        <v>2011</v>
      </c>
      <c r="B1806" s="46" t="n">
        <v>46266</v>
      </c>
      <c r="C1806" s="45" t="s">
        <v>135</v>
      </c>
      <c r="D1806" s="45" t="s">
        <v>136</v>
      </c>
      <c r="E1806" s="45" t="s">
        <v>3411</v>
      </c>
      <c r="F1806" s="45" t="s">
        <v>3640</v>
      </c>
      <c r="G1806" s="46" t="n">
        <v>46265</v>
      </c>
      <c r="H1806" s="45" t="s">
        <v>168</v>
      </c>
      <c r="I1806" s="45" t="s">
        <v>191</v>
      </c>
      <c r="J1806" s="45" t="s">
        <v>3643</v>
      </c>
      <c r="K1806" s="45" t="n">
        <v>1.9</v>
      </c>
      <c r="L1806" s="45" t="s">
        <v>259</v>
      </c>
      <c r="M1806" s="45" t="s">
        <v>259</v>
      </c>
      <c r="N1806" s="45" t="s">
        <v>2559</v>
      </c>
      <c r="O1806" s="47" t="n">
        <v>46266.3043981482</v>
      </c>
      <c r="P1806" s="47" t="n">
        <v>46266.3057523148</v>
      </c>
    </row>
    <row r="1807" customFormat="false" ht="15" hidden="false" customHeight="false" outlineLevel="0" collapsed="false">
      <c r="A1807" s="45" t="n">
        <v>2012</v>
      </c>
      <c r="B1807" s="46" t="n">
        <v>46266</v>
      </c>
      <c r="C1807" s="45" t="s">
        <v>135</v>
      </c>
      <c r="D1807" s="45" t="s">
        <v>136</v>
      </c>
      <c r="E1807" s="45" t="s">
        <v>3519</v>
      </c>
      <c r="F1807" s="45" t="s">
        <v>3644</v>
      </c>
      <c r="G1807" s="46" t="n">
        <v>46265</v>
      </c>
      <c r="H1807" s="45" t="s">
        <v>167</v>
      </c>
      <c r="I1807" s="45" t="s">
        <v>180</v>
      </c>
      <c r="J1807" s="45" t="s">
        <v>3645</v>
      </c>
      <c r="K1807" s="45" t="n">
        <v>4.5</v>
      </c>
      <c r="L1807" s="45" t="s">
        <v>263</v>
      </c>
      <c r="M1807" s="45" t="s">
        <v>259</v>
      </c>
      <c r="N1807" s="45" t="s">
        <v>167</v>
      </c>
      <c r="O1807" s="47" t="n">
        <v>46266.3058333333</v>
      </c>
      <c r="P1807" s="47" t="n">
        <v>46266.3089351852</v>
      </c>
    </row>
    <row r="1808" customFormat="false" ht="15" hidden="false" customHeight="false" outlineLevel="0" collapsed="false">
      <c r="A1808" s="45" t="n">
        <v>2013</v>
      </c>
      <c r="B1808" s="46" t="n">
        <v>46266</v>
      </c>
      <c r="C1808" s="45" t="s">
        <v>135</v>
      </c>
      <c r="D1808" s="45" t="s">
        <v>136</v>
      </c>
      <c r="E1808" s="45" t="s">
        <v>3414</v>
      </c>
      <c r="F1808" s="45" t="s">
        <v>3646</v>
      </c>
      <c r="G1808" s="46" t="n">
        <v>46265</v>
      </c>
      <c r="H1808" s="45" t="s">
        <v>57</v>
      </c>
      <c r="I1808" s="45" t="s">
        <v>200</v>
      </c>
      <c r="J1808" s="45" t="s">
        <v>3647</v>
      </c>
      <c r="K1808" s="45" t="n">
        <v>1.7</v>
      </c>
      <c r="L1808" s="45" t="s">
        <v>263</v>
      </c>
      <c r="M1808" s="45" t="s">
        <v>259</v>
      </c>
      <c r="N1808" s="45" t="s">
        <v>57</v>
      </c>
      <c r="O1808" s="47" t="n">
        <v>46266.3091666667</v>
      </c>
      <c r="P1808" s="47" t="n">
        <v>46266.3103587963</v>
      </c>
    </row>
    <row r="1809" customFormat="false" ht="15" hidden="false" customHeight="false" outlineLevel="0" collapsed="false">
      <c r="A1809" s="45" t="n">
        <v>2014</v>
      </c>
      <c r="B1809" s="46" t="n">
        <v>46266</v>
      </c>
      <c r="C1809" s="45" t="s">
        <v>141</v>
      </c>
      <c r="D1809" s="45" t="s">
        <v>142</v>
      </c>
      <c r="E1809" s="45" t="s">
        <v>3648</v>
      </c>
      <c r="F1809" s="45" t="s">
        <v>225</v>
      </c>
      <c r="G1809" s="46" t="n">
        <v>46260</v>
      </c>
      <c r="H1809" s="45" t="s">
        <v>167</v>
      </c>
      <c r="I1809" s="45" t="s">
        <v>178</v>
      </c>
      <c r="J1809" s="45" t="s">
        <v>3649</v>
      </c>
      <c r="K1809" s="45" t="n">
        <v>4.8</v>
      </c>
      <c r="L1809" s="45" t="s">
        <v>263</v>
      </c>
      <c r="M1809" s="45" t="s">
        <v>263</v>
      </c>
      <c r="N1809" s="45" t="s">
        <v>167</v>
      </c>
      <c r="O1809" s="47" t="n">
        <v>46266.320462963</v>
      </c>
      <c r="P1809" s="47" t="n">
        <v>46266.3238078704</v>
      </c>
    </row>
    <row r="1810" customFormat="false" ht="15" hidden="false" customHeight="false" outlineLevel="0" collapsed="false">
      <c r="A1810" s="45" t="n">
        <v>2015</v>
      </c>
      <c r="B1810" s="46" t="n">
        <v>46267</v>
      </c>
      <c r="C1810" s="45" t="s">
        <v>141</v>
      </c>
      <c r="D1810" s="45" t="s">
        <v>142</v>
      </c>
      <c r="E1810" s="45" t="s">
        <v>225</v>
      </c>
      <c r="F1810" s="45" t="s">
        <v>3650</v>
      </c>
      <c r="G1810" s="46" t="n">
        <v>46265</v>
      </c>
      <c r="H1810" s="45" t="s">
        <v>57</v>
      </c>
      <c r="I1810" s="45" t="s">
        <v>203</v>
      </c>
      <c r="J1810" s="45" t="s">
        <v>3651</v>
      </c>
      <c r="K1810" s="45" t="n">
        <v>0.9</v>
      </c>
      <c r="L1810" s="45" t="s">
        <v>263</v>
      </c>
      <c r="M1810" s="45" t="s">
        <v>259</v>
      </c>
      <c r="N1810" s="45" t="s">
        <v>57</v>
      </c>
      <c r="O1810" s="47" t="n">
        <v>46267.0275462963</v>
      </c>
      <c r="P1810" s="47" t="n">
        <v>46267.0281712963</v>
      </c>
    </row>
    <row r="1811" customFormat="false" ht="15" hidden="false" customHeight="false" outlineLevel="0" collapsed="false">
      <c r="A1811" s="45" t="n">
        <v>2027</v>
      </c>
      <c r="B1811" s="46" t="n">
        <v>46267</v>
      </c>
      <c r="C1811" s="45" t="s">
        <v>141</v>
      </c>
      <c r="D1811" s="45" t="s">
        <v>142</v>
      </c>
      <c r="E1811" s="45" t="s">
        <v>225</v>
      </c>
      <c r="F1811" s="45" t="s">
        <v>3652</v>
      </c>
      <c r="G1811" s="46" t="n">
        <v>46260</v>
      </c>
      <c r="H1811" s="45" t="s">
        <v>167</v>
      </c>
      <c r="I1811" s="45" t="s">
        <v>179</v>
      </c>
      <c r="J1811" s="45" t="s">
        <v>3653</v>
      </c>
      <c r="K1811" s="45" t="n">
        <v>3115.6</v>
      </c>
      <c r="L1811" s="45" t="s">
        <v>263</v>
      </c>
      <c r="M1811" s="45" t="s">
        <v>259</v>
      </c>
      <c r="N1811" s="45" t="s">
        <v>167</v>
      </c>
      <c r="O1811" s="47" t="n">
        <v>46267.0344212963</v>
      </c>
      <c r="P1811" s="47" t="n">
        <v>46269.1980324074</v>
      </c>
    </row>
    <row r="1812" customFormat="false" ht="15" hidden="false" customHeight="false" outlineLevel="0" collapsed="false">
      <c r="A1812" s="45" t="n">
        <v>2016</v>
      </c>
      <c r="B1812" s="46" t="n">
        <v>46267</v>
      </c>
      <c r="C1812" s="45" t="s">
        <v>133</v>
      </c>
      <c r="D1812" s="45" t="s">
        <v>134</v>
      </c>
      <c r="E1812" s="45" t="s">
        <v>2465</v>
      </c>
      <c r="F1812" s="45" t="s">
        <v>3654</v>
      </c>
      <c r="G1812" s="46" t="n">
        <v>46265</v>
      </c>
      <c r="H1812" s="45" t="s">
        <v>57</v>
      </c>
      <c r="I1812" s="45" t="s">
        <v>202</v>
      </c>
      <c r="J1812" s="45" t="s">
        <v>3655</v>
      </c>
      <c r="K1812" s="45" t="n">
        <v>77.2</v>
      </c>
      <c r="L1812" s="45" t="s">
        <v>259</v>
      </c>
      <c r="M1812" s="45" t="s">
        <v>259</v>
      </c>
      <c r="N1812" s="45" t="s">
        <v>57</v>
      </c>
      <c r="O1812" s="47" t="n">
        <v>46267.8425115741</v>
      </c>
      <c r="P1812" s="47" t="n">
        <v>46267.896087963</v>
      </c>
    </row>
    <row r="1813" customFormat="false" ht="15" hidden="false" customHeight="false" outlineLevel="0" collapsed="false">
      <c r="A1813" s="45" t="n">
        <v>2017</v>
      </c>
      <c r="B1813" s="46" t="n">
        <v>46268</v>
      </c>
      <c r="C1813" s="45" t="s">
        <v>131</v>
      </c>
      <c r="D1813" s="45" t="s">
        <v>132</v>
      </c>
      <c r="E1813" s="45" t="s">
        <v>242</v>
      </c>
      <c r="F1813" s="45" t="s">
        <v>3656</v>
      </c>
      <c r="G1813" s="46" t="n">
        <v>46266</v>
      </c>
      <c r="H1813" s="45" t="s">
        <v>167</v>
      </c>
      <c r="I1813" s="45" t="s">
        <v>176</v>
      </c>
      <c r="J1813" s="45" t="s">
        <v>3657</v>
      </c>
      <c r="K1813" s="45" t="n">
        <v>4.3</v>
      </c>
      <c r="L1813" s="45" t="s">
        <v>263</v>
      </c>
      <c r="M1813" s="45" t="s">
        <v>259</v>
      </c>
      <c r="N1813" s="45" t="s">
        <v>167</v>
      </c>
      <c r="O1813" s="47" t="n">
        <v>46268.0183564815</v>
      </c>
      <c r="P1813" s="47" t="n">
        <v>46268.0213773148</v>
      </c>
    </row>
    <row r="1814" customFormat="false" ht="15" hidden="false" customHeight="false" outlineLevel="0" collapsed="false">
      <c r="A1814" s="45" t="n">
        <v>2018</v>
      </c>
      <c r="B1814" s="46" t="n">
        <v>46268</v>
      </c>
      <c r="C1814" s="45" t="s">
        <v>131</v>
      </c>
      <c r="D1814" s="45" t="s">
        <v>132</v>
      </c>
      <c r="E1814" s="45" t="s">
        <v>242</v>
      </c>
      <c r="F1814" s="45" t="s">
        <v>3658</v>
      </c>
      <c r="G1814" s="46" t="n">
        <v>46266</v>
      </c>
      <c r="H1814" s="45" t="s">
        <v>167</v>
      </c>
      <c r="I1814" s="45" t="s">
        <v>176</v>
      </c>
      <c r="J1814" s="45" t="s">
        <v>3659</v>
      </c>
      <c r="K1814" s="45" t="n">
        <v>6.4</v>
      </c>
      <c r="L1814" s="45" t="s">
        <v>263</v>
      </c>
      <c r="M1814" s="45" t="s">
        <v>259</v>
      </c>
      <c r="N1814" s="45" t="s">
        <v>167</v>
      </c>
      <c r="O1814" s="47" t="n">
        <v>46268.021412037</v>
      </c>
      <c r="P1814" s="47" t="n">
        <v>46268.0258333333</v>
      </c>
    </row>
    <row r="1815" customFormat="false" ht="15" hidden="false" customHeight="false" outlineLevel="0" collapsed="false">
      <c r="A1815" s="45" t="n">
        <v>2019</v>
      </c>
      <c r="B1815" s="46" t="n">
        <v>46268</v>
      </c>
      <c r="C1815" s="45" t="s">
        <v>131</v>
      </c>
      <c r="D1815" s="45" t="s">
        <v>132</v>
      </c>
      <c r="E1815" s="45" t="s">
        <v>3660</v>
      </c>
      <c r="F1815" s="45" t="s">
        <v>3661</v>
      </c>
      <c r="G1815" s="46" t="n">
        <v>46267</v>
      </c>
      <c r="H1815" s="45" t="s">
        <v>167</v>
      </c>
      <c r="I1815" s="45" t="s">
        <v>176</v>
      </c>
      <c r="J1815" s="45" t="s">
        <v>3662</v>
      </c>
      <c r="K1815" s="45" t="n">
        <v>1.9</v>
      </c>
      <c r="L1815" s="45" t="s">
        <v>263</v>
      </c>
      <c r="M1815" s="45" t="s">
        <v>259</v>
      </c>
      <c r="N1815" s="45" t="s">
        <v>167</v>
      </c>
      <c r="O1815" s="47" t="n">
        <v>46268.0556018519</v>
      </c>
      <c r="P1815" s="47" t="n">
        <v>46268.0569444444</v>
      </c>
    </row>
    <row r="1816" customFormat="false" ht="15" hidden="false" customHeight="false" outlineLevel="0" collapsed="false">
      <c r="A1816" s="45" t="n">
        <v>2020</v>
      </c>
      <c r="B1816" s="46" t="n">
        <v>46268</v>
      </c>
      <c r="C1816" s="45" t="s">
        <v>131</v>
      </c>
      <c r="D1816" s="45" t="s">
        <v>132</v>
      </c>
      <c r="E1816" s="45" t="s">
        <v>222</v>
      </c>
      <c r="F1816" s="45" t="s">
        <v>3663</v>
      </c>
      <c r="G1816" s="46" t="n">
        <v>46265</v>
      </c>
      <c r="H1816" s="45" t="s">
        <v>57</v>
      </c>
      <c r="I1816" s="45" t="s">
        <v>200</v>
      </c>
      <c r="J1816" s="45" t="s">
        <v>3664</v>
      </c>
      <c r="K1816" s="45" t="n">
        <v>1.7</v>
      </c>
      <c r="L1816" s="45" t="s">
        <v>263</v>
      </c>
      <c r="M1816" s="45" t="s">
        <v>259</v>
      </c>
      <c r="N1816" s="45" t="s">
        <v>57</v>
      </c>
      <c r="O1816" s="47" t="n">
        <v>46268.0569675926</v>
      </c>
      <c r="P1816" s="47" t="n">
        <v>46268.0581481482</v>
      </c>
    </row>
    <row r="1817" customFormat="false" ht="15" hidden="false" customHeight="false" outlineLevel="0" collapsed="false">
      <c r="A1817" s="45" t="n">
        <v>2021</v>
      </c>
      <c r="B1817" s="46" t="n">
        <v>46268</v>
      </c>
      <c r="C1817" s="45" t="s">
        <v>131</v>
      </c>
      <c r="D1817" s="45" t="s">
        <v>132</v>
      </c>
      <c r="E1817" s="45" t="s">
        <v>240</v>
      </c>
      <c r="F1817" s="45" t="s">
        <v>3665</v>
      </c>
      <c r="G1817" s="46" t="n">
        <v>46264</v>
      </c>
      <c r="H1817" s="45" t="s">
        <v>167</v>
      </c>
      <c r="I1817" s="45" t="s">
        <v>181</v>
      </c>
      <c r="J1817" s="45" t="s">
        <v>3666</v>
      </c>
      <c r="K1817" s="45" t="n">
        <v>4.6</v>
      </c>
      <c r="L1817" s="45" t="s">
        <v>263</v>
      </c>
      <c r="M1817" s="45" t="s">
        <v>259</v>
      </c>
      <c r="N1817" s="45" t="s">
        <v>167</v>
      </c>
      <c r="O1817" s="47" t="n">
        <v>46268.0595949074</v>
      </c>
      <c r="P1817" s="47" t="n">
        <v>46268.0627662037</v>
      </c>
    </row>
    <row r="1818" customFormat="false" ht="15" hidden="false" customHeight="false" outlineLevel="0" collapsed="false">
      <c r="A1818" s="45" t="n">
        <v>2022</v>
      </c>
      <c r="B1818" s="46" t="n">
        <v>46268</v>
      </c>
      <c r="C1818" s="45" t="s">
        <v>131</v>
      </c>
      <c r="D1818" s="45" t="s">
        <v>132</v>
      </c>
      <c r="E1818" s="45" t="s">
        <v>3667</v>
      </c>
      <c r="F1818" s="45" t="s">
        <v>3668</v>
      </c>
      <c r="G1818" s="46" t="n">
        <v>46264</v>
      </c>
      <c r="H1818" s="45" t="s">
        <v>167</v>
      </c>
      <c r="I1818" s="45" t="s">
        <v>180</v>
      </c>
      <c r="J1818" s="45" t="s">
        <v>3669</v>
      </c>
      <c r="K1818" s="45" t="n">
        <v>0.8</v>
      </c>
      <c r="L1818" s="45" t="s">
        <v>263</v>
      </c>
      <c r="M1818" s="45" t="s">
        <v>259</v>
      </c>
      <c r="N1818" s="45" t="s">
        <v>167</v>
      </c>
      <c r="O1818" s="47" t="n">
        <v>46268.0691550926</v>
      </c>
      <c r="P1818" s="47" t="n">
        <v>46268.0696875</v>
      </c>
    </row>
    <row r="1819" customFormat="false" ht="15" hidden="false" customHeight="false" outlineLevel="0" collapsed="false">
      <c r="A1819" s="45" t="n">
        <v>2023</v>
      </c>
      <c r="B1819" s="46" t="n">
        <v>46269</v>
      </c>
      <c r="C1819" s="45" t="s">
        <v>139</v>
      </c>
      <c r="D1819" s="45" t="s">
        <v>140</v>
      </c>
      <c r="E1819" s="45" t="s">
        <v>221</v>
      </c>
      <c r="F1819" s="45" t="s">
        <v>3670</v>
      </c>
      <c r="G1819" s="46" t="n">
        <v>46257</v>
      </c>
      <c r="H1819" s="45" t="s">
        <v>167</v>
      </c>
      <c r="I1819" s="45" t="s">
        <v>176</v>
      </c>
      <c r="J1819" s="45" t="s">
        <v>3671</v>
      </c>
      <c r="K1819" s="45" t="n">
        <v>0.6</v>
      </c>
      <c r="L1819" s="45" t="s">
        <v>263</v>
      </c>
      <c r="M1819" s="45" t="s">
        <v>259</v>
      </c>
      <c r="N1819" s="45" t="s">
        <v>167</v>
      </c>
      <c r="O1819" s="47" t="n">
        <v>46269.0767592593</v>
      </c>
      <c r="P1819" s="47" t="n">
        <v>46269.0771412037</v>
      </c>
    </row>
    <row r="1820" customFormat="false" ht="15" hidden="false" customHeight="false" outlineLevel="0" collapsed="false">
      <c r="A1820" s="45" t="n">
        <v>2024</v>
      </c>
      <c r="B1820" s="46" t="n">
        <v>46269</v>
      </c>
      <c r="C1820" s="45" t="s">
        <v>139</v>
      </c>
      <c r="D1820" s="45" t="s">
        <v>140</v>
      </c>
      <c r="E1820" s="45" t="s">
        <v>2816</v>
      </c>
      <c r="F1820" s="45" t="s">
        <v>3672</v>
      </c>
      <c r="G1820" s="46" t="n">
        <v>46256</v>
      </c>
      <c r="H1820" s="45" t="s">
        <v>167</v>
      </c>
      <c r="I1820" s="45" t="s">
        <v>176</v>
      </c>
      <c r="J1820" s="45" t="s">
        <v>3673</v>
      </c>
      <c r="K1820" s="45" t="n">
        <v>0.9</v>
      </c>
      <c r="L1820" s="45" t="s">
        <v>263</v>
      </c>
      <c r="M1820" s="45" t="s">
        <v>259</v>
      </c>
      <c r="N1820" s="45" t="s">
        <v>167</v>
      </c>
      <c r="O1820" s="47" t="n">
        <v>46269.0772453704</v>
      </c>
      <c r="P1820" s="47" t="n">
        <v>46269.0778587963</v>
      </c>
    </row>
    <row r="1821" customFormat="false" ht="15" hidden="false" customHeight="false" outlineLevel="0" collapsed="false">
      <c r="A1821" s="45" t="n">
        <v>2025</v>
      </c>
      <c r="B1821" s="46" t="n">
        <v>46269</v>
      </c>
      <c r="C1821" s="45" t="s">
        <v>139</v>
      </c>
      <c r="D1821" s="45" t="s">
        <v>140</v>
      </c>
      <c r="E1821" s="45" t="s">
        <v>233</v>
      </c>
      <c r="F1821" s="45" t="s">
        <v>3674</v>
      </c>
      <c r="G1821" s="46" t="n">
        <v>46256</v>
      </c>
      <c r="H1821" s="45" t="s">
        <v>167</v>
      </c>
      <c r="I1821" s="45" t="s">
        <v>179</v>
      </c>
      <c r="J1821" s="45" t="s">
        <v>3675</v>
      </c>
      <c r="K1821" s="45" t="n">
        <v>7.8</v>
      </c>
      <c r="L1821" s="45" t="s">
        <v>263</v>
      </c>
      <c r="M1821" s="45" t="s">
        <v>259</v>
      </c>
      <c r="N1821" s="45" t="s">
        <v>167</v>
      </c>
      <c r="O1821" s="47" t="n">
        <v>46269.0779398148</v>
      </c>
      <c r="P1821" s="47" t="n">
        <v>46269.0833564815</v>
      </c>
    </row>
    <row r="1822" customFormat="false" ht="15" hidden="false" customHeight="false" outlineLevel="0" collapsed="false">
      <c r="A1822" s="45" t="n">
        <v>2026</v>
      </c>
      <c r="B1822" s="46" t="n">
        <v>46269</v>
      </c>
      <c r="C1822" s="45" t="s">
        <v>139</v>
      </c>
      <c r="D1822" s="45" t="s">
        <v>140</v>
      </c>
      <c r="E1822" s="45" t="s">
        <v>3676</v>
      </c>
      <c r="F1822" s="45" t="s">
        <v>3677</v>
      </c>
      <c r="G1822" s="46" t="n">
        <v>46255</v>
      </c>
      <c r="H1822" s="45" t="s">
        <v>167</v>
      </c>
      <c r="I1822" s="45" t="s">
        <v>179</v>
      </c>
      <c r="J1822" s="45" t="s">
        <v>3678</v>
      </c>
      <c r="K1822" s="45" t="n">
        <v>1</v>
      </c>
      <c r="L1822" s="45" t="s">
        <v>263</v>
      </c>
      <c r="M1822" s="45" t="s">
        <v>259</v>
      </c>
      <c r="N1822" s="45" t="s">
        <v>167</v>
      </c>
      <c r="O1822" s="47" t="n">
        <v>46269.0833912037</v>
      </c>
      <c r="P1822" s="47" t="n">
        <v>46269.0840740741</v>
      </c>
    </row>
    <row r="1823" customFormat="false" ht="15" hidden="false" customHeight="false" outlineLevel="0" collapsed="false">
      <c r="A1823" s="45" t="n">
        <v>2028</v>
      </c>
      <c r="B1823" s="46" t="n">
        <v>46269</v>
      </c>
      <c r="C1823" s="45" t="s">
        <v>141</v>
      </c>
      <c r="D1823" s="45" t="s">
        <v>142</v>
      </c>
      <c r="E1823" s="45" t="s">
        <v>917</v>
      </c>
      <c r="F1823" s="45" t="s">
        <v>3509</v>
      </c>
      <c r="G1823" s="46" t="n">
        <v>46258</v>
      </c>
      <c r="H1823" s="45" t="s">
        <v>167</v>
      </c>
      <c r="I1823" s="45" t="s">
        <v>185</v>
      </c>
      <c r="J1823" s="45" t="s">
        <v>3679</v>
      </c>
      <c r="K1823" s="45" t="n">
        <v>88.2</v>
      </c>
      <c r="L1823" s="45" t="s">
        <v>259</v>
      </c>
      <c r="M1823" s="45" t="s">
        <v>259</v>
      </c>
      <c r="N1823" s="45" t="s">
        <v>167</v>
      </c>
      <c r="O1823" s="47" t="n">
        <v>46269.1980787037</v>
      </c>
      <c r="P1823" s="47" t="n">
        <v>46269.2593171296</v>
      </c>
    </row>
    <row r="1824" customFormat="false" ht="15" hidden="false" customHeight="false" outlineLevel="0" collapsed="false">
      <c r="A1824" s="45" t="n">
        <v>2029</v>
      </c>
      <c r="B1824" s="46" t="n">
        <v>46269</v>
      </c>
      <c r="C1824" s="45" t="s">
        <v>141</v>
      </c>
      <c r="D1824" s="45" t="s">
        <v>142</v>
      </c>
      <c r="E1824" s="45" t="s">
        <v>284</v>
      </c>
      <c r="F1824" s="45" t="s">
        <v>3680</v>
      </c>
      <c r="G1824" s="46" t="n">
        <v>46259</v>
      </c>
      <c r="H1824" s="45" t="s">
        <v>57</v>
      </c>
      <c r="I1824" s="45" t="s">
        <v>200</v>
      </c>
      <c r="J1824" s="45" t="s">
        <v>3681</v>
      </c>
      <c r="K1824" s="45" t="n">
        <v>3.4</v>
      </c>
      <c r="L1824" s="45" t="s">
        <v>263</v>
      </c>
      <c r="M1824" s="45" t="s">
        <v>259</v>
      </c>
      <c r="N1824" s="45" t="s">
        <v>57</v>
      </c>
      <c r="O1824" s="47" t="n">
        <v>46269.2594675926</v>
      </c>
      <c r="P1824" s="47" t="n">
        <v>46269.2618402778</v>
      </c>
    </row>
    <row r="1825" customFormat="false" ht="15" hidden="false" customHeight="false" outlineLevel="0" collapsed="false">
      <c r="A1825" s="45" t="n">
        <v>2030</v>
      </c>
      <c r="B1825" s="46" t="n">
        <v>46269</v>
      </c>
      <c r="C1825" s="45" t="s">
        <v>141</v>
      </c>
      <c r="D1825" s="45" t="s">
        <v>142</v>
      </c>
      <c r="E1825" s="45" t="s">
        <v>231</v>
      </c>
      <c r="F1825" s="45" t="s">
        <v>3641</v>
      </c>
      <c r="G1825" s="46" t="n">
        <v>46264</v>
      </c>
      <c r="H1825" s="45" t="s">
        <v>167</v>
      </c>
      <c r="I1825" s="45" t="s">
        <v>176</v>
      </c>
      <c r="J1825" s="45" t="s">
        <v>3682</v>
      </c>
      <c r="K1825" s="45" t="n">
        <v>0.4</v>
      </c>
      <c r="L1825" s="45" t="s">
        <v>259</v>
      </c>
      <c r="M1825" s="45" t="s">
        <v>259</v>
      </c>
      <c r="N1825" s="45" t="s">
        <v>167</v>
      </c>
      <c r="O1825" s="47" t="n">
        <v>46269.2621412037</v>
      </c>
      <c r="P1825" s="47" t="n">
        <v>46269.2624421296</v>
      </c>
    </row>
    <row r="1826" customFormat="false" ht="15" hidden="false" customHeight="false" outlineLevel="0" collapsed="false">
      <c r="A1826" s="45" t="n">
        <v>2031</v>
      </c>
      <c r="B1826" s="46" t="n">
        <v>46269</v>
      </c>
      <c r="C1826" s="45" t="s">
        <v>141</v>
      </c>
      <c r="D1826" s="45" t="s">
        <v>142</v>
      </c>
      <c r="E1826" s="45" t="s">
        <v>230</v>
      </c>
      <c r="F1826" s="45" t="s">
        <v>3683</v>
      </c>
      <c r="G1826" s="46" t="n">
        <v>46262</v>
      </c>
      <c r="H1826" s="45" t="s">
        <v>167</v>
      </c>
      <c r="I1826" s="45" t="s">
        <v>178</v>
      </c>
      <c r="J1826" s="45" t="s">
        <v>3684</v>
      </c>
      <c r="K1826" s="45" t="n">
        <v>2</v>
      </c>
      <c r="L1826" s="45" t="s">
        <v>263</v>
      </c>
      <c r="M1826" s="45" t="s">
        <v>259</v>
      </c>
      <c r="N1826" s="45" t="s">
        <v>167</v>
      </c>
      <c r="O1826" s="47" t="n">
        <v>46269.2624652778</v>
      </c>
      <c r="P1826" s="47" t="n">
        <v>46269.2638310185</v>
      </c>
    </row>
    <row r="1827" customFormat="false" ht="15" hidden="false" customHeight="false" outlineLevel="0" collapsed="false">
      <c r="A1827" s="45" t="n">
        <v>2032</v>
      </c>
      <c r="B1827" s="46" t="n">
        <v>46269</v>
      </c>
      <c r="C1827" s="45" t="s">
        <v>141</v>
      </c>
      <c r="D1827" s="45" t="s">
        <v>142</v>
      </c>
      <c r="E1827" s="45" t="s">
        <v>227</v>
      </c>
      <c r="F1827" s="45" t="s">
        <v>3685</v>
      </c>
      <c r="G1827" s="46" t="n">
        <v>46262</v>
      </c>
      <c r="H1827" s="45" t="s">
        <v>168</v>
      </c>
      <c r="I1827" s="45" t="s">
        <v>192</v>
      </c>
      <c r="J1827" s="45" t="s">
        <v>3686</v>
      </c>
      <c r="K1827" s="45" t="n">
        <v>0.5</v>
      </c>
      <c r="L1827" s="45" t="s">
        <v>263</v>
      </c>
      <c r="M1827" s="45" t="s">
        <v>259</v>
      </c>
      <c r="N1827" s="45" t="s">
        <v>2559</v>
      </c>
      <c r="O1827" s="47" t="n">
        <v>46269.2657291667</v>
      </c>
      <c r="P1827" s="47" t="n">
        <v>46269.2660648148</v>
      </c>
    </row>
    <row r="1828" customFormat="false" ht="15" hidden="false" customHeight="false" outlineLevel="0" collapsed="false">
      <c r="A1828" s="45" t="n">
        <v>2033</v>
      </c>
      <c r="B1828" s="46" t="n">
        <v>46269</v>
      </c>
      <c r="C1828" s="45" t="s">
        <v>141</v>
      </c>
      <c r="D1828" s="45" t="s">
        <v>142</v>
      </c>
      <c r="E1828" s="45" t="s">
        <v>1623</v>
      </c>
      <c r="F1828" s="45" t="s">
        <v>3687</v>
      </c>
      <c r="G1828" s="46" t="n">
        <v>46259</v>
      </c>
      <c r="H1828" s="45" t="s">
        <v>168</v>
      </c>
      <c r="I1828" s="45" t="s">
        <v>193</v>
      </c>
      <c r="J1828" s="45" t="s">
        <v>3688</v>
      </c>
      <c r="K1828" s="45" t="n">
        <v>0.6</v>
      </c>
      <c r="L1828" s="45" t="s">
        <v>263</v>
      </c>
      <c r="M1828" s="45" t="s">
        <v>259</v>
      </c>
      <c r="N1828" s="45" t="s">
        <v>2559</v>
      </c>
      <c r="O1828" s="47" t="n">
        <v>46269.2669907407</v>
      </c>
      <c r="P1828" s="47" t="n">
        <v>46269.2674305556</v>
      </c>
    </row>
    <row r="1829" customFormat="false" ht="15" hidden="false" customHeight="false" outlineLevel="0" collapsed="false">
      <c r="A1829" s="45" t="n">
        <v>2034</v>
      </c>
      <c r="B1829" s="46" t="n">
        <v>46269</v>
      </c>
      <c r="C1829" s="45" t="s">
        <v>141</v>
      </c>
      <c r="D1829" s="45" t="s">
        <v>142</v>
      </c>
      <c r="E1829" s="45" t="s">
        <v>284</v>
      </c>
      <c r="F1829" s="45" t="s">
        <v>3689</v>
      </c>
      <c r="G1829" s="46" t="n">
        <v>46261</v>
      </c>
      <c r="H1829" s="45" t="s">
        <v>169</v>
      </c>
      <c r="I1829" s="45"/>
      <c r="J1829" s="45"/>
      <c r="K1829" s="45" t="n">
        <v>0.2</v>
      </c>
      <c r="L1829" s="45" t="s">
        <v>263</v>
      </c>
      <c r="M1829" s="45" t="s">
        <v>259</v>
      </c>
      <c r="N1829" s="45" t="s">
        <v>169</v>
      </c>
      <c r="O1829" s="47" t="n">
        <v>46269.2684027778</v>
      </c>
      <c r="P1829" s="47" t="n">
        <v>46269.2685300926</v>
      </c>
    </row>
    <row r="1830" customFormat="false" ht="15" hidden="false" customHeight="false" outlineLevel="0" collapsed="false">
      <c r="A1830" s="45" t="n">
        <v>2035</v>
      </c>
      <c r="B1830" s="46" t="n">
        <v>46269</v>
      </c>
      <c r="C1830" s="45" t="s">
        <v>141</v>
      </c>
      <c r="D1830" s="45" t="s">
        <v>142</v>
      </c>
      <c r="E1830" s="45" t="s">
        <v>231</v>
      </c>
      <c r="F1830" s="45" t="s">
        <v>3690</v>
      </c>
      <c r="G1830" s="46" t="n">
        <v>46267</v>
      </c>
      <c r="H1830" s="45" t="s">
        <v>167</v>
      </c>
      <c r="I1830" s="45" t="s">
        <v>178</v>
      </c>
      <c r="J1830" s="45" t="s">
        <v>3691</v>
      </c>
      <c r="K1830" s="45" t="n">
        <v>1.3</v>
      </c>
      <c r="L1830" s="45" t="s">
        <v>263</v>
      </c>
      <c r="M1830" s="45" t="s">
        <v>259</v>
      </c>
      <c r="N1830" s="45" t="s">
        <v>167</v>
      </c>
      <c r="O1830" s="47" t="n">
        <v>46269.2844444444</v>
      </c>
      <c r="P1830" s="47" t="n">
        <v>46269.2853356482</v>
      </c>
    </row>
    <row r="1831" customFormat="false" ht="15" hidden="false" customHeight="false" outlineLevel="0" collapsed="false">
      <c r="A1831" s="45" t="n">
        <v>2036</v>
      </c>
      <c r="B1831" s="46" t="n">
        <v>46269</v>
      </c>
      <c r="C1831" s="45" t="s">
        <v>141</v>
      </c>
      <c r="D1831" s="45" t="s">
        <v>142</v>
      </c>
      <c r="E1831" s="45" t="s">
        <v>231</v>
      </c>
      <c r="F1831" s="45" t="s">
        <v>3692</v>
      </c>
      <c r="G1831" s="46" t="n">
        <v>46267</v>
      </c>
      <c r="H1831" s="45" t="s">
        <v>167</v>
      </c>
      <c r="I1831" s="45" t="s">
        <v>176</v>
      </c>
      <c r="J1831" s="45" t="s">
        <v>3693</v>
      </c>
      <c r="K1831" s="45" t="n">
        <v>0.6</v>
      </c>
      <c r="L1831" s="45" t="s">
        <v>263</v>
      </c>
      <c r="M1831" s="45" t="s">
        <v>259</v>
      </c>
      <c r="N1831" s="45" t="s">
        <v>167</v>
      </c>
      <c r="O1831" s="47" t="n">
        <v>46269.2853819444</v>
      </c>
      <c r="P1831" s="47" t="n">
        <v>46269.2857986111</v>
      </c>
    </row>
    <row r="1832" customFormat="false" ht="15" hidden="false" customHeight="false" outlineLevel="0" collapsed="false">
      <c r="A1832" s="45" t="n">
        <v>2037</v>
      </c>
      <c r="B1832" s="46" t="n">
        <v>46270</v>
      </c>
      <c r="C1832" s="45" t="s">
        <v>131</v>
      </c>
      <c r="D1832" s="45" t="s">
        <v>132</v>
      </c>
      <c r="E1832" s="45" t="s">
        <v>222</v>
      </c>
      <c r="F1832" s="45" t="s">
        <v>3694</v>
      </c>
      <c r="G1832" s="46" t="n">
        <v>46270</v>
      </c>
      <c r="H1832" s="45" t="s">
        <v>167</v>
      </c>
      <c r="I1832" s="45" t="s">
        <v>179</v>
      </c>
      <c r="J1832" s="45" t="s">
        <v>3695</v>
      </c>
      <c r="K1832" s="45" t="n">
        <v>1</v>
      </c>
      <c r="L1832" s="45" t="s">
        <v>259</v>
      </c>
      <c r="M1832" s="45" t="s">
        <v>259</v>
      </c>
      <c r="N1832" s="45" t="s">
        <v>167</v>
      </c>
      <c r="O1832" s="47" t="n">
        <v>46270.9045833333</v>
      </c>
      <c r="P1832" s="47" t="n">
        <v>46270.9052777778</v>
      </c>
    </row>
    <row r="1833" customFormat="false" ht="15" hidden="false" customHeight="false" outlineLevel="0" collapsed="false">
      <c r="A1833" s="45" t="n">
        <v>2038</v>
      </c>
      <c r="B1833" s="46" t="n">
        <v>46270</v>
      </c>
      <c r="C1833" s="45" t="s">
        <v>131</v>
      </c>
      <c r="D1833" s="45" t="s">
        <v>132</v>
      </c>
      <c r="E1833" s="45" t="s">
        <v>3539</v>
      </c>
      <c r="F1833" s="45" t="s">
        <v>3696</v>
      </c>
      <c r="G1833" s="46" t="n">
        <v>46269</v>
      </c>
      <c r="H1833" s="45" t="s">
        <v>167</v>
      </c>
      <c r="I1833" s="45" t="s">
        <v>176</v>
      </c>
      <c r="J1833" s="45" t="s">
        <v>3697</v>
      </c>
      <c r="K1833" s="45" t="n">
        <v>46.5</v>
      </c>
      <c r="L1833" s="45" t="s">
        <v>263</v>
      </c>
      <c r="M1833" s="45" t="s">
        <v>259</v>
      </c>
      <c r="N1833" s="45" t="s">
        <v>167</v>
      </c>
      <c r="O1833" s="47" t="n">
        <v>46270.9355787037</v>
      </c>
      <c r="P1833" s="47" t="n">
        <v>46270.9679050926</v>
      </c>
    </row>
    <row r="1834" customFormat="false" ht="15" hidden="false" customHeight="false" outlineLevel="0" collapsed="false">
      <c r="A1834" s="45" t="n">
        <v>2039</v>
      </c>
      <c r="B1834" s="46" t="n">
        <v>46271</v>
      </c>
      <c r="C1834" s="45" t="s">
        <v>131</v>
      </c>
      <c r="D1834" s="45" t="s">
        <v>132</v>
      </c>
      <c r="E1834" s="45" t="s">
        <v>240</v>
      </c>
      <c r="F1834" s="45" t="s">
        <v>3698</v>
      </c>
      <c r="G1834" s="46" t="n">
        <v>46268</v>
      </c>
      <c r="H1834" s="45" t="s">
        <v>167</v>
      </c>
      <c r="I1834" s="45" t="s">
        <v>176</v>
      </c>
      <c r="J1834" s="45" t="s">
        <v>3699</v>
      </c>
      <c r="K1834" s="45" t="n">
        <v>1.3</v>
      </c>
      <c r="L1834" s="45" t="s">
        <v>263</v>
      </c>
      <c r="M1834" s="45" t="s">
        <v>259</v>
      </c>
      <c r="N1834" s="45" t="s">
        <v>167</v>
      </c>
      <c r="O1834" s="47" t="n">
        <v>46271.0115046296</v>
      </c>
      <c r="P1834" s="47" t="n">
        <v>46271.0124305556</v>
      </c>
    </row>
    <row r="1835" customFormat="false" ht="15" hidden="false" customHeight="false" outlineLevel="0" collapsed="false">
      <c r="A1835" s="45" t="n">
        <v>2040</v>
      </c>
      <c r="B1835" s="46" t="n">
        <v>46271</v>
      </c>
      <c r="C1835" s="45" t="s">
        <v>131</v>
      </c>
      <c r="D1835" s="45" t="s">
        <v>132</v>
      </c>
      <c r="E1835" s="45" t="s">
        <v>3660</v>
      </c>
      <c r="F1835" s="45" t="s">
        <v>3700</v>
      </c>
      <c r="G1835" s="46" t="n">
        <v>46267</v>
      </c>
      <c r="H1835" s="45" t="s">
        <v>167</v>
      </c>
      <c r="I1835" s="45" t="s">
        <v>176</v>
      </c>
      <c r="J1835" s="45" t="s">
        <v>3701</v>
      </c>
      <c r="K1835" s="45" t="n">
        <v>8.8</v>
      </c>
      <c r="L1835" s="45" t="s">
        <v>263</v>
      </c>
      <c r="M1835" s="45" t="s">
        <v>259</v>
      </c>
      <c r="N1835" s="45" t="s">
        <v>167</v>
      </c>
      <c r="O1835" s="47" t="n">
        <v>46271.8849537037</v>
      </c>
      <c r="P1835" s="47" t="n">
        <v>46271.891099537</v>
      </c>
    </row>
    <row r="1836" customFormat="false" ht="15" hidden="false" customHeight="false" outlineLevel="0" collapsed="false">
      <c r="A1836" s="45" t="n">
        <v>2041</v>
      </c>
      <c r="B1836" s="46" t="n">
        <v>46271</v>
      </c>
      <c r="C1836" s="45" t="s">
        <v>131</v>
      </c>
      <c r="D1836" s="45" t="s">
        <v>132</v>
      </c>
      <c r="E1836" s="45" t="s">
        <v>2508</v>
      </c>
      <c r="F1836" s="45" t="s">
        <v>3702</v>
      </c>
      <c r="G1836" s="46" t="n">
        <v>46267</v>
      </c>
      <c r="H1836" s="45" t="s">
        <v>167</v>
      </c>
      <c r="I1836" s="45" t="s">
        <v>176</v>
      </c>
      <c r="J1836" s="45" t="s">
        <v>3703</v>
      </c>
      <c r="K1836" s="45" t="n">
        <v>3.8</v>
      </c>
      <c r="L1836" s="45" t="s">
        <v>263</v>
      </c>
      <c r="M1836" s="45" t="s">
        <v>259</v>
      </c>
      <c r="N1836" s="45" t="s">
        <v>167</v>
      </c>
      <c r="O1836" s="47" t="n">
        <v>46271.8913194445</v>
      </c>
      <c r="P1836" s="47" t="n">
        <v>46271.8939351852</v>
      </c>
    </row>
    <row r="1837" customFormat="false" ht="15" hidden="false" customHeight="false" outlineLevel="0" collapsed="false">
      <c r="A1837" s="45" t="n">
        <v>2042</v>
      </c>
      <c r="B1837" s="46" t="n">
        <v>46271</v>
      </c>
      <c r="C1837" s="45" t="s">
        <v>131</v>
      </c>
      <c r="D1837" s="45" t="s">
        <v>132</v>
      </c>
      <c r="E1837" s="45" t="s">
        <v>2508</v>
      </c>
      <c r="F1837" s="45" t="s">
        <v>3704</v>
      </c>
      <c r="G1837" s="46" t="n">
        <v>46267</v>
      </c>
      <c r="H1837" s="45" t="s">
        <v>167</v>
      </c>
      <c r="I1837" s="45" t="s">
        <v>176</v>
      </c>
      <c r="J1837" s="45" t="s">
        <v>3703</v>
      </c>
      <c r="K1837" s="45" t="n">
        <v>1.1</v>
      </c>
      <c r="L1837" s="45" t="s">
        <v>263</v>
      </c>
      <c r="M1837" s="45" t="s">
        <v>259</v>
      </c>
      <c r="N1837" s="45" t="s">
        <v>167</v>
      </c>
      <c r="O1837" s="47" t="n">
        <v>46271.896400463</v>
      </c>
      <c r="P1837" s="47" t="n">
        <v>46271.8971759259</v>
      </c>
    </row>
    <row r="1838" customFormat="false" ht="15" hidden="false" customHeight="false" outlineLevel="0" collapsed="false">
      <c r="A1838" s="45" t="n">
        <v>2043</v>
      </c>
      <c r="B1838" s="46" t="n">
        <v>46271</v>
      </c>
      <c r="C1838" s="45" t="s">
        <v>139</v>
      </c>
      <c r="D1838" s="45" t="s">
        <v>140</v>
      </c>
      <c r="E1838" s="45" t="s">
        <v>2816</v>
      </c>
      <c r="F1838" s="45" t="s">
        <v>3705</v>
      </c>
      <c r="G1838" s="46" t="n">
        <v>46271</v>
      </c>
      <c r="H1838" s="45" t="s">
        <v>57</v>
      </c>
      <c r="I1838" s="45" t="s">
        <v>201</v>
      </c>
      <c r="J1838" s="45" t="s">
        <v>3706</v>
      </c>
      <c r="K1838" s="45" t="n">
        <v>1.5</v>
      </c>
      <c r="L1838" s="45" t="s">
        <v>259</v>
      </c>
      <c r="M1838" s="45" t="s">
        <v>259</v>
      </c>
      <c r="N1838" s="45" t="s">
        <v>57</v>
      </c>
      <c r="O1838" s="47" t="n">
        <v>46271.9515393519</v>
      </c>
      <c r="P1838" s="47" t="n">
        <v>46271.9525694445</v>
      </c>
    </row>
    <row r="1839" customFormat="false" ht="15" hidden="false" customHeight="false" outlineLevel="0" collapsed="false">
      <c r="A1839" s="45" t="n">
        <v>2044</v>
      </c>
      <c r="B1839" s="46" t="n">
        <v>46271</v>
      </c>
      <c r="C1839" s="45" t="s">
        <v>139</v>
      </c>
      <c r="D1839" s="45" t="s">
        <v>140</v>
      </c>
      <c r="E1839" s="45" t="s">
        <v>221</v>
      </c>
      <c r="F1839" s="45" t="s">
        <v>3707</v>
      </c>
      <c r="G1839" s="46" t="n">
        <v>46270</v>
      </c>
      <c r="H1839" s="45" t="s">
        <v>167</v>
      </c>
      <c r="I1839" s="45" t="s">
        <v>176</v>
      </c>
      <c r="J1839" s="45" t="s">
        <v>3341</v>
      </c>
      <c r="K1839" s="45" t="n">
        <v>26.7</v>
      </c>
      <c r="L1839" s="45" t="s">
        <v>259</v>
      </c>
      <c r="M1839" s="45" t="s">
        <v>259</v>
      </c>
      <c r="N1839" s="45" t="s">
        <v>167</v>
      </c>
      <c r="O1839" s="47" t="n">
        <v>46271.9526157407</v>
      </c>
      <c r="P1839" s="47" t="n">
        <v>46271.9711805556</v>
      </c>
    </row>
    <row r="1840" customFormat="false" ht="15" hidden="false" customHeight="false" outlineLevel="0" collapsed="false">
      <c r="A1840" s="45" t="n">
        <v>2045</v>
      </c>
      <c r="B1840" s="46" t="n">
        <v>46272</v>
      </c>
      <c r="C1840" s="45" t="s">
        <v>135</v>
      </c>
      <c r="D1840" s="45" t="s">
        <v>136</v>
      </c>
      <c r="E1840" s="45" t="s">
        <v>3414</v>
      </c>
      <c r="F1840" s="45" t="s">
        <v>3708</v>
      </c>
      <c r="G1840" s="46" t="n">
        <v>46269</v>
      </c>
      <c r="H1840" s="45" t="s">
        <v>167</v>
      </c>
      <c r="I1840" s="45" t="s">
        <v>180</v>
      </c>
      <c r="J1840" s="45" t="s">
        <v>3709</v>
      </c>
      <c r="K1840" s="45" t="n">
        <v>4.9</v>
      </c>
      <c r="L1840" s="45" t="s">
        <v>263</v>
      </c>
      <c r="M1840" s="45" t="s">
        <v>259</v>
      </c>
      <c r="N1840" s="45" t="s">
        <v>167</v>
      </c>
      <c r="O1840" s="47" t="n">
        <v>46272.3632407407</v>
      </c>
      <c r="P1840" s="47" t="n">
        <v>46272.3666666667</v>
      </c>
    </row>
    <row r="1841" customFormat="false" ht="15" hidden="false" customHeight="false" outlineLevel="0" collapsed="false">
      <c r="A1841" s="45" t="n">
        <v>2046</v>
      </c>
      <c r="B1841" s="46" t="n">
        <v>46272</v>
      </c>
      <c r="C1841" s="45" t="s">
        <v>135</v>
      </c>
      <c r="D1841" s="45" t="s">
        <v>136</v>
      </c>
      <c r="E1841" s="45" t="s">
        <v>3298</v>
      </c>
      <c r="F1841" s="45" t="s">
        <v>3710</v>
      </c>
      <c r="G1841" s="46" t="n">
        <v>46269</v>
      </c>
      <c r="H1841" s="45" t="s">
        <v>167</v>
      </c>
      <c r="I1841" s="45" t="s">
        <v>178</v>
      </c>
      <c r="J1841" s="45" t="s">
        <v>3711</v>
      </c>
      <c r="K1841" s="45" t="n">
        <v>6.4</v>
      </c>
      <c r="L1841" s="45" t="s">
        <v>263</v>
      </c>
      <c r="M1841" s="45" t="s">
        <v>259</v>
      </c>
      <c r="N1841" s="45" t="s">
        <v>167</v>
      </c>
      <c r="O1841" s="47" t="n">
        <v>46272.3675</v>
      </c>
      <c r="P1841" s="47" t="n">
        <v>46272.3719675926</v>
      </c>
    </row>
    <row r="1842" customFormat="false" ht="15" hidden="false" customHeight="false" outlineLevel="0" collapsed="false">
      <c r="A1842" s="45" t="n">
        <v>2047</v>
      </c>
      <c r="B1842" s="46" t="n">
        <v>46272</v>
      </c>
      <c r="C1842" s="45" t="s">
        <v>135</v>
      </c>
      <c r="D1842" s="45" t="s">
        <v>136</v>
      </c>
      <c r="E1842" s="45" t="s">
        <v>408</v>
      </c>
      <c r="F1842" s="45" t="s">
        <v>3712</v>
      </c>
      <c r="G1842" s="46" t="n">
        <v>46269</v>
      </c>
      <c r="H1842" s="45" t="s">
        <v>168</v>
      </c>
      <c r="I1842" s="45" t="s">
        <v>192</v>
      </c>
      <c r="J1842" s="45" t="s">
        <v>3713</v>
      </c>
      <c r="K1842" s="45" t="n">
        <v>3.6</v>
      </c>
      <c r="L1842" s="45" t="s">
        <v>263</v>
      </c>
      <c r="M1842" s="45" t="s">
        <v>259</v>
      </c>
      <c r="N1842" s="45" t="s">
        <v>2559</v>
      </c>
      <c r="O1842" s="47" t="n">
        <v>46272.3730671296</v>
      </c>
      <c r="P1842" s="47" t="n">
        <v>46272.3755555556</v>
      </c>
    </row>
    <row r="1843" customFormat="false" ht="15" hidden="false" customHeight="false" outlineLevel="0" collapsed="false">
      <c r="A1843" s="45" t="n">
        <v>2048</v>
      </c>
      <c r="B1843" s="46" t="n">
        <v>46272</v>
      </c>
      <c r="C1843" s="45" t="s">
        <v>135</v>
      </c>
      <c r="D1843" s="45" t="s">
        <v>136</v>
      </c>
      <c r="E1843" s="45" t="s">
        <v>3414</v>
      </c>
      <c r="F1843" s="45" t="s">
        <v>3714</v>
      </c>
      <c r="G1843" s="46" t="n">
        <v>46269</v>
      </c>
      <c r="H1843" s="45" t="s">
        <v>168</v>
      </c>
      <c r="I1843" s="45" t="s">
        <v>191</v>
      </c>
      <c r="J1843" s="45" t="s">
        <v>3715</v>
      </c>
      <c r="K1843" s="45" t="n">
        <v>4.8</v>
      </c>
      <c r="L1843" s="45" t="s">
        <v>263</v>
      </c>
      <c r="M1843" s="45" t="s">
        <v>259</v>
      </c>
      <c r="N1843" s="45" t="s">
        <v>2559</v>
      </c>
      <c r="O1843" s="47" t="n">
        <v>46272.3757291667</v>
      </c>
      <c r="P1843" s="47" t="n">
        <v>46272.3790740741</v>
      </c>
    </row>
    <row r="1844" customFormat="false" ht="15" hidden="false" customHeight="false" outlineLevel="0" collapsed="false">
      <c r="A1844" s="45" t="n">
        <v>2049</v>
      </c>
      <c r="B1844" s="46" t="n">
        <v>46272</v>
      </c>
      <c r="C1844" s="45" t="s">
        <v>135</v>
      </c>
      <c r="D1844" s="45" t="s">
        <v>136</v>
      </c>
      <c r="E1844" s="45" t="s">
        <v>3244</v>
      </c>
      <c r="F1844" s="45" t="s">
        <v>3716</v>
      </c>
      <c r="G1844" s="46" t="n">
        <v>46268</v>
      </c>
      <c r="H1844" s="45" t="s">
        <v>168</v>
      </c>
      <c r="I1844" s="45" t="s">
        <v>193</v>
      </c>
      <c r="J1844" s="45" t="s">
        <v>3717</v>
      </c>
      <c r="K1844" s="45" t="n">
        <v>5.9</v>
      </c>
      <c r="L1844" s="45" t="s">
        <v>263</v>
      </c>
      <c r="M1844" s="45" t="s">
        <v>259</v>
      </c>
      <c r="N1844" s="45" t="s">
        <v>2559</v>
      </c>
      <c r="O1844" s="47" t="n">
        <v>46272.3798611111</v>
      </c>
      <c r="P1844" s="47" t="n">
        <v>46272.3839351852</v>
      </c>
    </row>
    <row r="1845" customFormat="false" ht="15" hidden="false" customHeight="false" outlineLevel="0" collapsed="false">
      <c r="A1845" s="45" t="n">
        <v>2050</v>
      </c>
      <c r="B1845" s="46" t="n">
        <v>46272</v>
      </c>
      <c r="C1845" s="45" t="s">
        <v>135</v>
      </c>
      <c r="D1845" s="45" t="s">
        <v>136</v>
      </c>
      <c r="E1845" s="45" t="s">
        <v>226</v>
      </c>
      <c r="F1845" s="45" t="s">
        <v>3718</v>
      </c>
      <c r="G1845" s="46" t="n">
        <v>46268</v>
      </c>
      <c r="H1845" s="45" t="s">
        <v>168</v>
      </c>
      <c r="I1845" s="45" t="s">
        <v>191</v>
      </c>
      <c r="J1845" s="45" t="s">
        <v>3719</v>
      </c>
      <c r="K1845" s="45" t="n">
        <v>3.9</v>
      </c>
      <c r="L1845" s="45" t="s">
        <v>263</v>
      </c>
      <c r="M1845" s="45" t="s">
        <v>259</v>
      </c>
      <c r="N1845" s="45" t="s">
        <v>2559</v>
      </c>
      <c r="O1845" s="47" t="n">
        <v>46272.3848726852</v>
      </c>
      <c r="P1845" s="47" t="n">
        <v>46272.3875810185</v>
      </c>
    </row>
    <row r="1846" customFormat="false" ht="15" hidden="false" customHeight="false" outlineLevel="0" collapsed="false">
      <c r="A1846" s="45" t="n">
        <v>2051</v>
      </c>
      <c r="B1846" s="46" t="n">
        <v>46272</v>
      </c>
      <c r="C1846" s="45" t="s">
        <v>135</v>
      </c>
      <c r="D1846" s="45" t="s">
        <v>136</v>
      </c>
      <c r="E1846" s="45" t="s">
        <v>3414</v>
      </c>
      <c r="F1846" s="45" t="s">
        <v>3720</v>
      </c>
      <c r="G1846" s="46" t="n">
        <v>46268</v>
      </c>
      <c r="H1846" s="45" t="s">
        <v>167</v>
      </c>
      <c r="I1846" s="45" t="s">
        <v>177</v>
      </c>
      <c r="J1846" s="45" t="s">
        <v>3721</v>
      </c>
      <c r="K1846" s="45" t="n">
        <v>2.8</v>
      </c>
      <c r="L1846" s="45" t="s">
        <v>263</v>
      </c>
      <c r="M1846" s="45" t="s">
        <v>259</v>
      </c>
      <c r="N1846" s="45" t="s">
        <v>167</v>
      </c>
      <c r="O1846" s="47" t="n">
        <v>46272.3888194444</v>
      </c>
      <c r="P1846" s="47" t="n">
        <v>46272.3907291667</v>
      </c>
    </row>
    <row r="1847" customFormat="false" ht="15" hidden="false" customHeight="false" outlineLevel="0" collapsed="false">
      <c r="A1847" s="45" t="n">
        <v>2052</v>
      </c>
      <c r="B1847" s="46" t="n">
        <v>46273</v>
      </c>
      <c r="C1847" s="45" t="s">
        <v>153</v>
      </c>
      <c r="D1847" s="45" t="s">
        <v>154</v>
      </c>
      <c r="E1847" s="45" t="s">
        <v>3722</v>
      </c>
      <c r="F1847" s="45" t="s">
        <v>3723</v>
      </c>
      <c r="G1847" s="46" t="n">
        <v>46261</v>
      </c>
      <c r="H1847" s="45" t="s">
        <v>167</v>
      </c>
      <c r="I1847" s="45" t="s">
        <v>180</v>
      </c>
      <c r="J1847" s="45"/>
      <c r="K1847" s="45" t="n">
        <v>2.4</v>
      </c>
      <c r="L1847" s="45" t="s">
        <v>263</v>
      </c>
      <c r="M1847" s="45" t="s">
        <v>259</v>
      </c>
      <c r="N1847" s="45" t="s">
        <v>167</v>
      </c>
      <c r="O1847" s="47" t="n">
        <v>46273.0965393519</v>
      </c>
      <c r="P1847" s="47" t="n">
        <v>46273.0982060185</v>
      </c>
    </row>
    <row r="1848" customFormat="false" ht="15" hidden="false" customHeight="false" outlineLevel="0" collapsed="false">
      <c r="A1848" s="45" t="n">
        <v>2073</v>
      </c>
      <c r="B1848" s="46" t="n">
        <v>46273</v>
      </c>
      <c r="C1848" s="45" t="s">
        <v>153</v>
      </c>
      <c r="D1848" s="45" t="s">
        <v>154</v>
      </c>
      <c r="E1848" s="45" t="s">
        <v>3724</v>
      </c>
      <c r="F1848" s="45" t="s">
        <v>3725</v>
      </c>
      <c r="G1848" s="46" t="n">
        <v>46273</v>
      </c>
      <c r="H1848" s="45" t="s">
        <v>167</v>
      </c>
      <c r="I1848" s="45" t="s">
        <v>176</v>
      </c>
      <c r="J1848" s="45"/>
      <c r="K1848" s="45" t="n">
        <v>4012.7</v>
      </c>
      <c r="L1848" s="45" t="s">
        <v>263</v>
      </c>
      <c r="M1848" s="45" t="s">
        <v>259</v>
      </c>
      <c r="N1848" s="45" t="s">
        <v>167</v>
      </c>
      <c r="O1848" s="47" t="n">
        <v>46273.1019907407</v>
      </c>
      <c r="P1848" s="47" t="n">
        <v>46275.888587963</v>
      </c>
    </row>
    <row r="1849" customFormat="false" ht="15" hidden="false" customHeight="false" outlineLevel="0" collapsed="false">
      <c r="A1849" s="45" t="n">
        <v>2058</v>
      </c>
      <c r="B1849" s="46" t="n">
        <v>46274</v>
      </c>
      <c r="C1849" s="45" t="s">
        <v>131</v>
      </c>
      <c r="D1849" s="45" t="s">
        <v>132</v>
      </c>
      <c r="E1849" s="45" t="s">
        <v>3726</v>
      </c>
      <c r="F1849" s="45" t="s">
        <v>3727</v>
      </c>
      <c r="G1849" s="46" t="n">
        <v>46270</v>
      </c>
      <c r="H1849" s="45" t="s">
        <v>167</v>
      </c>
      <c r="I1849" s="45" t="s">
        <v>176</v>
      </c>
      <c r="J1849" s="45" t="s">
        <v>3728</v>
      </c>
      <c r="K1849" s="45" t="n">
        <v>339.3</v>
      </c>
      <c r="L1849" s="45" t="s">
        <v>259</v>
      </c>
      <c r="M1849" s="45" t="s">
        <v>259</v>
      </c>
      <c r="N1849" s="45" t="s">
        <v>167</v>
      </c>
      <c r="O1849" s="47" t="n">
        <v>46274.8425462963</v>
      </c>
      <c r="P1849" s="47" t="n">
        <v>46275.0781481482</v>
      </c>
    </row>
    <row r="1850" customFormat="false" ht="15" hidden="false" customHeight="false" outlineLevel="0" collapsed="false">
      <c r="A1850" s="45" t="n">
        <v>2053</v>
      </c>
      <c r="B1850" s="46" t="n">
        <v>46275</v>
      </c>
      <c r="C1850" s="45" t="s">
        <v>141</v>
      </c>
      <c r="D1850" s="45" t="s">
        <v>142</v>
      </c>
      <c r="E1850" s="45" t="s">
        <v>232</v>
      </c>
      <c r="F1850" s="45" t="s">
        <v>3729</v>
      </c>
      <c r="G1850" s="46" t="n">
        <v>46271</v>
      </c>
      <c r="H1850" s="45" t="s">
        <v>167</v>
      </c>
      <c r="I1850" s="45" t="s">
        <v>183</v>
      </c>
      <c r="J1850" s="45" t="s">
        <v>3730</v>
      </c>
      <c r="K1850" s="45" t="n">
        <v>5</v>
      </c>
      <c r="L1850" s="45" t="s">
        <v>263</v>
      </c>
      <c r="M1850" s="45" t="s">
        <v>259</v>
      </c>
      <c r="N1850" s="45" t="s">
        <v>167</v>
      </c>
      <c r="O1850" s="47" t="n">
        <v>46275.0008564815</v>
      </c>
      <c r="P1850" s="47" t="n">
        <v>46275.0043402778</v>
      </c>
    </row>
    <row r="1851" customFormat="false" ht="15" hidden="false" customHeight="false" outlineLevel="0" collapsed="false">
      <c r="A1851" s="45" t="n">
        <v>2054</v>
      </c>
      <c r="B1851" s="46" t="n">
        <v>46275</v>
      </c>
      <c r="C1851" s="45" t="s">
        <v>141</v>
      </c>
      <c r="D1851" s="45" t="s">
        <v>142</v>
      </c>
      <c r="E1851" s="45" t="s">
        <v>232</v>
      </c>
      <c r="F1851" s="45" t="s">
        <v>3731</v>
      </c>
      <c r="G1851" s="46" t="n">
        <v>46271</v>
      </c>
      <c r="H1851" s="45" t="s">
        <v>167</v>
      </c>
      <c r="I1851" s="45" t="s">
        <v>176</v>
      </c>
      <c r="J1851" s="45" t="s">
        <v>3732</v>
      </c>
      <c r="K1851" s="45" t="n">
        <v>0.9</v>
      </c>
      <c r="L1851" s="45" t="s">
        <v>263</v>
      </c>
      <c r="M1851" s="45" t="s">
        <v>259</v>
      </c>
      <c r="N1851" s="45" t="s">
        <v>167</v>
      </c>
      <c r="O1851" s="47" t="n">
        <v>46275.0170486111</v>
      </c>
      <c r="P1851" s="47" t="n">
        <v>46275.0177083333</v>
      </c>
    </row>
    <row r="1852" customFormat="false" ht="15" hidden="false" customHeight="false" outlineLevel="0" collapsed="false">
      <c r="A1852" s="45" t="n">
        <v>2055</v>
      </c>
      <c r="B1852" s="46" t="n">
        <v>46275</v>
      </c>
      <c r="C1852" s="45" t="s">
        <v>141</v>
      </c>
      <c r="D1852" s="45" t="s">
        <v>142</v>
      </c>
      <c r="E1852" s="45" t="s">
        <v>232</v>
      </c>
      <c r="F1852" s="45" t="s">
        <v>3733</v>
      </c>
      <c r="G1852" s="46" t="n">
        <v>46271</v>
      </c>
      <c r="H1852" s="45" t="s">
        <v>167</v>
      </c>
      <c r="I1852" s="45" t="s">
        <v>184</v>
      </c>
      <c r="J1852" s="45" t="s">
        <v>3734</v>
      </c>
      <c r="K1852" s="45" t="n">
        <v>10.9</v>
      </c>
      <c r="L1852" s="45" t="s">
        <v>263</v>
      </c>
      <c r="M1852" s="45" t="s">
        <v>259</v>
      </c>
      <c r="N1852" s="45" t="s">
        <v>167</v>
      </c>
      <c r="O1852" s="47" t="n">
        <v>46275.0177662037</v>
      </c>
      <c r="P1852" s="47" t="n">
        <v>46275.0253587963</v>
      </c>
    </row>
    <row r="1853" customFormat="false" ht="15" hidden="false" customHeight="false" outlineLevel="0" collapsed="false">
      <c r="A1853" s="45" t="n">
        <v>2056</v>
      </c>
      <c r="B1853" s="46" t="n">
        <v>46275</v>
      </c>
      <c r="C1853" s="45" t="s">
        <v>141</v>
      </c>
      <c r="D1853" s="45" t="s">
        <v>142</v>
      </c>
      <c r="E1853" s="45" t="s">
        <v>232</v>
      </c>
      <c r="F1853" s="45" t="s">
        <v>3735</v>
      </c>
      <c r="G1853" s="46" t="n">
        <v>46273</v>
      </c>
      <c r="H1853" s="45" t="s">
        <v>167</v>
      </c>
      <c r="I1853" s="45" t="s">
        <v>184</v>
      </c>
      <c r="J1853" s="45" t="s">
        <v>3736</v>
      </c>
      <c r="K1853" s="45" t="n">
        <v>1.1</v>
      </c>
      <c r="L1853" s="45" t="s">
        <v>263</v>
      </c>
      <c r="M1853" s="45" t="s">
        <v>259</v>
      </c>
      <c r="N1853" s="45" t="s">
        <v>167</v>
      </c>
      <c r="O1853" s="47" t="n">
        <v>46275.0273726852</v>
      </c>
      <c r="P1853" s="47" t="n">
        <v>46275.0281597222</v>
      </c>
    </row>
    <row r="1854" customFormat="false" ht="15" hidden="false" customHeight="false" outlineLevel="0" collapsed="false">
      <c r="A1854" s="45" t="n">
        <v>2057</v>
      </c>
      <c r="B1854" s="46" t="n">
        <v>46275</v>
      </c>
      <c r="C1854" s="45" t="s">
        <v>141</v>
      </c>
      <c r="D1854" s="45" t="s">
        <v>142</v>
      </c>
      <c r="E1854" s="45" t="s">
        <v>543</v>
      </c>
      <c r="F1854" s="45" t="s">
        <v>3737</v>
      </c>
      <c r="G1854" s="46" t="n">
        <v>46273</v>
      </c>
      <c r="H1854" s="45" t="s">
        <v>167</v>
      </c>
      <c r="I1854" s="45" t="s">
        <v>176</v>
      </c>
      <c r="J1854" s="45" t="s">
        <v>3738</v>
      </c>
      <c r="K1854" s="45" t="n">
        <v>0.8</v>
      </c>
      <c r="L1854" s="45" t="s">
        <v>263</v>
      </c>
      <c r="M1854" s="45" t="s">
        <v>259</v>
      </c>
      <c r="N1854" s="45" t="s">
        <v>167</v>
      </c>
      <c r="O1854" s="47" t="n">
        <v>46275.0367708333</v>
      </c>
      <c r="P1854" s="47" t="n">
        <v>46275.0372916667</v>
      </c>
    </row>
    <row r="1855" customFormat="false" ht="15" hidden="false" customHeight="false" outlineLevel="0" collapsed="false">
      <c r="A1855" s="45" t="n">
        <v>2059</v>
      </c>
      <c r="B1855" s="46" t="n">
        <v>46275</v>
      </c>
      <c r="C1855" s="45" t="s">
        <v>131</v>
      </c>
      <c r="D1855" s="45" t="s">
        <v>132</v>
      </c>
      <c r="E1855" s="45" t="s">
        <v>222</v>
      </c>
      <c r="F1855" s="45" t="s">
        <v>3694</v>
      </c>
      <c r="G1855" s="46" t="n">
        <v>46270</v>
      </c>
      <c r="H1855" s="45" t="s">
        <v>167</v>
      </c>
      <c r="I1855" s="45" t="s">
        <v>176</v>
      </c>
      <c r="J1855" s="45" t="s">
        <v>3739</v>
      </c>
      <c r="K1855" s="45" t="n">
        <v>1.4</v>
      </c>
      <c r="L1855" s="45" t="s">
        <v>259</v>
      </c>
      <c r="M1855" s="45" t="s">
        <v>259</v>
      </c>
      <c r="N1855" s="45" t="s">
        <v>167</v>
      </c>
      <c r="O1855" s="47" t="n">
        <v>46275.0783217593</v>
      </c>
      <c r="P1855" s="47" t="n">
        <v>46275.0793287037</v>
      </c>
    </row>
    <row r="1856" customFormat="false" ht="15" hidden="false" customHeight="false" outlineLevel="0" collapsed="false">
      <c r="A1856" s="45" t="n">
        <v>2060</v>
      </c>
      <c r="B1856" s="46" t="n">
        <v>46275</v>
      </c>
      <c r="C1856" s="45" t="s">
        <v>131</v>
      </c>
      <c r="D1856" s="45" t="s">
        <v>132</v>
      </c>
      <c r="E1856" s="45" t="s">
        <v>2127</v>
      </c>
      <c r="F1856" s="45" t="s">
        <v>3740</v>
      </c>
      <c r="G1856" s="46" t="n">
        <v>46269</v>
      </c>
      <c r="H1856" s="45" t="s">
        <v>167</v>
      </c>
      <c r="I1856" s="45" t="s">
        <v>176</v>
      </c>
      <c r="J1856" s="45" t="s">
        <v>3741</v>
      </c>
      <c r="K1856" s="45" t="n">
        <v>7.7</v>
      </c>
      <c r="L1856" s="45" t="s">
        <v>263</v>
      </c>
      <c r="M1856" s="45" t="s">
        <v>259</v>
      </c>
      <c r="N1856" s="45" t="s">
        <v>167</v>
      </c>
      <c r="O1856" s="47" t="n">
        <v>46275.0797106482</v>
      </c>
      <c r="P1856" s="47" t="n">
        <v>46275.0850810185</v>
      </c>
    </row>
    <row r="1857" customFormat="false" ht="15" hidden="false" customHeight="false" outlineLevel="0" collapsed="false">
      <c r="A1857" s="45" t="n">
        <v>2061</v>
      </c>
      <c r="B1857" s="46" t="n">
        <v>46275</v>
      </c>
      <c r="C1857" s="45" t="s">
        <v>141</v>
      </c>
      <c r="D1857" s="45" t="s">
        <v>142</v>
      </c>
      <c r="E1857" s="45" t="s">
        <v>224</v>
      </c>
      <c r="F1857" s="45" t="s">
        <v>3742</v>
      </c>
      <c r="G1857" s="46" t="n">
        <v>46270</v>
      </c>
      <c r="H1857" s="45" t="s">
        <v>167</v>
      </c>
      <c r="I1857" s="45" t="s">
        <v>176</v>
      </c>
      <c r="J1857" s="45" t="s">
        <v>3743</v>
      </c>
      <c r="K1857" s="45" t="n">
        <v>26</v>
      </c>
      <c r="L1857" s="45" t="s">
        <v>263</v>
      </c>
      <c r="M1857" s="45" t="s">
        <v>259</v>
      </c>
      <c r="N1857" s="45" t="s">
        <v>167</v>
      </c>
      <c r="O1857" s="47" t="n">
        <v>46275.127337963</v>
      </c>
      <c r="P1857" s="47" t="n">
        <v>46275.1453819444</v>
      </c>
    </row>
    <row r="1858" customFormat="false" ht="15" hidden="false" customHeight="false" outlineLevel="0" collapsed="false">
      <c r="A1858" s="45" t="n">
        <v>2066</v>
      </c>
      <c r="B1858" s="46" t="n">
        <v>46275</v>
      </c>
      <c r="C1858" s="45" t="s">
        <v>141</v>
      </c>
      <c r="D1858" s="45" t="s">
        <v>142</v>
      </c>
      <c r="E1858" s="45" t="s">
        <v>227</v>
      </c>
      <c r="F1858" s="45" t="s">
        <v>3744</v>
      </c>
      <c r="G1858" s="46" t="n">
        <v>46268</v>
      </c>
      <c r="H1858" s="45" t="s">
        <v>167</v>
      </c>
      <c r="I1858" s="45" t="s">
        <v>181</v>
      </c>
      <c r="J1858" s="45" t="s">
        <v>3745</v>
      </c>
      <c r="K1858" s="45" t="n">
        <v>113</v>
      </c>
      <c r="L1858" s="45" t="s">
        <v>263</v>
      </c>
      <c r="M1858" s="45" t="s">
        <v>259</v>
      </c>
      <c r="N1858" s="45" t="s">
        <v>167</v>
      </c>
      <c r="O1858" s="47" t="n">
        <v>46275.1870833333</v>
      </c>
      <c r="P1858" s="47" t="n">
        <v>46275.2655555556</v>
      </c>
    </row>
    <row r="1859" customFormat="false" ht="15" hidden="false" customHeight="false" outlineLevel="0" collapsed="false">
      <c r="A1859" s="45" t="n">
        <v>2062</v>
      </c>
      <c r="B1859" s="46" t="n">
        <v>46275</v>
      </c>
      <c r="C1859" s="45" t="s">
        <v>135</v>
      </c>
      <c r="D1859" s="45" t="s">
        <v>136</v>
      </c>
      <c r="E1859" s="45" t="s">
        <v>669</v>
      </c>
      <c r="F1859" s="45" t="s">
        <v>3746</v>
      </c>
      <c r="G1859" s="46" t="n">
        <v>46273</v>
      </c>
      <c r="H1859" s="45" t="s">
        <v>168</v>
      </c>
      <c r="I1859" s="45" t="s">
        <v>192</v>
      </c>
      <c r="J1859" s="45" t="s">
        <v>3747</v>
      </c>
      <c r="K1859" s="45" t="n">
        <v>1.1</v>
      </c>
      <c r="L1859" s="45" t="s">
        <v>263</v>
      </c>
      <c r="M1859" s="45" t="s">
        <v>259</v>
      </c>
      <c r="N1859" s="45" t="s">
        <v>2559</v>
      </c>
      <c r="O1859" s="47" t="n">
        <v>46275.2306712963</v>
      </c>
      <c r="P1859" s="47" t="n">
        <v>46275.2314467593</v>
      </c>
    </row>
    <row r="1860" customFormat="false" ht="15" hidden="false" customHeight="false" outlineLevel="0" collapsed="false">
      <c r="A1860" s="45" t="n">
        <v>2063</v>
      </c>
      <c r="B1860" s="46" t="n">
        <v>46275</v>
      </c>
      <c r="C1860" s="45" t="s">
        <v>135</v>
      </c>
      <c r="D1860" s="45" t="s">
        <v>136</v>
      </c>
      <c r="E1860" s="45" t="s">
        <v>220</v>
      </c>
      <c r="F1860" s="45" t="s">
        <v>3748</v>
      </c>
      <c r="G1860" s="46" t="n">
        <v>46273</v>
      </c>
      <c r="H1860" s="45" t="s">
        <v>167</v>
      </c>
      <c r="I1860" s="45" t="s">
        <v>178</v>
      </c>
      <c r="J1860" s="45" t="s">
        <v>3749</v>
      </c>
      <c r="K1860" s="45" t="n">
        <v>20.7</v>
      </c>
      <c r="L1860" s="45" t="s">
        <v>263</v>
      </c>
      <c r="M1860" s="45" t="s">
        <v>259</v>
      </c>
      <c r="N1860" s="45" t="s">
        <v>167</v>
      </c>
      <c r="O1860" s="47" t="n">
        <v>46275.2315162037</v>
      </c>
      <c r="P1860" s="47" t="n">
        <v>46275.2458912037</v>
      </c>
    </row>
    <row r="1861" customFormat="false" ht="15" hidden="false" customHeight="false" outlineLevel="0" collapsed="false">
      <c r="A1861" s="45" t="n">
        <v>2064</v>
      </c>
      <c r="B1861" s="46" t="n">
        <v>46275</v>
      </c>
      <c r="C1861" s="45" t="s">
        <v>135</v>
      </c>
      <c r="D1861" s="45" t="s">
        <v>136</v>
      </c>
      <c r="E1861" s="45" t="s">
        <v>220</v>
      </c>
      <c r="F1861" s="45" t="s">
        <v>3750</v>
      </c>
      <c r="G1861" s="46" t="n">
        <v>46273</v>
      </c>
      <c r="H1861" s="45" t="s">
        <v>169</v>
      </c>
      <c r="I1861" s="45"/>
      <c r="J1861" s="45"/>
      <c r="K1861" s="45" t="n">
        <v>2.1</v>
      </c>
      <c r="L1861" s="45" t="s">
        <v>263</v>
      </c>
      <c r="M1861" s="45" t="s">
        <v>259</v>
      </c>
      <c r="N1861" s="45" t="s">
        <v>169</v>
      </c>
      <c r="O1861" s="47" t="n">
        <v>46275.2459143519</v>
      </c>
      <c r="P1861" s="47" t="n">
        <v>46275.247349537</v>
      </c>
    </row>
    <row r="1862" customFormat="false" ht="15" hidden="false" customHeight="false" outlineLevel="0" collapsed="false">
      <c r="A1862" s="45" t="n">
        <v>2065</v>
      </c>
      <c r="B1862" s="46" t="n">
        <v>46275</v>
      </c>
      <c r="C1862" s="45" t="s">
        <v>135</v>
      </c>
      <c r="D1862" s="45" t="s">
        <v>136</v>
      </c>
      <c r="E1862" s="45" t="s">
        <v>219</v>
      </c>
      <c r="F1862" s="45" t="s">
        <v>3751</v>
      </c>
      <c r="G1862" s="46" t="n">
        <v>46274</v>
      </c>
      <c r="H1862" s="45" t="s">
        <v>167</v>
      </c>
      <c r="I1862" s="45" t="s">
        <v>180</v>
      </c>
      <c r="J1862" s="45" t="s">
        <v>3752</v>
      </c>
      <c r="K1862" s="45" t="n">
        <v>7.8</v>
      </c>
      <c r="L1862" s="45" t="s">
        <v>263</v>
      </c>
      <c r="M1862" s="45" t="s">
        <v>259</v>
      </c>
      <c r="N1862" s="45" t="s">
        <v>167</v>
      </c>
      <c r="O1862" s="47" t="n">
        <v>46275.2475462963</v>
      </c>
      <c r="P1862" s="47" t="n">
        <v>46275.252974537</v>
      </c>
    </row>
    <row r="1863" customFormat="false" ht="15" hidden="false" customHeight="false" outlineLevel="0" collapsed="false">
      <c r="A1863" s="45" t="n">
        <v>2068</v>
      </c>
      <c r="B1863" s="46" t="n">
        <v>46275</v>
      </c>
      <c r="C1863" s="45" t="s">
        <v>135</v>
      </c>
      <c r="D1863" s="45" t="s">
        <v>136</v>
      </c>
      <c r="E1863" s="45" t="s">
        <v>3414</v>
      </c>
      <c r="F1863" s="45" t="s">
        <v>3753</v>
      </c>
      <c r="G1863" s="46" t="n">
        <v>46271</v>
      </c>
      <c r="H1863" s="45" t="s">
        <v>167</v>
      </c>
      <c r="I1863" s="45" t="s">
        <v>178</v>
      </c>
      <c r="J1863" s="45" t="s">
        <v>3754</v>
      </c>
      <c r="K1863" s="45" t="n">
        <v>52.2</v>
      </c>
      <c r="L1863" s="45" t="s">
        <v>263</v>
      </c>
      <c r="M1863" s="45" t="s">
        <v>259</v>
      </c>
      <c r="N1863" s="45" t="s">
        <v>167</v>
      </c>
      <c r="O1863" s="47" t="n">
        <v>46275.2531712963</v>
      </c>
      <c r="P1863" s="47" t="n">
        <v>46275.2894097222</v>
      </c>
    </row>
    <row r="1864" customFormat="false" ht="15" hidden="false" customHeight="false" outlineLevel="0" collapsed="false">
      <c r="A1864" s="45" t="n">
        <v>2067</v>
      </c>
      <c r="B1864" s="46" t="n">
        <v>46275</v>
      </c>
      <c r="C1864" s="45" t="s">
        <v>141</v>
      </c>
      <c r="D1864" s="45" t="s">
        <v>142</v>
      </c>
      <c r="E1864" s="45" t="s">
        <v>3223</v>
      </c>
      <c r="F1864" s="45" t="s">
        <v>3755</v>
      </c>
      <c r="G1864" s="46" t="n">
        <v>46264</v>
      </c>
      <c r="H1864" s="45" t="s">
        <v>167</v>
      </c>
      <c r="I1864" s="45" t="s">
        <v>181</v>
      </c>
      <c r="J1864" s="45" t="s">
        <v>3756</v>
      </c>
      <c r="K1864" s="45" t="n">
        <v>6.5</v>
      </c>
      <c r="L1864" s="45" t="s">
        <v>263</v>
      </c>
      <c r="M1864" s="45" t="s">
        <v>259</v>
      </c>
      <c r="N1864" s="45" t="s">
        <v>167</v>
      </c>
      <c r="O1864" s="47" t="n">
        <v>46275.2658101852</v>
      </c>
      <c r="P1864" s="47" t="n">
        <v>46275.2703356482</v>
      </c>
    </row>
    <row r="1865" customFormat="false" ht="15" hidden="false" customHeight="false" outlineLevel="0" collapsed="false">
      <c r="A1865" s="45" t="n">
        <v>2078</v>
      </c>
      <c r="B1865" s="46" t="n">
        <v>46275</v>
      </c>
      <c r="C1865" s="45" t="s">
        <v>141</v>
      </c>
      <c r="D1865" s="45" t="s">
        <v>142</v>
      </c>
      <c r="E1865" s="45" t="s">
        <v>224</v>
      </c>
      <c r="F1865" s="45" t="s">
        <v>3757</v>
      </c>
      <c r="G1865" s="46" t="n">
        <v>46273</v>
      </c>
      <c r="H1865" s="45" t="s">
        <v>167</v>
      </c>
      <c r="I1865" s="45" t="s">
        <v>176</v>
      </c>
      <c r="J1865" s="45" t="s">
        <v>3758</v>
      </c>
      <c r="K1865" s="45" t="n">
        <v>1149.1</v>
      </c>
      <c r="L1865" s="45" t="s">
        <v>263</v>
      </c>
      <c r="M1865" s="45" t="s">
        <v>259</v>
      </c>
      <c r="N1865" s="45" t="s">
        <v>167</v>
      </c>
      <c r="O1865" s="47" t="n">
        <v>46275.2703935185</v>
      </c>
      <c r="P1865" s="47" t="n">
        <v>46276.0683796296</v>
      </c>
    </row>
    <row r="1866" customFormat="false" ht="15" hidden="false" customHeight="false" outlineLevel="0" collapsed="false">
      <c r="A1866" s="45" t="n">
        <v>2069</v>
      </c>
      <c r="B1866" s="46" t="n">
        <v>46275</v>
      </c>
      <c r="C1866" s="45" t="s">
        <v>135</v>
      </c>
      <c r="D1866" s="45" t="s">
        <v>136</v>
      </c>
      <c r="E1866" s="45" t="s">
        <v>3519</v>
      </c>
      <c r="F1866" s="45" t="s">
        <v>3759</v>
      </c>
      <c r="G1866" s="46" t="n">
        <v>46273</v>
      </c>
      <c r="H1866" s="45" t="s">
        <v>57</v>
      </c>
      <c r="I1866" s="45" t="s">
        <v>200</v>
      </c>
      <c r="J1866" s="45" t="s">
        <v>3760</v>
      </c>
      <c r="K1866" s="45" t="n">
        <v>11.1</v>
      </c>
      <c r="L1866" s="45" t="s">
        <v>263</v>
      </c>
      <c r="M1866" s="45" t="s">
        <v>259</v>
      </c>
      <c r="N1866" s="45" t="s">
        <v>57</v>
      </c>
      <c r="O1866" s="47" t="n">
        <v>46275.2894675926</v>
      </c>
      <c r="P1866" s="47" t="n">
        <v>46275.2971875</v>
      </c>
    </row>
    <row r="1867" customFormat="false" ht="15" hidden="false" customHeight="false" outlineLevel="0" collapsed="false">
      <c r="A1867" s="45" t="n">
        <v>2070</v>
      </c>
      <c r="B1867" s="46" t="n">
        <v>46275</v>
      </c>
      <c r="C1867" s="45" t="s">
        <v>135</v>
      </c>
      <c r="D1867" s="45" t="s">
        <v>136</v>
      </c>
      <c r="E1867" s="45" t="s">
        <v>226</v>
      </c>
      <c r="F1867" s="45" t="s">
        <v>3761</v>
      </c>
      <c r="G1867" s="46" t="n">
        <v>46274</v>
      </c>
      <c r="H1867" s="45" t="s">
        <v>167</v>
      </c>
      <c r="I1867" s="45" t="s">
        <v>180</v>
      </c>
      <c r="J1867" s="45" t="s">
        <v>3762</v>
      </c>
      <c r="K1867" s="45" t="n">
        <v>1.6</v>
      </c>
      <c r="L1867" s="45" t="s">
        <v>263</v>
      </c>
      <c r="M1867" s="45" t="s">
        <v>259</v>
      </c>
      <c r="N1867" s="45" t="s">
        <v>167</v>
      </c>
      <c r="O1867" s="47" t="n">
        <v>46275.3000115741</v>
      </c>
      <c r="P1867" s="47" t="n">
        <v>46275.301099537</v>
      </c>
    </row>
    <row r="1868" customFormat="false" ht="15" hidden="false" customHeight="false" outlineLevel="0" collapsed="false">
      <c r="A1868" s="45" t="n">
        <v>2071</v>
      </c>
      <c r="B1868" s="46" t="n">
        <v>46275</v>
      </c>
      <c r="C1868" s="45" t="s">
        <v>139</v>
      </c>
      <c r="D1868" s="45" t="s">
        <v>140</v>
      </c>
      <c r="E1868" s="45" t="s">
        <v>233</v>
      </c>
      <c r="F1868" s="45" t="s">
        <v>3763</v>
      </c>
      <c r="G1868" s="46" t="n">
        <v>46270</v>
      </c>
      <c r="H1868" s="45" t="s">
        <v>167</v>
      </c>
      <c r="I1868" s="45" t="s">
        <v>176</v>
      </c>
      <c r="J1868" s="45" t="s">
        <v>3341</v>
      </c>
      <c r="K1868" s="45" t="n">
        <v>0.2</v>
      </c>
      <c r="L1868" s="45" t="s">
        <v>259</v>
      </c>
      <c r="M1868" s="45" t="s">
        <v>259</v>
      </c>
      <c r="N1868" s="45" t="s">
        <v>167</v>
      </c>
      <c r="O1868" s="47" t="n">
        <v>46275.5236458333</v>
      </c>
      <c r="P1868" s="47" t="n">
        <v>46275.5237731482</v>
      </c>
    </row>
    <row r="1869" customFormat="false" ht="15" hidden="false" customHeight="false" outlineLevel="0" collapsed="false">
      <c r="A1869" s="45" t="n">
        <v>2072</v>
      </c>
      <c r="B1869" s="46" t="n">
        <v>46275</v>
      </c>
      <c r="C1869" s="45" t="s">
        <v>139</v>
      </c>
      <c r="D1869" s="45" t="s">
        <v>140</v>
      </c>
      <c r="E1869" s="45" t="s">
        <v>233</v>
      </c>
      <c r="F1869" s="45" t="s">
        <v>3764</v>
      </c>
      <c r="G1869" s="46" t="n">
        <v>46268</v>
      </c>
      <c r="H1869" s="45" t="s">
        <v>167</v>
      </c>
      <c r="I1869" s="45" t="s">
        <v>176</v>
      </c>
      <c r="J1869" s="45" t="s">
        <v>3341</v>
      </c>
      <c r="K1869" s="45" t="n">
        <v>2.4</v>
      </c>
      <c r="L1869" s="45" t="s">
        <v>259</v>
      </c>
      <c r="M1869" s="45" t="s">
        <v>259</v>
      </c>
      <c r="N1869" s="45" t="s">
        <v>167</v>
      </c>
      <c r="O1869" s="47" t="n">
        <v>46275.5237962963</v>
      </c>
      <c r="P1869" s="47" t="n">
        <v>46275.525462963</v>
      </c>
    </row>
    <row r="1870" customFormat="false" ht="15" hidden="false" customHeight="false" outlineLevel="0" collapsed="false">
      <c r="A1870" s="45" t="n">
        <v>2077</v>
      </c>
      <c r="B1870" s="46" t="n">
        <v>46275</v>
      </c>
      <c r="C1870" s="45" t="s">
        <v>153</v>
      </c>
      <c r="D1870" s="45" t="s">
        <v>154</v>
      </c>
      <c r="E1870" s="45" t="s">
        <v>3765</v>
      </c>
      <c r="F1870" s="45" t="s">
        <v>3766</v>
      </c>
      <c r="G1870" s="46" t="n">
        <v>46274</v>
      </c>
      <c r="H1870" s="45" t="s">
        <v>167</v>
      </c>
      <c r="I1870" s="45" t="s">
        <v>176</v>
      </c>
      <c r="J1870" s="45"/>
      <c r="K1870" s="45" t="n">
        <v>85.2</v>
      </c>
      <c r="L1870" s="45" t="s">
        <v>263</v>
      </c>
      <c r="M1870" s="45" t="s">
        <v>259</v>
      </c>
      <c r="N1870" s="45" t="s">
        <v>167</v>
      </c>
      <c r="O1870" s="47" t="n">
        <v>46275.8886342593</v>
      </c>
      <c r="P1870" s="47" t="n">
        <v>46275.9477893519</v>
      </c>
    </row>
    <row r="1871" customFormat="false" ht="15" hidden="false" customHeight="false" outlineLevel="0" collapsed="false">
      <c r="A1871" s="45" t="n">
        <v>2074</v>
      </c>
      <c r="B1871" s="46" t="n">
        <v>46275</v>
      </c>
      <c r="C1871" s="45" t="s">
        <v>131</v>
      </c>
      <c r="D1871" s="45" t="s">
        <v>132</v>
      </c>
      <c r="E1871" s="45" t="s">
        <v>222</v>
      </c>
      <c r="F1871" s="45" t="s">
        <v>3767</v>
      </c>
      <c r="G1871" s="46" t="n">
        <v>46274</v>
      </c>
      <c r="H1871" s="45" t="s">
        <v>167</v>
      </c>
      <c r="I1871" s="45" t="s">
        <v>176</v>
      </c>
      <c r="J1871" s="45" t="s">
        <v>3768</v>
      </c>
      <c r="K1871" s="45" t="n">
        <v>2.9</v>
      </c>
      <c r="L1871" s="45" t="s">
        <v>263</v>
      </c>
      <c r="M1871" s="45" t="s">
        <v>259</v>
      </c>
      <c r="N1871" s="45" t="s">
        <v>167</v>
      </c>
      <c r="O1871" s="47" t="n">
        <v>46275.8961111111</v>
      </c>
      <c r="P1871" s="47" t="n">
        <v>46275.8981481482</v>
      </c>
    </row>
    <row r="1872" customFormat="false" ht="15" hidden="false" customHeight="false" outlineLevel="0" collapsed="false">
      <c r="A1872" s="45" t="n">
        <v>2075</v>
      </c>
      <c r="B1872" s="46" t="n">
        <v>46275</v>
      </c>
      <c r="C1872" s="45" t="s">
        <v>131</v>
      </c>
      <c r="D1872" s="45" t="s">
        <v>132</v>
      </c>
      <c r="E1872" s="45" t="s">
        <v>3726</v>
      </c>
      <c r="F1872" s="45" t="s">
        <v>3726</v>
      </c>
      <c r="G1872" s="46" t="n">
        <v>46270</v>
      </c>
      <c r="H1872" s="45" t="s">
        <v>167</v>
      </c>
      <c r="I1872" s="45" t="s">
        <v>181</v>
      </c>
      <c r="J1872" s="45" t="s">
        <v>3769</v>
      </c>
      <c r="K1872" s="45" t="n">
        <v>12.4</v>
      </c>
      <c r="L1872" s="45" t="s">
        <v>263</v>
      </c>
      <c r="M1872" s="45" t="s">
        <v>259</v>
      </c>
      <c r="N1872" s="45" t="s">
        <v>167</v>
      </c>
      <c r="O1872" s="47" t="n">
        <v>46275.9039467593</v>
      </c>
      <c r="P1872" s="47" t="n">
        <v>46275.9125925926</v>
      </c>
    </row>
    <row r="1873" customFormat="false" ht="15" hidden="false" customHeight="false" outlineLevel="0" collapsed="false">
      <c r="A1873" s="45" t="n">
        <v>2076</v>
      </c>
      <c r="B1873" s="46" t="n">
        <v>46275</v>
      </c>
      <c r="C1873" s="45" t="s">
        <v>131</v>
      </c>
      <c r="D1873" s="45" t="s">
        <v>132</v>
      </c>
      <c r="E1873" s="45" t="s">
        <v>222</v>
      </c>
      <c r="F1873" s="45" t="s">
        <v>3694</v>
      </c>
      <c r="G1873" s="46" t="n">
        <v>46270</v>
      </c>
      <c r="H1873" s="45" t="s">
        <v>167</v>
      </c>
      <c r="I1873" s="45" t="s">
        <v>176</v>
      </c>
      <c r="J1873" s="45" t="s">
        <v>3770</v>
      </c>
      <c r="K1873" s="45" t="n">
        <v>0.7</v>
      </c>
      <c r="L1873" s="45" t="s">
        <v>259</v>
      </c>
      <c r="M1873" s="45" t="s">
        <v>259</v>
      </c>
      <c r="N1873" s="45" t="s">
        <v>167</v>
      </c>
      <c r="O1873" s="47" t="n">
        <v>46275.9166203704</v>
      </c>
      <c r="P1873" s="47" t="n">
        <v>46275.9171180556</v>
      </c>
    </row>
    <row r="1874" customFormat="false" ht="15" hidden="false" customHeight="false" outlineLevel="0" collapsed="false">
      <c r="A1874" s="45" t="n">
        <v>2102</v>
      </c>
      <c r="B1874" s="46" t="n">
        <v>46275</v>
      </c>
      <c r="C1874" s="45" t="s">
        <v>153</v>
      </c>
      <c r="D1874" s="45" t="s">
        <v>154</v>
      </c>
      <c r="E1874" s="45" t="s">
        <v>3771</v>
      </c>
      <c r="F1874" s="45" t="s">
        <v>3772</v>
      </c>
      <c r="G1874" s="46" t="n">
        <v>46276</v>
      </c>
      <c r="H1874" s="45" t="s">
        <v>168</v>
      </c>
      <c r="I1874" s="45" t="s">
        <v>196</v>
      </c>
      <c r="J1874" s="45" t="s">
        <v>3773</v>
      </c>
      <c r="K1874" s="45" t="n">
        <v>4399.4</v>
      </c>
      <c r="L1874" s="45" t="s">
        <v>263</v>
      </c>
      <c r="M1874" s="45" t="s">
        <v>259</v>
      </c>
      <c r="N1874" s="45" t="s">
        <v>2559</v>
      </c>
      <c r="O1874" s="47" t="n">
        <v>46275.9490277778</v>
      </c>
      <c r="P1874" s="47" t="n">
        <v>46279.0041898148</v>
      </c>
    </row>
    <row r="1875" customFormat="false" ht="15" hidden="false" customHeight="false" outlineLevel="0" collapsed="false">
      <c r="A1875" s="45" t="n">
        <v>2142</v>
      </c>
      <c r="B1875" s="46" t="n">
        <v>46276</v>
      </c>
      <c r="C1875" s="45" t="s">
        <v>141</v>
      </c>
      <c r="D1875" s="45" t="s">
        <v>142</v>
      </c>
      <c r="E1875" s="45" t="s">
        <v>1704</v>
      </c>
      <c r="F1875" s="45" t="s">
        <v>3774</v>
      </c>
      <c r="G1875" s="46" t="n">
        <v>46259</v>
      </c>
      <c r="H1875" s="45" t="s">
        <v>167</v>
      </c>
      <c r="I1875" s="45" t="s">
        <v>176</v>
      </c>
      <c r="J1875" s="45" t="s">
        <v>3775</v>
      </c>
      <c r="K1875" s="45" t="n">
        <v>10140.9</v>
      </c>
      <c r="L1875" s="45" t="s">
        <v>263</v>
      </c>
      <c r="M1875" s="45" t="s">
        <v>259</v>
      </c>
      <c r="N1875" s="45" t="s">
        <v>167</v>
      </c>
      <c r="O1875" s="47" t="n">
        <v>46276.0685069444</v>
      </c>
      <c r="P1875" s="47" t="n">
        <v>46283.110787037</v>
      </c>
    </row>
    <row r="1876" customFormat="false" ht="15" hidden="false" customHeight="false" outlineLevel="0" collapsed="false">
      <c r="A1876" s="45" t="n">
        <v>2079</v>
      </c>
      <c r="B1876" s="46" t="n">
        <v>46276</v>
      </c>
      <c r="C1876" s="45" t="s">
        <v>133</v>
      </c>
      <c r="D1876" s="45" t="s">
        <v>134</v>
      </c>
      <c r="E1876" s="45" t="s">
        <v>3525</v>
      </c>
      <c r="F1876" s="45" t="s">
        <v>3776</v>
      </c>
      <c r="G1876" s="46" t="n">
        <v>46267</v>
      </c>
      <c r="H1876" s="45" t="s">
        <v>57</v>
      </c>
      <c r="I1876" s="45" t="s">
        <v>200</v>
      </c>
      <c r="J1876" s="45" t="s">
        <v>3777</v>
      </c>
      <c r="K1876" s="45" t="n">
        <v>1.6</v>
      </c>
      <c r="L1876" s="45" t="s">
        <v>263</v>
      </c>
      <c r="M1876" s="45" t="s">
        <v>259</v>
      </c>
      <c r="N1876" s="45" t="s">
        <v>57</v>
      </c>
      <c r="O1876" s="47" t="n">
        <v>46276.2110532407</v>
      </c>
      <c r="P1876" s="47" t="n">
        <v>46276.2121875</v>
      </c>
    </row>
    <row r="1877" customFormat="false" ht="15" hidden="false" customHeight="false" outlineLevel="0" collapsed="false">
      <c r="A1877" s="45" t="n">
        <v>2080</v>
      </c>
      <c r="B1877" s="46" t="n">
        <v>46276</v>
      </c>
      <c r="C1877" s="45" t="s">
        <v>133</v>
      </c>
      <c r="D1877" s="45" t="s">
        <v>134</v>
      </c>
      <c r="E1877" s="45" t="s">
        <v>3525</v>
      </c>
      <c r="F1877" s="45" t="s">
        <v>3778</v>
      </c>
      <c r="G1877" s="46" t="n">
        <v>46271</v>
      </c>
      <c r="H1877" s="45" t="s">
        <v>170</v>
      </c>
      <c r="I1877" s="45" t="s">
        <v>209</v>
      </c>
      <c r="J1877" s="45" t="s">
        <v>3779</v>
      </c>
      <c r="K1877" s="45" t="n">
        <v>2.6</v>
      </c>
      <c r="L1877" s="45" t="s">
        <v>263</v>
      </c>
      <c r="M1877" s="45" t="s">
        <v>259</v>
      </c>
      <c r="N1877" s="45" t="s">
        <v>2649</v>
      </c>
      <c r="O1877" s="47" t="n">
        <v>46276.2127662037</v>
      </c>
      <c r="P1877" s="47" t="n">
        <v>46276.2145486111</v>
      </c>
    </row>
    <row r="1878" customFormat="false" ht="15" hidden="false" customHeight="false" outlineLevel="0" collapsed="false">
      <c r="A1878" s="45" t="n">
        <v>2081</v>
      </c>
      <c r="B1878" s="46" t="n">
        <v>46276</v>
      </c>
      <c r="C1878" s="45" t="s">
        <v>133</v>
      </c>
      <c r="D1878" s="45" t="s">
        <v>134</v>
      </c>
      <c r="E1878" s="45" t="s">
        <v>241</v>
      </c>
      <c r="F1878" s="45" t="s">
        <v>3780</v>
      </c>
      <c r="G1878" s="46" t="n">
        <v>46267</v>
      </c>
      <c r="H1878" s="45" t="s">
        <v>169</v>
      </c>
      <c r="I1878" s="45"/>
      <c r="J1878" s="45"/>
      <c r="K1878" s="45" t="n">
        <v>0.9</v>
      </c>
      <c r="L1878" s="45" t="s">
        <v>263</v>
      </c>
      <c r="M1878" s="45" t="s">
        <v>259</v>
      </c>
      <c r="N1878" s="45" t="s">
        <v>169</v>
      </c>
      <c r="O1878" s="47" t="n">
        <v>46276.2145601852</v>
      </c>
      <c r="P1878" s="47" t="n">
        <v>46276.2152199074</v>
      </c>
    </row>
    <row r="1879" customFormat="false" ht="15" hidden="false" customHeight="false" outlineLevel="0" collapsed="false">
      <c r="A1879" s="45" t="n">
        <v>2082</v>
      </c>
      <c r="B1879" s="46" t="n">
        <v>46276</v>
      </c>
      <c r="C1879" s="45" t="s">
        <v>133</v>
      </c>
      <c r="D1879" s="45" t="s">
        <v>134</v>
      </c>
      <c r="E1879" s="45" t="s">
        <v>3781</v>
      </c>
      <c r="F1879" s="45" t="s">
        <v>3782</v>
      </c>
      <c r="G1879" s="46" t="n">
        <v>46267</v>
      </c>
      <c r="H1879" s="45" t="s">
        <v>167</v>
      </c>
      <c r="I1879" s="45" t="s">
        <v>183</v>
      </c>
      <c r="J1879" s="45" t="s">
        <v>3783</v>
      </c>
      <c r="K1879" s="45" t="n">
        <v>2.9</v>
      </c>
      <c r="L1879" s="45" t="s">
        <v>263</v>
      </c>
      <c r="M1879" s="45" t="s">
        <v>259</v>
      </c>
      <c r="N1879" s="45" t="s">
        <v>167</v>
      </c>
      <c r="O1879" s="47" t="n">
        <v>46276.2153009259</v>
      </c>
      <c r="P1879" s="47" t="n">
        <v>46276.2172800926</v>
      </c>
    </row>
    <row r="1880" customFormat="false" ht="15" hidden="false" customHeight="false" outlineLevel="0" collapsed="false">
      <c r="A1880" s="45" t="n">
        <v>2083</v>
      </c>
      <c r="B1880" s="46" t="n">
        <v>46276</v>
      </c>
      <c r="C1880" s="45" t="s">
        <v>133</v>
      </c>
      <c r="D1880" s="45" t="s">
        <v>134</v>
      </c>
      <c r="E1880" s="45" t="s">
        <v>2465</v>
      </c>
      <c r="F1880" s="45" t="s">
        <v>3654</v>
      </c>
      <c r="G1880" s="46" t="n">
        <v>46265</v>
      </c>
      <c r="H1880" s="45" t="s">
        <v>57</v>
      </c>
      <c r="I1880" s="45" t="s">
        <v>202</v>
      </c>
      <c r="J1880" s="45" t="s">
        <v>3784</v>
      </c>
      <c r="K1880" s="45" t="n">
        <v>1.6</v>
      </c>
      <c r="L1880" s="45" t="s">
        <v>259</v>
      </c>
      <c r="M1880" s="45" t="s">
        <v>259</v>
      </c>
      <c r="N1880" s="45" t="s">
        <v>57</v>
      </c>
      <c r="O1880" s="47" t="n">
        <v>46276.2177662037</v>
      </c>
      <c r="P1880" s="47" t="n">
        <v>46276.2188425926</v>
      </c>
    </row>
    <row r="1881" customFormat="false" ht="15" hidden="false" customHeight="false" outlineLevel="0" collapsed="false">
      <c r="A1881" s="45" t="n">
        <v>2084</v>
      </c>
      <c r="B1881" s="46" t="n">
        <v>46276</v>
      </c>
      <c r="C1881" s="45" t="s">
        <v>133</v>
      </c>
      <c r="D1881" s="45" t="s">
        <v>134</v>
      </c>
      <c r="E1881" s="45" t="s">
        <v>2594</v>
      </c>
      <c r="F1881" s="45" t="s">
        <v>3785</v>
      </c>
      <c r="G1881" s="46" t="n">
        <v>46271</v>
      </c>
      <c r="H1881" s="45" t="s">
        <v>167</v>
      </c>
      <c r="I1881" s="45" t="s">
        <v>179</v>
      </c>
      <c r="J1881" s="45" t="s">
        <v>3786</v>
      </c>
      <c r="K1881" s="45" t="n">
        <v>3.9</v>
      </c>
      <c r="L1881" s="45" t="s">
        <v>263</v>
      </c>
      <c r="M1881" s="45" t="s">
        <v>259</v>
      </c>
      <c r="N1881" s="45" t="s">
        <v>167</v>
      </c>
      <c r="O1881" s="47" t="n">
        <v>46276.2189236111</v>
      </c>
      <c r="P1881" s="47" t="n">
        <v>46276.2216319444</v>
      </c>
    </row>
    <row r="1882" customFormat="false" ht="15" hidden="false" customHeight="false" outlineLevel="0" collapsed="false">
      <c r="A1882" s="45" t="n">
        <v>2085</v>
      </c>
      <c r="B1882" s="46" t="n">
        <v>46276</v>
      </c>
      <c r="C1882" s="45" t="s">
        <v>133</v>
      </c>
      <c r="D1882" s="45" t="s">
        <v>134</v>
      </c>
      <c r="E1882" s="45" t="s">
        <v>2465</v>
      </c>
      <c r="F1882" s="45" t="s">
        <v>3787</v>
      </c>
      <c r="G1882" s="46" t="n">
        <v>46274</v>
      </c>
      <c r="H1882" s="45" t="s">
        <v>167</v>
      </c>
      <c r="I1882" s="45" t="s">
        <v>179</v>
      </c>
      <c r="J1882" s="45" t="s">
        <v>3788</v>
      </c>
      <c r="K1882" s="45" t="n">
        <v>2.8</v>
      </c>
      <c r="L1882" s="45" t="s">
        <v>263</v>
      </c>
      <c r="M1882" s="45" t="s">
        <v>259</v>
      </c>
      <c r="N1882" s="45" t="s">
        <v>167</v>
      </c>
      <c r="O1882" s="47" t="n">
        <v>46276.2276157407</v>
      </c>
      <c r="P1882" s="47" t="n">
        <v>46276.229537037</v>
      </c>
    </row>
    <row r="1883" customFormat="false" ht="15" hidden="false" customHeight="false" outlineLevel="0" collapsed="false">
      <c r="A1883" s="45" t="n">
        <v>2086</v>
      </c>
      <c r="B1883" s="46" t="n">
        <v>46276</v>
      </c>
      <c r="C1883" s="45" t="s">
        <v>133</v>
      </c>
      <c r="D1883" s="45" t="s">
        <v>134</v>
      </c>
      <c r="E1883" s="45" t="s">
        <v>241</v>
      </c>
      <c r="F1883" s="45" t="s">
        <v>3789</v>
      </c>
      <c r="G1883" s="46" t="n">
        <v>46271</v>
      </c>
      <c r="H1883" s="45" t="s">
        <v>167</v>
      </c>
      <c r="I1883" s="45" t="s">
        <v>177</v>
      </c>
      <c r="J1883" s="45" t="s">
        <v>3790</v>
      </c>
      <c r="K1883" s="45" t="n">
        <v>10.6</v>
      </c>
      <c r="L1883" s="45" t="s">
        <v>263</v>
      </c>
      <c r="M1883" s="45" t="s">
        <v>259</v>
      </c>
      <c r="N1883" s="45" t="s">
        <v>167</v>
      </c>
      <c r="O1883" s="47" t="n">
        <v>46276.2311226852</v>
      </c>
      <c r="P1883" s="47" t="n">
        <v>46276.2384722222</v>
      </c>
    </row>
    <row r="1884" customFormat="false" ht="15" hidden="false" customHeight="false" outlineLevel="0" collapsed="false">
      <c r="A1884" s="45" t="n">
        <v>2087</v>
      </c>
      <c r="B1884" s="46" t="n">
        <v>46276</v>
      </c>
      <c r="C1884" s="45" t="s">
        <v>131</v>
      </c>
      <c r="D1884" s="45" t="s">
        <v>132</v>
      </c>
      <c r="E1884" s="45" t="s">
        <v>2254</v>
      </c>
      <c r="F1884" s="45" t="s">
        <v>3791</v>
      </c>
      <c r="G1884" s="46" t="n">
        <v>46275</v>
      </c>
      <c r="H1884" s="45" t="s">
        <v>167</v>
      </c>
      <c r="I1884" s="45" t="s">
        <v>180</v>
      </c>
      <c r="J1884" s="45" t="s">
        <v>3792</v>
      </c>
      <c r="K1884" s="45" t="n">
        <v>4.8</v>
      </c>
      <c r="L1884" s="45" t="s">
        <v>263</v>
      </c>
      <c r="M1884" s="45" t="s">
        <v>259</v>
      </c>
      <c r="N1884" s="45" t="s">
        <v>167</v>
      </c>
      <c r="O1884" s="47" t="n">
        <v>46276.7947337963</v>
      </c>
      <c r="P1884" s="47" t="n">
        <v>46276.7980671296</v>
      </c>
    </row>
    <row r="1885" customFormat="false" ht="15" hidden="false" customHeight="false" outlineLevel="0" collapsed="false">
      <c r="A1885" s="45" t="n">
        <v>2088</v>
      </c>
      <c r="B1885" s="46" t="n">
        <v>46276</v>
      </c>
      <c r="C1885" s="45" t="s">
        <v>131</v>
      </c>
      <c r="D1885" s="45" t="s">
        <v>132</v>
      </c>
      <c r="E1885" s="45" t="s">
        <v>240</v>
      </c>
      <c r="F1885" s="45" t="s">
        <v>3793</v>
      </c>
      <c r="G1885" s="46" t="n">
        <v>46274</v>
      </c>
      <c r="H1885" s="45" t="s">
        <v>167</v>
      </c>
      <c r="I1885" s="45" t="s">
        <v>177</v>
      </c>
      <c r="J1885" s="45" t="s">
        <v>3794</v>
      </c>
      <c r="K1885" s="45" t="n">
        <v>1.5</v>
      </c>
      <c r="L1885" s="45" t="s">
        <v>263</v>
      </c>
      <c r="M1885" s="45" t="s">
        <v>259</v>
      </c>
      <c r="N1885" s="45" t="s">
        <v>167</v>
      </c>
      <c r="O1885" s="47" t="n">
        <v>46276.7982523148</v>
      </c>
      <c r="P1885" s="47" t="n">
        <v>46276.7992824074</v>
      </c>
    </row>
    <row r="1886" customFormat="false" ht="15" hidden="false" customHeight="false" outlineLevel="0" collapsed="false">
      <c r="A1886" s="45" t="n">
        <v>2089</v>
      </c>
      <c r="B1886" s="46" t="n">
        <v>46276</v>
      </c>
      <c r="C1886" s="45" t="s">
        <v>131</v>
      </c>
      <c r="D1886" s="45" t="s">
        <v>132</v>
      </c>
      <c r="E1886" s="45" t="s">
        <v>240</v>
      </c>
      <c r="F1886" s="45" t="s">
        <v>3795</v>
      </c>
      <c r="G1886" s="46" t="n">
        <v>46275</v>
      </c>
      <c r="H1886" s="45" t="s">
        <v>57</v>
      </c>
      <c r="I1886" s="45" t="s">
        <v>200</v>
      </c>
      <c r="J1886" s="45" t="s">
        <v>3796</v>
      </c>
      <c r="K1886" s="45" t="n">
        <v>1.8</v>
      </c>
      <c r="L1886" s="45" t="s">
        <v>263</v>
      </c>
      <c r="M1886" s="45" t="s">
        <v>259</v>
      </c>
      <c r="N1886" s="45" t="s">
        <v>57</v>
      </c>
      <c r="O1886" s="47" t="n">
        <v>46276.8002893519</v>
      </c>
      <c r="P1886" s="47" t="n">
        <v>46276.8015509259</v>
      </c>
    </row>
    <row r="1887" customFormat="false" ht="15" hidden="false" customHeight="false" outlineLevel="0" collapsed="false">
      <c r="A1887" s="45" t="n">
        <v>2090</v>
      </c>
      <c r="B1887" s="46" t="n">
        <v>46277</v>
      </c>
      <c r="C1887" s="45" t="s">
        <v>139</v>
      </c>
      <c r="D1887" s="45" t="s">
        <v>140</v>
      </c>
      <c r="E1887" s="45" t="s">
        <v>221</v>
      </c>
      <c r="F1887" s="45" t="s">
        <v>3797</v>
      </c>
      <c r="G1887" s="46" t="n">
        <v>46261</v>
      </c>
      <c r="H1887" s="45" t="s">
        <v>167</v>
      </c>
      <c r="I1887" s="45" t="s">
        <v>179</v>
      </c>
      <c r="J1887" s="45" t="s">
        <v>3798</v>
      </c>
      <c r="K1887" s="45" t="n">
        <v>6.2</v>
      </c>
      <c r="L1887" s="45" t="s">
        <v>263</v>
      </c>
      <c r="M1887" s="45" t="s">
        <v>259</v>
      </c>
      <c r="N1887" s="45" t="s">
        <v>167</v>
      </c>
      <c r="O1887" s="47" t="n">
        <v>46277.6527314815</v>
      </c>
      <c r="P1887" s="47" t="n">
        <v>46277.6570486111</v>
      </c>
    </row>
    <row r="1888" customFormat="false" ht="15" hidden="false" customHeight="false" outlineLevel="0" collapsed="false">
      <c r="A1888" s="45" t="n">
        <v>2091</v>
      </c>
      <c r="B1888" s="46" t="n">
        <v>46277</v>
      </c>
      <c r="C1888" s="45" t="s">
        <v>139</v>
      </c>
      <c r="D1888" s="45" t="s">
        <v>140</v>
      </c>
      <c r="E1888" s="45" t="s">
        <v>2652</v>
      </c>
      <c r="F1888" s="45" t="s">
        <v>3799</v>
      </c>
      <c r="G1888" s="46" t="n">
        <v>46262</v>
      </c>
      <c r="H1888" s="45" t="s">
        <v>57</v>
      </c>
      <c r="I1888" s="45" t="s">
        <v>201</v>
      </c>
      <c r="J1888" s="45" t="s">
        <v>3800</v>
      </c>
      <c r="K1888" s="45" t="n">
        <v>11.7</v>
      </c>
      <c r="L1888" s="45" t="s">
        <v>259</v>
      </c>
      <c r="M1888" s="45" t="s">
        <v>259</v>
      </c>
      <c r="N1888" s="45" t="s">
        <v>57</v>
      </c>
      <c r="O1888" s="47" t="n">
        <v>46277.6571180556</v>
      </c>
      <c r="P1888" s="47" t="n">
        <v>46277.6652314815</v>
      </c>
    </row>
    <row r="1889" customFormat="false" ht="15" hidden="false" customHeight="false" outlineLevel="0" collapsed="false">
      <c r="A1889" s="45" t="n">
        <v>2092</v>
      </c>
      <c r="B1889" s="46" t="n">
        <v>46277</v>
      </c>
      <c r="C1889" s="45" t="s">
        <v>139</v>
      </c>
      <c r="D1889" s="45" t="s">
        <v>140</v>
      </c>
      <c r="E1889" s="45" t="s">
        <v>2652</v>
      </c>
      <c r="F1889" s="45" t="s">
        <v>3799</v>
      </c>
      <c r="G1889" s="46" t="n">
        <v>46262</v>
      </c>
      <c r="H1889" s="45" t="s">
        <v>57</v>
      </c>
      <c r="I1889" s="45" t="s">
        <v>201</v>
      </c>
      <c r="J1889" s="45" t="s">
        <v>3801</v>
      </c>
      <c r="K1889" s="45" t="n">
        <v>1.8</v>
      </c>
      <c r="L1889" s="45" t="s">
        <v>259</v>
      </c>
      <c r="M1889" s="45" t="s">
        <v>259</v>
      </c>
      <c r="N1889" s="45" t="s">
        <v>57</v>
      </c>
      <c r="O1889" s="47" t="n">
        <v>46277.7026157407</v>
      </c>
      <c r="P1889" s="47" t="n">
        <v>46277.7038888889</v>
      </c>
    </row>
    <row r="1890" customFormat="false" ht="15" hidden="false" customHeight="false" outlineLevel="0" collapsed="false">
      <c r="A1890" s="45" t="n">
        <v>2093</v>
      </c>
      <c r="B1890" s="46" t="n">
        <v>46277</v>
      </c>
      <c r="C1890" s="45" t="s">
        <v>139</v>
      </c>
      <c r="D1890" s="45" t="s">
        <v>140</v>
      </c>
      <c r="E1890" s="45" t="s">
        <v>2677</v>
      </c>
      <c r="F1890" s="45" t="s">
        <v>3802</v>
      </c>
      <c r="G1890" s="46" t="n">
        <v>46262</v>
      </c>
      <c r="H1890" s="45" t="s">
        <v>167</v>
      </c>
      <c r="I1890" s="45" t="s">
        <v>180</v>
      </c>
      <c r="J1890" s="45" t="s">
        <v>3803</v>
      </c>
      <c r="K1890" s="45" t="n">
        <v>7.9</v>
      </c>
      <c r="L1890" s="45" t="s">
        <v>259</v>
      </c>
      <c r="M1890" s="45" t="s">
        <v>259</v>
      </c>
      <c r="N1890" s="45" t="s">
        <v>167</v>
      </c>
      <c r="O1890" s="47" t="n">
        <v>46277.7039236111</v>
      </c>
      <c r="P1890" s="47" t="n">
        <v>46277.7094328704</v>
      </c>
    </row>
    <row r="1891" customFormat="false" ht="15" hidden="false" customHeight="false" outlineLevel="0" collapsed="false">
      <c r="A1891" s="45" t="n">
        <v>2094</v>
      </c>
      <c r="B1891" s="46" t="n">
        <v>46277</v>
      </c>
      <c r="C1891" s="45" t="s">
        <v>139</v>
      </c>
      <c r="D1891" s="45" t="s">
        <v>140</v>
      </c>
      <c r="E1891" s="45" t="s">
        <v>2677</v>
      </c>
      <c r="F1891" s="45" t="s">
        <v>3802</v>
      </c>
      <c r="G1891" s="46" t="n">
        <v>46261</v>
      </c>
      <c r="H1891" s="45" t="s">
        <v>167</v>
      </c>
      <c r="I1891" s="45" t="s">
        <v>179</v>
      </c>
      <c r="J1891" s="45" t="s">
        <v>3804</v>
      </c>
      <c r="K1891" s="45" t="n">
        <v>0.3</v>
      </c>
      <c r="L1891" s="45" t="s">
        <v>259</v>
      </c>
      <c r="M1891" s="45" t="s">
        <v>259</v>
      </c>
      <c r="N1891" s="45" t="s">
        <v>167</v>
      </c>
      <c r="O1891" s="47" t="n">
        <v>46277.713900463</v>
      </c>
      <c r="P1891" s="47" t="n">
        <v>46277.7141087963</v>
      </c>
    </row>
    <row r="1892" customFormat="false" ht="15" hidden="false" customHeight="false" outlineLevel="0" collapsed="false">
      <c r="A1892" s="45" t="n">
        <v>2095</v>
      </c>
      <c r="B1892" s="46" t="n">
        <v>46277</v>
      </c>
      <c r="C1892" s="45" t="s">
        <v>139</v>
      </c>
      <c r="D1892" s="45" t="s">
        <v>140</v>
      </c>
      <c r="E1892" s="45" t="s">
        <v>2677</v>
      </c>
      <c r="F1892" s="45" t="s">
        <v>3805</v>
      </c>
      <c r="G1892" s="46" t="n">
        <v>46262</v>
      </c>
      <c r="H1892" s="45" t="s">
        <v>169</v>
      </c>
      <c r="I1892" s="45"/>
      <c r="J1892" s="45"/>
      <c r="K1892" s="45" t="n">
        <v>0.3</v>
      </c>
      <c r="L1892" s="45" t="s">
        <v>263</v>
      </c>
      <c r="M1892" s="45" t="s">
        <v>259</v>
      </c>
      <c r="N1892" s="45" t="s">
        <v>169</v>
      </c>
      <c r="O1892" s="47" t="n">
        <v>46277.7163888889</v>
      </c>
      <c r="P1892" s="47" t="n">
        <v>46277.7165972222</v>
      </c>
    </row>
    <row r="1893" customFormat="false" ht="15" hidden="false" customHeight="false" outlineLevel="0" collapsed="false">
      <c r="A1893" s="45" t="n">
        <v>2096</v>
      </c>
      <c r="B1893" s="46" t="n">
        <v>46277</v>
      </c>
      <c r="C1893" s="45" t="s">
        <v>139</v>
      </c>
      <c r="D1893" s="45" t="s">
        <v>140</v>
      </c>
      <c r="E1893" s="45" t="s">
        <v>2816</v>
      </c>
      <c r="F1893" s="45" t="s">
        <v>3806</v>
      </c>
      <c r="G1893" s="46" t="n">
        <v>46262</v>
      </c>
      <c r="H1893" s="45" t="s">
        <v>168</v>
      </c>
      <c r="I1893" s="45" t="s">
        <v>191</v>
      </c>
      <c r="J1893" s="45" t="s">
        <v>3807</v>
      </c>
      <c r="K1893" s="45" t="n">
        <v>1.7</v>
      </c>
      <c r="L1893" s="45" t="s">
        <v>263</v>
      </c>
      <c r="M1893" s="45" t="s">
        <v>259</v>
      </c>
      <c r="N1893" s="45" t="s">
        <v>2559</v>
      </c>
      <c r="O1893" s="47" t="n">
        <v>46277.7182523148</v>
      </c>
      <c r="P1893" s="47" t="n">
        <v>46277.7194444445</v>
      </c>
    </row>
    <row r="1894" customFormat="false" ht="15" hidden="false" customHeight="false" outlineLevel="0" collapsed="false">
      <c r="A1894" s="45" t="n">
        <v>2097</v>
      </c>
      <c r="B1894" s="46" t="n">
        <v>46277</v>
      </c>
      <c r="C1894" s="45" t="s">
        <v>139</v>
      </c>
      <c r="D1894" s="45" t="s">
        <v>140</v>
      </c>
      <c r="E1894" s="45" t="s">
        <v>237</v>
      </c>
      <c r="F1894" s="45" t="s">
        <v>3808</v>
      </c>
      <c r="G1894" s="46" t="n">
        <v>46262</v>
      </c>
      <c r="H1894" s="45" t="s">
        <v>167</v>
      </c>
      <c r="I1894" s="45" t="s">
        <v>176</v>
      </c>
      <c r="J1894" s="45" t="s">
        <v>3809</v>
      </c>
      <c r="K1894" s="45" t="n">
        <v>18.5</v>
      </c>
      <c r="L1894" s="45" t="s">
        <v>263</v>
      </c>
      <c r="M1894" s="45" t="s">
        <v>259</v>
      </c>
      <c r="N1894" s="45" t="s">
        <v>167</v>
      </c>
      <c r="O1894" s="47" t="n">
        <v>46277.7232175926</v>
      </c>
      <c r="P1894" s="47" t="n">
        <v>46277.7360648148</v>
      </c>
    </row>
    <row r="1895" customFormat="false" ht="15" hidden="false" customHeight="false" outlineLevel="0" collapsed="false">
      <c r="A1895" s="45" t="n">
        <v>2098</v>
      </c>
      <c r="B1895" s="46" t="n">
        <v>46277</v>
      </c>
      <c r="C1895" s="45" t="s">
        <v>139</v>
      </c>
      <c r="D1895" s="45" t="s">
        <v>140</v>
      </c>
      <c r="E1895" s="45" t="s">
        <v>221</v>
      </c>
      <c r="F1895" s="45" t="s">
        <v>3810</v>
      </c>
      <c r="G1895" s="46" t="n">
        <v>46262</v>
      </c>
      <c r="H1895" s="45" t="s">
        <v>167</v>
      </c>
      <c r="I1895" s="45" t="s">
        <v>176</v>
      </c>
      <c r="J1895" s="45" t="s">
        <v>3811</v>
      </c>
      <c r="K1895" s="45" t="n">
        <v>28.2</v>
      </c>
      <c r="L1895" s="45" t="s">
        <v>263</v>
      </c>
      <c r="M1895" s="45" t="s">
        <v>259</v>
      </c>
      <c r="N1895" s="45" t="s">
        <v>167</v>
      </c>
      <c r="O1895" s="47" t="n">
        <v>46277.7361921296</v>
      </c>
      <c r="P1895" s="47" t="n">
        <v>46277.755787037</v>
      </c>
    </row>
    <row r="1896" customFormat="false" ht="15" hidden="false" customHeight="false" outlineLevel="0" collapsed="false">
      <c r="A1896" s="45" t="n">
        <v>2099</v>
      </c>
      <c r="B1896" s="46" t="n">
        <v>46277</v>
      </c>
      <c r="C1896" s="45" t="s">
        <v>131</v>
      </c>
      <c r="D1896" s="45" t="s">
        <v>132</v>
      </c>
      <c r="E1896" s="45" t="s">
        <v>2226</v>
      </c>
      <c r="F1896" s="45" t="s">
        <v>3812</v>
      </c>
      <c r="G1896" s="46" t="n">
        <v>46276</v>
      </c>
      <c r="H1896" s="45" t="s">
        <v>57</v>
      </c>
      <c r="I1896" s="45" t="s">
        <v>200</v>
      </c>
      <c r="J1896" s="45" t="s">
        <v>1429</v>
      </c>
      <c r="K1896" s="45" t="n">
        <v>6.2</v>
      </c>
      <c r="L1896" s="45" t="s">
        <v>263</v>
      </c>
      <c r="M1896" s="45" t="s">
        <v>259</v>
      </c>
      <c r="N1896" s="45" t="s">
        <v>57</v>
      </c>
      <c r="O1896" s="47" t="n">
        <v>46277.8235185185</v>
      </c>
      <c r="P1896" s="47" t="n">
        <v>46277.8278587963</v>
      </c>
    </row>
    <row r="1897" customFormat="false" ht="15" hidden="false" customHeight="false" outlineLevel="0" collapsed="false">
      <c r="A1897" s="45" t="n">
        <v>2100</v>
      </c>
      <c r="B1897" s="46" t="n">
        <v>46277</v>
      </c>
      <c r="C1897" s="45" t="s">
        <v>131</v>
      </c>
      <c r="D1897" s="45" t="s">
        <v>132</v>
      </c>
      <c r="E1897" s="45" t="s">
        <v>242</v>
      </c>
      <c r="F1897" s="45" t="s">
        <v>3813</v>
      </c>
      <c r="G1897" s="46" t="n">
        <v>46273</v>
      </c>
      <c r="H1897" s="45" t="s">
        <v>167</v>
      </c>
      <c r="I1897" s="45" t="s">
        <v>176</v>
      </c>
      <c r="J1897" s="45" t="s">
        <v>3814</v>
      </c>
      <c r="K1897" s="45" t="n">
        <v>0.6</v>
      </c>
      <c r="L1897" s="45" t="s">
        <v>263</v>
      </c>
      <c r="M1897" s="45" t="s">
        <v>259</v>
      </c>
      <c r="N1897" s="45" t="s">
        <v>167</v>
      </c>
      <c r="O1897" s="47" t="n">
        <v>46277.8362268519</v>
      </c>
      <c r="P1897" s="47" t="n">
        <v>46277.8366087963</v>
      </c>
    </row>
    <row r="1898" customFormat="false" ht="15" hidden="false" customHeight="false" outlineLevel="0" collapsed="false">
      <c r="A1898" s="45" t="n">
        <v>2101</v>
      </c>
      <c r="B1898" s="46" t="n">
        <v>46277</v>
      </c>
      <c r="C1898" s="45" t="s">
        <v>131</v>
      </c>
      <c r="D1898" s="45" t="s">
        <v>132</v>
      </c>
      <c r="E1898" s="45" t="s">
        <v>3726</v>
      </c>
      <c r="F1898" s="45" t="s">
        <v>3727</v>
      </c>
      <c r="G1898" s="46" t="n">
        <v>46270</v>
      </c>
      <c r="H1898" s="45" t="s">
        <v>167</v>
      </c>
      <c r="I1898" s="45" t="s">
        <v>176</v>
      </c>
      <c r="J1898" s="45" t="s">
        <v>3815</v>
      </c>
      <c r="K1898" s="45" t="n">
        <v>0.7</v>
      </c>
      <c r="L1898" s="45" t="s">
        <v>259</v>
      </c>
      <c r="M1898" s="45" t="s">
        <v>259</v>
      </c>
      <c r="N1898" s="45" t="s">
        <v>167</v>
      </c>
      <c r="O1898" s="47" t="n">
        <v>46277.8426273148</v>
      </c>
      <c r="P1898" s="47" t="n">
        <v>46277.8431018519</v>
      </c>
    </row>
    <row r="1899" customFormat="false" ht="15" hidden="false" customHeight="false" outlineLevel="0" collapsed="false">
      <c r="A1899" s="45" t="n">
        <v>2103</v>
      </c>
      <c r="B1899" s="46" t="n">
        <v>46278</v>
      </c>
      <c r="C1899" s="45" t="s">
        <v>133</v>
      </c>
      <c r="D1899" s="45" t="s">
        <v>134</v>
      </c>
      <c r="E1899" s="45" t="s">
        <v>3781</v>
      </c>
      <c r="F1899" s="45" t="s">
        <v>3816</v>
      </c>
      <c r="G1899" s="46" t="n">
        <v>46267</v>
      </c>
      <c r="H1899" s="45" t="s">
        <v>167</v>
      </c>
      <c r="I1899" s="45" t="s">
        <v>176</v>
      </c>
      <c r="J1899" s="45" t="s">
        <v>3817</v>
      </c>
      <c r="K1899" s="45" t="n">
        <v>26.2</v>
      </c>
      <c r="L1899" s="45" t="s">
        <v>263</v>
      </c>
      <c r="M1899" s="45" t="s">
        <v>259</v>
      </c>
      <c r="N1899" s="45" t="s">
        <v>167</v>
      </c>
      <c r="O1899" s="47" t="n">
        <v>46278.9890277778</v>
      </c>
      <c r="P1899" s="47" t="n">
        <v>46279.0071990741</v>
      </c>
    </row>
    <row r="1900" customFormat="false" ht="15" hidden="false" customHeight="false" outlineLevel="0" collapsed="false">
      <c r="A1900" s="45" t="n">
        <v>2104</v>
      </c>
      <c r="B1900" s="46" t="n">
        <v>46279</v>
      </c>
      <c r="C1900" s="45" t="s">
        <v>153</v>
      </c>
      <c r="D1900" s="45" t="s">
        <v>154</v>
      </c>
      <c r="E1900" s="45" t="s">
        <v>3818</v>
      </c>
      <c r="F1900" s="45" t="s">
        <v>3819</v>
      </c>
      <c r="G1900" s="46" t="n">
        <v>46275</v>
      </c>
      <c r="H1900" s="45" t="s">
        <v>168</v>
      </c>
      <c r="I1900" s="45" t="s">
        <v>191</v>
      </c>
      <c r="J1900" s="45" t="s">
        <v>3820</v>
      </c>
      <c r="K1900" s="45" t="n">
        <v>133.6</v>
      </c>
      <c r="L1900" s="45" t="s">
        <v>263</v>
      </c>
      <c r="M1900" s="45" t="s">
        <v>259</v>
      </c>
      <c r="N1900" s="45" t="s">
        <v>2559</v>
      </c>
      <c r="O1900" s="47" t="n">
        <v>46279.0053240741</v>
      </c>
      <c r="P1900" s="47" t="n">
        <v>46279.0981018519</v>
      </c>
    </row>
    <row r="1901" customFormat="false" ht="15" hidden="false" customHeight="false" outlineLevel="0" collapsed="false">
      <c r="A1901" s="45" t="n">
        <v>2105</v>
      </c>
      <c r="B1901" s="46" t="n">
        <v>46279</v>
      </c>
      <c r="C1901" s="45" t="s">
        <v>153</v>
      </c>
      <c r="D1901" s="45" t="s">
        <v>154</v>
      </c>
      <c r="E1901" s="45" t="s">
        <v>3722</v>
      </c>
      <c r="F1901" s="45" t="s">
        <v>3821</v>
      </c>
      <c r="G1901" s="46" t="n">
        <v>46275</v>
      </c>
      <c r="H1901" s="45" t="s">
        <v>169</v>
      </c>
      <c r="I1901" s="45"/>
      <c r="J1901" s="45"/>
      <c r="K1901" s="45" t="n">
        <v>0.8</v>
      </c>
      <c r="L1901" s="45" t="s">
        <v>263</v>
      </c>
      <c r="M1901" s="45" t="s">
        <v>259</v>
      </c>
      <c r="N1901" s="45" t="s">
        <v>169</v>
      </c>
      <c r="O1901" s="47" t="n">
        <v>46279.0981481482</v>
      </c>
      <c r="P1901" s="47" t="n">
        <v>46279.0987037037</v>
      </c>
    </row>
    <row r="1902" customFormat="false" ht="15" hidden="false" customHeight="false" outlineLevel="0" collapsed="false">
      <c r="A1902" s="45" t="n">
        <v>2106</v>
      </c>
      <c r="B1902" s="46" t="n">
        <v>46279</v>
      </c>
      <c r="C1902" s="45" t="s">
        <v>139</v>
      </c>
      <c r="D1902" s="45" t="s">
        <v>140</v>
      </c>
      <c r="E1902" s="45" t="s">
        <v>237</v>
      </c>
      <c r="F1902" s="45" t="s">
        <v>3822</v>
      </c>
      <c r="G1902" s="46" t="n">
        <v>46262</v>
      </c>
      <c r="H1902" s="45" t="s">
        <v>167</v>
      </c>
      <c r="I1902" s="45" t="s">
        <v>176</v>
      </c>
      <c r="J1902" s="45" t="s">
        <v>3823</v>
      </c>
      <c r="K1902" s="45" t="n">
        <v>0</v>
      </c>
      <c r="L1902" s="45" t="s">
        <v>263</v>
      </c>
      <c r="M1902" s="45" t="s">
        <v>259</v>
      </c>
      <c r="N1902" s="45" t="s">
        <v>167</v>
      </c>
      <c r="O1902" s="47" t="n">
        <v>46279.4420601852</v>
      </c>
      <c r="P1902" s="47" t="n">
        <v>46279.4420833333</v>
      </c>
    </row>
    <row r="1903" customFormat="false" ht="15" hidden="false" customHeight="false" outlineLevel="0" collapsed="false">
      <c r="A1903" s="45" t="n">
        <v>2107</v>
      </c>
      <c r="B1903" s="46" t="n">
        <v>46279</v>
      </c>
      <c r="C1903" s="45" t="s">
        <v>139</v>
      </c>
      <c r="D1903" s="45" t="s">
        <v>140</v>
      </c>
      <c r="E1903" s="45" t="s">
        <v>2652</v>
      </c>
      <c r="F1903" s="45" t="s">
        <v>3824</v>
      </c>
      <c r="G1903" s="46" t="n">
        <v>46263</v>
      </c>
      <c r="H1903" s="45" t="s">
        <v>167</v>
      </c>
      <c r="I1903" s="45" t="s">
        <v>176</v>
      </c>
      <c r="J1903" s="45" t="s">
        <v>3825</v>
      </c>
      <c r="K1903" s="45" t="n">
        <v>5.3</v>
      </c>
      <c r="L1903" s="45" t="s">
        <v>263</v>
      </c>
      <c r="M1903" s="45" t="s">
        <v>259</v>
      </c>
      <c r="N1903" s="45" t="s">
        <v>167</v>
      </c>
      <c r="O1903" s="47" t="n">
        <v>46279.4421180556</v>
      </c>
      <c r="P1903" s="47" t="n">
        <v>46279.445775463</v>
      </c>
    </row>
    <row r="1904" customFormat="false" ht="15" hidden="false" customHeight="false" outlineLevel="0" collapsed="false">
      <c r="A1904" s="45" t="n">
        <v>2108</v>
      </c>
      <c r="B1904" s="46" t="n">
        <v>46279</v>
      </c>
      <c r="C1904" s="45" t="s">
        <v>139</v>
      </c>
      <c r="D1904" s="45" t="s">
        <v>140</v>
      </c>
      <c r="E1904" s="45" t="s">
        <v>221</v>
      </c>
      <c r="F1904" s="45" t="s">
        <v>3826</v>
      </c>
      <c r="G1904" s="46" t="n">
        <v>46263</v>
      </c>
      <c r="H1904" s="45" t="s">
        <v>168</v>
      </c>
      <c r="I1904" s="45" t="s">
        <v>191</v>
      </c>
      <c r="J1904" s="45" t="s">
        <v>3827</v>
      </c>
      <c r="K1904" s="45" t="n">
        <v>0.7</v>
      </c>
      <c r="L1904" s="45" t="s">
        <v>263</v>
      </c>
      <c r="M1904" s="45" t="s">
        <v>259</v>
      </c>
      <c r="N1904" s="45" t="s">
        <v>2559</v>
      </c>
      <c r="O1904" s="47" t="n">
        <v>46279.4486921296</v>
      </c>
      <c r="P1904" s="47" t="n">
        <v>46279.4491898148</v>
      </c>
    </row>
    <row r="1905" customFormat="false" ht="15" hidden="false" customHeight="false" outlineLevel="0" collapsed="false">
      <c r="A1905" s="45" t="n">
        <v>2109</v>
      </c>
      <c r="B1905" s="46" t="n">
        <v>46279</v>
      </c>
      <c r="C1905" s="45" t="s">
        <v>139</v>
      </c>
      <c r="D1905" s="45" t="s">
        <v>140</v>
      </c>
      <c r="E1905" s="45" t="s">
        <v>221</v>
      </c>
      <c r="F1905" s="45" t="s">
        <v>3828</v>
      </c>
      <c r="G1905" s="46" t="n">
        <v>46263</v>
      </c>
      <c r="H1905" s="45" t="s">
        <v>167</v>
      </c>
      <c r="I1905" s="45" t="s">
        <v>179</v>
      </c>
      <c r="J1905" s="45" t="s">
        <v>3829</v>
      </c>
      <c r="K1905" s="45" t="n">
        <v>0.7</v>
      </c>
      <c r="L1905" s="45" t="s">
        <v>263</v>
      </c>
      <c r="M1905" s="45" t="s">
        <v>259</v>
      </c>
      <c r="N1905" s="45" t="s">
        <v>167</v>
      </c>
      <c r="O1905" s="47" t="n">
        <v>46279.4503472222</v>
      </c>
      <c r="P1905" s="47" t="n">
        <v>46279.4508449074</v>
      </c>
    </row>
    <row r="1906" customFormat="false" ht="15" hidden="false" customHeight="false" outlineLevel="0" collapsed="false">
      <c r="A1906" s="45" t="n">
        <v>2110</v>
      </c>
      <c r="B1906" s="46" t="n">
        <v>46279</v>
      </c>
      <c r="C1906" s="45" t="s">
        <v>139</v>
      </c>
      <c r="D1906" s="45" t="s">
        <v>140</v>
      </c>
      <c r="E1906" s="45" t="s">
        <v>2816</v>
      </c>
      <c r="F1906" s="45" t="s">
        <v>3830</v>
      </c>
      <c r="G1906" s="46" t="n">
        <v>46263</v>
      </c>
      <c r="H1906" s="45" t="s">
        <v>167</v>
      </c>
      <c r="I1906" s="45" t="s">
        <v>176</v>
      </c>
      <c r="J1906" s="45" t="s">
        <v>3831</v>
      </c>
      <c r="K1906" s="45" t="n">
        <v>3.5</v>
      </c>
      <c r="L1906" s="45" t="s">
        <v>263</v>
      </c>
      <c r="M1906" s="45" t="s">
        <v>259</v>
      </c>
      <c r="N1906" s="45" t="s">
        <v>167</v>
      </c>
      <c r="O1906" s="47" t="n">
        <v>46279.4509953704</v>
      </c>
      <c r="P1906" s="47" t="n">
        <v>46279.4534143519</v>
      </c>
    </row>
    <row r="1907" customFormat="false" ht="15" hidden="false" customHeight="false" outlineLevel="0" collapsed="false">
      <c r="A1907" s="45" t="n">
        <v>2111</v>
      </c>
      <c r="B1907" s="46" t="n">
        <v>46279</v>
      </c>
      <c r="C1907" s="45" t="s">
        <v>139</v>
      </c>
      <c r="D1907" s="45" t="s">
        <v>140</v>
      </c>
      <c r="E1907" s="45" t="s">
        <v>233</v>
      </c>
      <c r="F1907" s="45" t="s">
        <v>3832</v>
      </c>
      <c r="G1907" s="46" t="n">
        <v>46263</v>
      </c>
      <c r="H1907" s="45" t="s">
        <v>167</v>
      </c>
      <c r="I1907" s="45" t="s">
        <v>178</v>
      </c>
      <c r="J1907" s="45" t="s">
        <v>3833</v>
      </c>
      <c r="K1907" s="45" t="n">
        <v>3.4</v>
      </c>
      <c r="L1907" s="45" t="s">
        <v>263</v>
      </c>
      <c r="M1907" s="45" t="s">
        <v>259</v>
      </c>
      <c r="N1907" s="45" t="s">
        <v>167</v>
      </c>
      <c r="O1907" s="47" t="n">
        <v>46279.4534837963</v>
      </c>
      <c r="P1907" s="47" t="n">
        <v>46279.4558680556</v>
      </c>
    </row>
    <row r="1908" customFormat="false" ht="15" hidden="false" customHeight="false" outlineLevel="0" collapsed="false">
      <c r="A1908" s="45" t="n">
        <v>2112</v>
      </c>
      <c r="B1908" s="46" t="n">
        <v>46279</v>
      </c>
      <c r="C1908" s="45" t="s">
        <v>139</v>
      </c>
      <c r="D1908" s="45" t="s">
        <v>140</v>
      </c>
      <c r="E1908" s="45" t="s">
        <v>2666</v>
      </c>
      <c r="F1908" s="45" t="s">
        <v>3834</v>
      </c>
      <c r="G1908" s="46" t="n">
        <v>46264</v>
      </c>
      <c r="H1908" s="45" t="s">
        <v>167</v>
      </c>
      <c r="I1908" s="45" t="s">
        <v>179</v>
      </c>
      <c r="J1908" s="45" t="s">
        <v>3835</v>
      </c>
      <c r="K1908" s="45" t="n">
        <v>3.1</v>
      </c>
      <c r="L1908" s="45" t="s">
        <v>263</v>
      </c>
      <c r="M1908" s="45" t="s">
        <v>259</v>
      </c>
      <c r="N1908" s="45" t="s">
        <v>167</v>
      </c>
      <c r="O1908" s="47" t="n">
        <v>46279.4561689815</v>
      </c>
      <c r="P1908" s="47" t="n">
        <v>46279.4583217593</v>
      </c>
    </row>
    <row r="1909" customFormat="false" ht="15" hidden="false" customHeight="false" outlineLevel="0" collapsed="false">
      <c r="A1909" s="45" t="n">
        <v>2113</v>
      </c>
      <c r="B1909" s="46" t="n">
        <v>46279</v>
      </c>
      <c r="C1909" s="45" t="s">
        <v>139</v>
      </c>
      <c r="D1909" s="45" t="s">
        <v>140</v>
      </c>
      <c r="E1909" s="45" t="s">
        <v>237</v>
      </c>
      <c r="F1909" s="45" t="s">
        <v>3836</v>
      </c>
      <c r="G1909" s="46" t="n">
        <v>46264</v>
      </c>
      <c r="H1909" s="45" t="s">
        <v>168</v>
      </c>
      <c r="I1909" s="45" t="s">
        <v>194</v>
      </c>
      <c r="J1909" s="45" t="s">
        <v>3837</v>
      </c>
      <c r="K1909" s="45" t="n">
        <v>0.7</v>
      </c>
      <c r="L1909" s="45" t="s">
        <v>263</v>
      </c>
      <c r="M1909" s="45" t="s">
        <v>259</v>
      </c>
      <c r="N1909" s="45" t="s">
        <v>2559</v>
      </c>
      <c r="O1909" s="47" t="n">
        <v>46279.4590162037</v>
      </c>
      <c r="P1909" s="47" t="n">
        <v>46279.4594907407</v>
      </c>
    </row>
    <row r="1910" customFormat="false" ht="15" hidden="false" customHeight="false" outlineLevel="0" collapsed="false">
      <c r="A1910" s="45" t="n">
        <v>2114</v>
      </c>
      <c r="B1910" s="46" t="n">
        <v>46279</v>
      </c>
      <c r="C1910" s="45" t="s">
        <v>139</v>
      </c>
      <c r="D1910" s="45" t="s">
        <v>140</v>
      </c>
      <c r="E1910" s="45" t="s">
        <v>221</v>
      </c>
      <c r="F1910" s="45" t="s">
        <v>3838</v>
      </c>
      <c r="G1910" s="46" t="n">
        <v>46264</v>
      </c>
      <c r="H1910" s="45" t="s">
        <v>167</v>
      </c>
      <c r="I1910" s="45" t="s">
        <v>176</v>
      </c>
      <c r="J1910" s="45" t="s">
        <v>1848</v>
      </c>
      <c r="K1910" s="45" t="n">
        <v>1.8</v>
      </c>
      <c r="L1910" s="45" t="s">
        <v>263</v>
      </c>
      <c r="M1910" s="45" t="s">
        <v>259</v>
      </c>
      <c r="N1910" s="45" t="s">
        <v>167</v>
      </c>
      <c r="O1910" s="47" t="n">
        <v>46279.4595486111</v>
      </c>
      <c r="P1910" s="47" t="n">
        <v>46279.460787037</v>
      </c>
    </row>
    <row r="1911" customFormat="false" ht="15" hidden="false" customHeight="false" outlineLevel="0" collapsed="false">
      <c r="A1911" s="45" t="n">
        <v>2115</v>
      </c>
      <c r="B1911" s="46" t="n">
        <v>46279</v>
      </c>
      <c r="C1911" s="45" t="s">
        <v>139</v>
      </c>
      <c r="D1911" s="45" t="s">
        <v>140</v>
      </c>
      <c r="E1911" s="45" t="s">
        <v>2816</v>
      </c>
      <c r="F1911" s="45" t="s">
        <v>3839</v>
      </c>
      <c r="G1911" s="46" t="n">
        <v>46264</v>
      </c>
      <c r="H1911" s="45" t="s">
        <v>169</v>
      </c>
      <c r="I1911" s="45"/>
      <c r="J1911" s="45"/>
      <c r="K1911" s="45" t="n">
        <v>1</v>
      </c>
      <c r="L1911" s="45" t="s">
        <v>263</v>
      </c>
      <c r="M1911" s="45" t="s">
        <v>259</v>
      </c>
      <c r="N1911" s="45" t="s">
        <v>169</v>
      </c>
      <c r="O1911" s="47" t="n">
        <v>46279.4608564815</v>
      </c>
      <c r="P1911" s="47" t="n">
        <v>46279.4615393519</v>
      </c>
    </row>
    <row r="1912" customFormat="false" ht="15" hidden="false" customHeight="false" outlineLevel="0" collapsed="false">
      <c r="A1912" s="45" t="n">
        <v>2116</v>
      </c>
      <c r="B1912" s="46" t="n">
        <v>46279</v>
      </c>
      <c r="C1912" s="45" t="s">
        <v>139</v>
      </c>
      <c r="D1912" s="45" t="s">
        <v>140</v>
      </c>
      <c r="E1912" s="45" t="s">
        <v>2666</v>
      </c>
      <c r="F1912" s="45" t="s">
        <v>3840</v>
      </c>
      <c r="G1912" s="46" t="n">
        <v>46265</v>
      </c>
      <c r="H1912" s="45" t="s">
        <v>167</v>
      </c>
      <c r="I1912" s="45" t="s">
        <v>180</v>
      </c>
      <c r="J1912" s="45" t="s">
        <v>3841</v>
      </c>
      <c r="K1912" s="45" t="n">
        <v>21.4</v>
      </c>
      <c r="L1912" s="45" t="s">
        <v>263</v>
      </c>
      <c r="M1912" s="45" t="s">
        <v>259</v>
      </c>
      <c r="N1912" s="45" t="s">
        <v>167</v>
      </c>
      <c r="O1912" s="47" t="n">
        <v>46279.4615625</v>
      </c>
      <c r="P1912" s="47" t="n">
        <v>46279.4763888889</v>
      </c>
    </row>
    <row r="1913" customFormat="false" ht="15" hidden="false" customHeight="false" outlineLevel="0" collapsed="false">
      <c r="A1913" s="45" t="n">
        <v>2117</v>
      </c>
      <c r="B1913" s="46" t="n">
        <v>46279</v>
      </c>
      <c r="C1913" s="45" t="s">
        <v>139</v>
      </c>
      <c r="D1913" s="45" t="s">
        <v>140</v>
      </c>
      <c r="E1913" s="45" t="s">
        <v>2666</v>
      </c>
      <c r="F1913" s="45" t="s">
        <v>3842</v>
      </c>
      <c r="G1913" s="46" t="n">
        <v>46265</v>
      </c>
      <c r="H1913" s="45" t="s">
        <v>167</v>
      </c>
      <c r="I1913" s="45" t="s">
        <v>179</v>
      </c>
      <c r="J1913" s="45" t="s">
        <v>3843</v>
      </c>
      <c r="K1913" s="45" t="n">
        <v>0.6</v>
      </c>
      <c r="L1913" s="45" t="s">
        <v>263</v>
      </c>
      <c r="M1913" s="45" t="s">
        <v>259</v>
      </c>
      <c r="N1913" s="45" t="s">
        <v>167</v>
      </c>
      <c r="O1913" s="47" t="n">
        <v>46279.4797106482</v>
      </c>
      <c r="P1913" s="47" t="n">
        <v>46279.4801157407</v>
      </c>
    </row>
    <row r="1914" customFormat="false" ht="15" hidden="false" customHeight="false" outlineLevel="0" collapsed="false">
      <c r="A1914" s="45" t="n">
        <v>2118</v>
      </c>
      <c r="B1914" s="46" t="n">
        <v>46279</v>
      </c>
      <c r="C1914" s="45" t="s">
        <v>139</v>
      </c>
      <c r="D1914" s="45" t="s">
        <v>140</v>
      </c>
      <c r="E1914" s="45" t="s">
        <v>2826</v>
      </c>
      <c r="F1914" s="45" t="s">
        <v>3844</v>
      </c>
      <c r="G1914" s="46" t="n">
        <v>46265</v>
      </c>
      <c r="H1914" s="45" t="s">
        <v>57</v>
      </c>
      <c r="I1914" s="45" t="s">
        <v>201</v>
      </c>
      <c r="J1914" s="45" t="s">
        <v>3845</v>
      </c>
      <c r="K1914" s="45" t="n">
        <v>10.2</v>
      </c>
      <c r="L1914" s="45" t="s">
        <v>263</v>
      </c>
      <c r="M1914" s="45" t="s">
        <v>259</v>
      </c>
      <c r="N1914" s="45" t="s">
        <v>57</v>
      </c>
      <c r="O1914" s="47" t="n">
        <v>46279.480162037</v>
      </c>
      <c r="P1914" s="47" t="n">
        <v>46279.4872106482</v>
      </c>
    </row>
    <row r="1915" customFormat="false" ht="15" hidden="false" customHeight="false" outlineLevel="0" collapsed="false">
      <c r="A1915" s="45" t="n">
        <v>2119</v>
      </c>
      <c r="B1915" s="46" t="n">
        <v>46279</v>
      </c>
      <c r="C1915" s="45" t="s">
        <v>139</v>
      </c>
      <c r="D1915" s="45" t="s">
        <v>140</v>
      </c>
      <c r="E1915" s="45" t="s">
        <v>221</v>
      </c>
      <c r="F1915" s="45" t="s">
        <v>3846</v>
      </c>
      <c r="G1915" s="46" t="n">
        <v>46265</v>
      </c>
      <c r="H1915" s="45" t="s">
        <v>167</v>
      </c>
      <c r="I1915" s="45" t="s">
        <v>180</v>
      </c>
      <c r="J1915" s="45" t="s">
        <v>3847</v>
      </c>
      <c r="K1915" s="45" t="n">
        <v>0.7</v>
      </c>
      <c r="L1915" s="45" t="s">
        <v>263</v>
      </c>
      <c r="M1915" s="45" t="s">
        <v>259</v>
      </c>
      <c r="N1915" s="45" t="s">
        <v>167</v>
      </c>
      <c r="O1915" s="47" t="n">
        <v>46279.4911921296</v>
      </c>
      <c r="P1915" s="47" t="n">
        <v>46279.4916435185</v>
      </c>
    </row>
    <row r="1916" customFormat="false" ht="15" hidden="false" customHeight="false" outlineLevel="0" collapsed="false">
      <c r="A1916" s="45" t="n">
        <v>2120</v>
      </c>
      <c r="B1916" s="46" t="n">
        <v>46279</v>
      </c>
      <c r="C1916" s="45" t="s">
        <v>139</v>
      </c>
      <c r="D1916" s="45" t="s">
        <v>140</v>
      </c>
      <c r="E1916" s="45" t="s">
        <v>2652</v>
      </c>
      <c r="F1916" s="45" t="s">
        <v>3848</v>
      </c>
      <c r="G1916" s="46" t="n">
        <v>46266</v>
      </c>
      <c r="H1916" s="45" t="s">
        <v>167</v>
      </c>
      <c r="I1916" s="45" t="s">
        <v>179</v>
      </c>
      <c r="J1916" s="45" t="s">
        <v>3849</v>
      </c>
      <c r="K1916" s="45" t="n">
        <v>1.1</v>
      </c>
      <c r="L1916" s="45" t="s">
        <v>263</v>
      </c>
      <c r="M1916" s="45" t="s">
        <v>259</v>
      </c>
      <c r="N1916" s="45" t="s">
        <v>167</v>
      </c>
      <c r="O1916" s="47" t="n">
        <v>46279.5182986111</v>
      </c>
      <c r="P1916" s="47" t="n">
        <v>46279.5190856482</v>
      </c>
    </row>
    <row r="1917" customFormat="false" ht="15" hidden="false" customHeight="false" outlineLevel="0" collapsed="false">
      <c r="A1917" s="45" t="n">
        <v>2121</v>
      </c>
      <c r="B1917" s="46" t="n">
        <v>46279</v>
      </c>
      <c r="C1917" s="45" t="s">
        <v>139</v>
      </c>
      <c r="D1917" s="45" t="s">
        <v>140</v>
      </c>
      <c r="E1917" s="45" t="s">
        <v>2666</v>
      </c>
      <c r="F1917" s="45" t="s">
        <v>3850</v>
      </c>
      <c r="G1917" s="46" t="n">
        <v>46266</v>
      </c>
      <c r="H1917" s="45" t="s">
        <v>57</v>
      </c>
      <c r="I1917" s="45" t="s">
        <v>201</v>
      </c>
      <c r="J1917" s="45" t="s">
        <v>3851</v>
      </c>
      <c r="K1917" s="45" t="n">
        <v>0.7</v>
      </c>
      <c r="L1917" s="45" t="s">
        <v>263</v>
      </c>
      <c r="M1917" s="45" t="s">
        <v>259</v>
      </c>
      <c r="N1917" s="45" t="s">
        <v>57</v>
      </c>
      <c r="O1917" s="47" t="n">
        <v>46279.5327083333</v>
      </c>
      <c r="P1917" s="47" t="n">
        <v>46279.5332060185</v>
      </c>
    </row>
    <row r="1918" customFormat="false" ht="15" hidden="false" customHeight="false" outlineLevel="0" collapsed="false">
      <c r="A1918" s="45" t="n">
        <v>2122</v>
      </c>
      <c r="B1918" s="46" t="n">
        <v>46279</v>
      </c>
      <c r="C1918" s="45" t="s">
        <v>139</v>
      </c>
      <c r="D1918" s="45" t="s">
        <v>140</v>
      </c>
      <c r="E1918" s="45" t="s">
        <v>237</v>
      </c>
      <c r="F1918" s="45" t="s">
        <v>3852</v>
      </c>
      <c r="G1918" s="46" t="n">
        <v>46266</v>
      </c>
      <c r="H1918" s="45" t="s">
        <v>169</v>
      </c>
      <c r="I1918" s="45"/>
      <c r="J1918" s="45"/>
      <c r="K1918" s="45" t="n">
        <v>0.2</v>
      </c>
      <c r="L1918" s="45" t="s">
        <v>263</v>
      </c>
      <c r="M1918" s="45" t="s">
        <v>259</v>
      </c>
      <c r="N1918" s="45" t="s">
        <v>169</v>
      </c>
      <c r="O1918" s="47" t="n">
        <v>46279.5433333333</v>
      </c>
      <c r="P1918" s="47" t="n">
        <v>46279.5434837963</v>
      </c>
    </row>
    <row r="1919" customFormat="false" ht="15" hidden="false" customHeight="false" outlineLevel="0" collapsed="false">
      <c r="A1919" s="45" t="n">
        <v>2123</v>
      </c>
      <c r="B1919" s="46" t="n">
        <v>46279</v>
      </c>
      <c r="C1919" s="45" t="s">
        <v>139</v>
      </c>
      <c r="D1919" s="45" t="s">
        <v>140</v>
      </c>
      <c r="E1919" s="45" t="s">
        <v>2816</v>
      </c>
      <c r="F1919" s="45" t="s">
        <v>3853</v>
      </c>
      <c r="G1919" s="46" t="n">
        <v>46266</v>
      </c>
      <c r="H1919" s="45" t="s">
        <v>167</v>
      </c>
      <c r="I1919" s="45" t="s">
        <v>183</v>
      </c>
      <c r="J1919" s="45" t="s">
        <v>3854</v>
      </c>
      <c r="K1919" s="45" t="n">
        <v>4.7</v>
      </c>
      <c r="L1919" s="45" t="s">
        <v>263</v>
      </c>
      <c r="M1919" s="45" t="s">
        <v>259</v>
      </c>
      <c r="N1919" s="45" t="s">
        <v>167</v>
      </c>
      <c r="O1919" s="47" t="n">
        <v>46279.5435185185</v>
      </c>
      <c r="P1919" s="47" t="n">
        <v>46279.5468055556</v>
      </c>
    </row>
    <row r="1920" customFormat="false" ht="15" hidden="false" customHeight="false" outlineLevel="0" collapsed="false">
      <c r="A1920" s="45" t="n">
        <v>2124</v>
      </c>
      <c r="B1920" s="46" t="n">
        <v>46279</v>
      </c>
      <c r="C1920" s="45" t="s">
        <v>139</v>
      </c>
      <c r="D1920" s="45" t="s">
        <v>140</v>
      </c>
      <c r="E1920" s="45" t="s">
        <v>2816</v>
      </c>
      <c r="F1920" s="45" t="s">
        <v>3855</v>
      </c>
      <c r="G1920" s="46" t="n">
        <v>46266</v>
      </c>
      <c r="H1920" s="45" t="s">
        <v>167</v>
      </c>
      <c r="I1920" s="45" t="s">
        <v>178</v>
      </c>
      <c r="J1920" s="45" t="s">
        <v>3856</v>
      </c>
      <c r="K1920" s="45" t="n">
        <v>5.5</v>
      </c>
      <c r="L1920" s="45" t="s">
        <v>263</v>
      </c>
      <c r="M1920" s="45" t="s">
        <v>259</v>
      </c>
      <c r="N1920" s="45" t="s">
        <v>167</v>
      </c>
      <c r="O1920" s="47" t="n">
        <v>46279.5469097222</v>
      </c>
      <c r="P1920" s="47" t="n">
        <v>46279.5507407407</v>
      </c>
    </row>
    <row r="1921" customFormat="false" ht="15" hidden="false" customHeight="false" outlineLevel="0" collapsed="false">
      <c r="A1921" s="45" t="n">
        <v>2125</v>
      </c>
      <c r="B1921" s="46" t="n">
        <v>46279</v>
      </c>
      <c r="C1921" s="45" t="s">
        <v>139</v>
      </c>
      <c r="D1921" s="45" t="s">
        <v>140</v>
      </c>
      <c r="E1921" s="45" t="s">
        <v>2666</v>
      </c>
      <c r="F1921" s="45" t="s">
        <v>3857</v>
      </c>
      <c r="G1921" s="46" t="n">
        <v>46267</v>
      </c>
      <c r="H1921" s="45" t="s">
        <v>168</v>
      </c>
      <c r="I1921" s="45" t="s">
        <v>191</v>
      </c>
      <c r="J1921" s="45" t="s">
        <v>3858</v>
      </c>
      <c r="K1921" s="45" t="n">
        <v>0.8</v>
      </c>
      <c r="L1921" s="45" t="s">
        <v>263</v>
      </c>
      <c r="M1921" s="45" t="s">
        <v>259</v>
      </c>
      <c r="N1921" s="45" t="s">
        <v>2559</v>
      </c>
      <c r="O1921" s="47" t="n">
        <v>46279.5527893519</v>
      </c>
      <c r="P1921" s="47" t="n">
        <v>46279.5533564815</v>
      </c>
    </row>
    <row r="1922" customFormat="false" ht="15" hidden="false" customHeight="false" outlineLevel="0" collapsed="false">
      <c r="A1922" s="45" t="n">
        <v>2126</v>
      </c>
      <c r="B1922" s="46" t="n">
        <v>46279</v>
      </c>
      <c r="C1922" s="45" t="s">
        <v>139</v>
      </c>
      <c r="D1922" s="45" t="s">
        <v>140</v>
      </c>
      <c r="E1922" s="45" t="s">
        <v>2652</v>
      </c>
      <c r="F1922" s="45" t="s">
        <v>3859</v>
      </c>
      <c r="G1922" s="46" t="n">
        <v>46267</v>
      </c>
      <c r="H1922" s="45" t="s">
        <v>167</v>
      </c>
      <c r="I1922" s="45" t="s">
        <v>176</v>
      </c>
      <c r="J1922" s="45" t="s">
        <v>3860</v>
      </c>
      <c r="K1922" s="45" t="n">
        <v>8.4</v>
      </c>
      <c r="L1922" s="45" t="s">
        <v>263</v>
      </c>
      <c r="M1922" s="45" t="s">
        <v>259</v>
      </c>
      <c r="N1922" s="45" t="s">
        <v>167</v>
      </c>
      <c r="O1922" s="47" t="n">
        <v>46279.5534259259</v>
      </c>
      <c r="P1922" s="47" t="n">
        <v>46279.5592476852</v>
      </c>
    </row>
    <row r="1923" customFormat="false" ht="15" hidden="false" customHeight="false" outlineLevel="0" collapsed="false">
      <c r="A1923" s="45" t="n">
        <v>2127</v>
      </c>
      <c r="B1923" s="46" t="n">
        <v>46279</v>
      </c>
      <c r="C1923" s="45" t="s">
        <v>139</v>
      </c>
      <c r="D1923" s="45" t="s">
        <v>140</v>
      </c>
      <c r="E1923" s="45" t="s">
        <v>237</v>
      </c>
      <c r="F1923" s="45" t="s">
        <v>3861</v>
      </c>
      <c r="G1923" s="46" t="n">
        <v>46267</v>
      </c>
      <c r="H1923" s="45" t="s">
        <v>167</v>
      </c>
      <c r="I1923" s="45" t="s">
        <v>181</v>
      </c>
      <c r="J1923" s="45" t="s">
        <v>3862</v>
      </c>
      <c r="K1923" s="45" t="n">
        <v>1.1</v>
      </c>
      <c r="L1923" s="45" t="s">
        <v>263</v>
      </c>
      <c r="M1923" s="45" t="s">
        <v>259</v>
      </c>
      <c r="N1923" s="45" t="s">
        <v>167</v>
      </c>
      <c r="O1923" s="47" t="n">
        <v>46279.5620486111</v>
      </c>
      <c r="P1923" s="47" t="n">
        <v>46279.5628125</v>
      </c>
    </row>
    <row r="1924" customFormat="false" ht="15" hidden="false" customHeight="false" outlineLevel="0" collapsed="false">
      <c r="A1924" s="45" t="n">
        <v>2128</v>
      </c>
      <c r="B1924" s="46" t="n">
        <v>46279</v>
      </c>
      <c r="C1924" s="45" t="s">
        <v>139</v>
      </c>
      <c r="D1924" s="45" t="s">
        <v>140</v>
      </c>
      <c r="E1924" s="45" t="s">
        <v>237</v>
      </c>
      <c r="F1924" s="45" t="s">
        <v>3863</v>
      </c>
      <c r="G1924" s="46" t="n">
        <v>46267</v>
      </c>
      <c r="H1924" s="45" t="s">
        <v>167</v>
      </c>
      <c r="I1924" s="45" t="s">
        <v>183</v>
      </c>
      <c r="J1924" s="45" t="s">
        <v>3864</v>
      </c>
      <c r="K1924" s="45" t="n">
        <v>0.4</v>
      </c>
      <c r="L1924" s="45" t="s">
        <v>263</v>
      </c>
      <c r="M1924" s="45" t="s">
        <v>259</v>
      </c>
      <c r="N1924" s="45" t="s">
        <v>167</v>
      </c>
      <c r="O1924" s="47" t="n">
        <v>46279.5688425926</v>
      </c>
      <c r="P1924" s="47" t="n">
        <v>46279.5691435185</v>
      </c>
    </row>
    <row r="1925" customFormat="false" ht="15" hidden="false" customHeight="false" outlineLevel="0" collapsed="false">
      <c r="A1925" s="45" t="n">
        <v>2129</v>
      </c>
      <c r="B1925" s="46" t="n">
        <v>46279</v>
      </c>
      <c r="C1925" s="45" t="s">
        <v>139</v>
      </c>
      <c r="D1925" s="45" t="s">
        <v>140</v>
      </c>
      <c r="E1925" s="45" t="s">
        <v>233</v>
      </c>
      <c r="F1925" s="45" t="s">
        <v>3865</v>
      </c>
      <c r="G1925" s="46" t="n">
        <v>46268</v>
      </c>
      <c r="H1925" s="45" t="s">
        <v>167</v>
      </c>
      <c r="I1925" s="45" t="s">
        <v>176</v>
      </c>
      <c r="J1925" s="45" t="s">
        <v>3866</v>
      </c>
      <c r="K1925" s="45" t="n">
        <v>0.4</v>
      </c>
      <c r="L1925" s="45" t="s">
        <v>263</v>
      </c>
      <c r="M1925" s="45" t="s">
        <v>259</v>
      </c>
      <c r="N1925" s="45" t="s">
        <v>167</v>
      </c>
      <c r="O1925" s="47" t="n">
        <v>46279.6026157407</v>
      </c>
      <c r="P1925" s="47" t="n">
        <v>46279.6029166667</v>
      </c>
    </row>
    <row r="1926" customFormat="false" ht="15" hidden="false" customHeight="false" outlineLevel="0" collapsed="false">
      <c r="A1926" s="45" t="n">
        <v>2130</v>
      </c>
      <c r="B1926" s="46" t="n">
        <v>46279</v>
      </c>
      <c r="C1926" s="45" t="s">
        <v>139</v>
      </c>
      <c r="D1926" s="45" t="s">
        <v>140</v>
      </c>
      <c r="E1926" s="45" t="s">
        <v>233</v>
      </c>
      <c r="F1926" s="45" t="s">
        <v>3764</v>
      </c>
      <c r="G1926" s="46" t="n">
        <v>46268</v>
      </c>
      <c r="H1926" s="45" t="s">
        <v>57</v>
      </c>
      <c r="I1926" s="45" t="s">
        <v>201</v>
      </c>
      <c r="J1926" s="45" t="s">
        <v>3867</v>
      </c>
      <c r="K1926" s="45" t="n">
        <v>8.8</v>
      </c>
      <c r="L1926" s="45" t="s">
        <v>259</v>
      </c>
      <c r="M1926" s="45" t="s">
        <v>259</v>
      </c>
      <c r="N1926" s="45" t="s">
        <v>57</v>
      </c>
      <c r="O1926" s="47" t="n">
        <v>46279.6031944445</v>
      </c>
      <c r="P1926" s="47" t="n">
        <v>46279.6093171296</v>
      </c>
    </row>
    <row r="1927" customFormat="false" ht="15" hidden="false" customHeight="false" outlineLevel="0" collapsed="false">
      <c r="A1927" s="45" t="n">
        <v>2131</v>
      </c>
      <c r="B1927" s="46" t="n">
        <v>46279</v>
      </c>
      <c r="C1927" s="45" t="s">
        <v>139</v>
      </c>
      <c r="D1927" s="45" t="s">
        <v>140</v>
      </c>
      <c r="E1927" s="45" t="s">
        <v>233</v>
      </c>
      <c r="F1927" s="45" t="s">
        <v>3764</v>
      </c>
      <c r="G1927" s="46" t="n">
        <v>46268</v>
      </c>
      <c r="H1927" s="45" t="s">
        <v>57</v>
      </c>
      <c r="I1927" s="45" t="s">
        <v>201</v>
      </c>
      <c r="J1927" s="45" t="s">
        <v>3868</v>
      </c>
      <c r="K1927" s="45" t="n">
        <v>0.8</v>
      </c>
      <c r="L1927" s="45" t="s">
        <v>259</v>
      </c>
      <c r="M1927" s="45" t="s">
        <v>259</v>
      </c>
      <c r="N1927" s="45" t="s">
        <v>57</v>
      </c>
      <c r="O1927" s="47" t="n">
        <v>46279.6110185185</v>
      </c>
      <c r="P1927" s="47" t="n">
        <v>46279.6116087963</v>
      </c>
    </row>
    <row r="1928" customFormat="false" ht="15" hidden="false" customHeight="false" outlineLevel="0" collapsed="false">
      <c r="A1928" s="45" t="n">
        <v>2132</v>
      </c>
      <c r="B1928" s="46" t="n">
        <v>46279</v>
      </c>
      <c r="C1928" s="45" t="s">
        <v>139</v>
      </c>
      <c r="D1928" s="45" t="s">
        <v>140</v>
      </c>
      <c r="E1928" s="45" t="s">
        <v>2666</v>
      </c>
      <c r="F1928" s="45" t="s">
        <v>3869</v>
      </c>
      <c r="G1928" s="46" t="n">
        <v>46269</v>
      </c>
      <c r="H1928" s="45" t="s">
        <v>57</v>
      </c>
      <c r="I1928" s="45" t="s">
        <v>201</v>
      </c>
      <c r="J1928" s="45" t="s">
        <v>3870</v>
      </c>
      <c r="K1928" s="45" t="n">
        <v>0.6</v>
      </c>
      <c r="L1928" s="45" t="s">
        <v>263</v>
      </c>
      <c r="M1928" s="45" t="s">
        <v>259</v>
      </c>
      <c r="N1928" s="45" t="s">
        <v>57</v>
      </c>
      <c r="O1928" s="47" t="n">
        <v>46279.632349537</v>
      </c>
      <c r="P1928" s="47" t="n">
        <v>46279.6327546296</v>
      </c>
    </row>
    <row r="1929" customFormat="false" ht="15" hidden="false" customHeight="false" outlineLevel="0" collapsed="false">
      <c r="A1929" s="45" t="n">
        <v>2133</v>
      </c>
      <c r="B1929" s="46" t="n">
        <v>46279</v>
      </c>
      <c r="C1929" s="45" t="s">
        <v>139</v>
      </c>
      <c r="D1929" s="45" t="s">
        <v>140</v>
      </c>
      <c r="E1929" s="45" t="s">
        <v>221</v>
      </c>
      <c r="F1929" s="45" t="s">
        <v>3871</v>
      </c>
      <c r="G1929" s="46" t="n">
        <v>46269</v>
      </c>
      <c r="H1929" s="45" t="s">
        <v>169</v>
      </c>
      <c r="I1929" s="45"/>
      <c r="J1929" s="45"/>
      <c r="K1929" s="45" t="n">
        <v>0.1</v>
      </c>
      <c r="L1929" s="45" t="s">
        <v>263</v>
      </c>
      <c r="M1929" s="45" t="s">
        <v>259</v>
      </c>
      <c r="N1929" s="45" t="s">
        <v>169</v>
      </c>
      <c r="O1929" s="47" t="n">
        <v>46279.6331712963</v>
      </c>
      <c r="P1929" s="47" t="n">
        <v>46279.633275463</v>
      </c>
    </row>
    <row r="1930" customFormat="false" ht="15" hidden="false" customHeight="false" outlineLevel="0" collapsed="false">
      <c r="A1930" s="45" t="n">
        <v>2134</v>
      </c>
      <c r="B1930" s="46" t="n">
        <v>46279</v>
      </c>
      <c r="C1930" s="45" t="s">
        <v>139</v>
      </c>
      <c r="D1930" s="45" t="s">
        <v>140</v>
      </c>
      <c r="E1930" s="45" t="s">
        <v>2652</v>
      </c>
      <c r="F1930" s="45" t="s">
        <v>3872</v>
      </c>
      <c r="G1930" s="46" t="n">
        <v>46270</v>
      </c>
      <c r="H1930" s="45" t="s">
        <v>57</v>
      </c>
      <c r="I1930" s="45" t="s">
        <v>201</v>
      </c>
      <c r="J1930" s="45" t="s">
        <v>3873</v>
      </c>
      <c r="K1930" s="45" t="n">
        <v>0.4</v>
      </c>
      <c r="L1930" s="45" t="s">
        <v>263</v>
      </c>
      <c r="M1930" s="45" t="s">
        <v>259</v>
      </c>
      <c r="N1930" s="45" t="s">
        <v>57</v>
      </c>
      <c r="O1930" s="47" t="n">
        <v>46279.6596064815</v>
      </c>
      <c r="P1930" s="47" t="n">
        <v>46279.6598958333</v>
      </c>
    </row>
    <row r="1931" customFormat="false" ht="15" hidden="false" customHeight="false" outlineLevel="0" collapsed="false">
      <c r="A1931" s="45" t="n">
        <v>2135</v>
      </c>
      <c r="B1931" s="46" t="n">
        <v>46279</v>
      </c>
      <c r="C1931" s="45" t="s">
        <v>139</v>
      </c>
      <c r="D1931" s="45" t="s">
        <v>140</v>
      </c>
      <c r="E1931" s="45" t="s">
        <v>2677</v>
      </c>
      <c r="F1931" s="45" t="s">
        <v>3874</v>
      </c>
      <c r="G1931" s="46" t="n">
        <v>46270</v>
      </c>
      <c r="H1931" s="45" t="s">
        <v>167</v>
      </c>
      <c r="I1931" s="45" t="s">
        <v>176</v>
      </c>
      <c r="J1931" s="45" t="s">
        <v>3875</v>
      </c>
      <c r="K1931" s="45" t="n">
        <v>470.9</v>
      </c>
      <c r="L1931" s="45" t="s">
        <v>263</v>
      </c>
      <c r="M1931" s="45" t="s">
        <v>259</v>
      </c>
      <c r="N1931" s="45" t="s">
        <v>167</v>
      </c>
      <c r="O1931" s="47" t="n">
        <v>46279.6600810185</v>
      </c>
      <c r="P1931" s="47" t="n">
        <v>46279.9870833333</v>
      </c>
    </row>
    <row r="1932" customFormat="false" ht="15" hidden="false" customHeight="false" outlineLevel="0" collapsed="false">
      <c r="A1932" s="45" t="n">
        <v>2136</v>
      </c>
      <c r="B1932" s="46" t="n">
        <v>46280</v>
      </c>
      <c r="C1932" s="45" t="s">
        <v>135</v>
      </c>
      <c r="D1932" s="45" t="s">
        <v>136</v>
      </c>
      <c r="E1932" s="45" t="s">
        <v>3298</v>
      </c>
      <c r="F1932" s="45" t="s">
        <v>3876</v>
      </c>
      <c r="G1932" s="46" t="n">
        <v>46277</v>
      </c>
      <c r="H1932" s="45" t="s">
        <v>168</v>
      </c>
      <c r="I1932" s="45" t="s">
        <v>191</v>
      </c>
      <c r="J1932" s="45" t="s">
        <v>3877</v>
      </c>
      <c r="K1932" s="45" t="n">
        <v>19.5</v>
      </c>
      <c r="L1932" s="45" t="s">
        <v>263</v>
      </c>
      <c r="M1932" s="45" t="s">
        <v>259</v>
      </c>
      <c r="N1932" s="45" t="s">
        <v>2559</v>
      </c>
      <c r="O1932" s="47" t="n">
        <v>46280.2634606482</v>
      </c>
      <c r="P1932" s="47" t="n">
        <v>46280.2769791667</v>
      </c>
    </row>
    <row r="1933" customFormat="false" ht="15" hidden="false" customHeight="false" outlineLevel="0" collapsed="false">
      <c r="A1933" s="45" t="n">
        <v>2137</v>
      </c>
      <c r="B1933" s="46" t="n">
        <v>46281</v>
      </c>
      <c r="C1933" s="45" t="s">
        <v>131</v>
      </c>
      <c r="D1933" s="45" t="s">
        <v>132</v>
      </c>
      <c r="E1933" s="45" t="s">
        <v>2801</v>
      </c>
      <c r="F1933" s="45" t="s">
        <v>3878</v>
      </c>
      <c r="G1933" s="46" t="n">
        <v>46280</v>
      </c>
      <c r="H1933" s="45" t="s">
        <v>167</v>
      </c>
      <c r="I1933" s="45" t="s">
        <v>176</v>
      </c>
      <c r="J1933" s="45" t="s">
        <v>3879</v>
      </c>
      <c r="K1933" s="45" t="n">
        <v>5.8</v>
      </c>
      <c r="L1933" s="45" t="s">
        <v>263</v>
      </c>
      <c r="M1933" s="45" t="s">
        <v>259</v>
      </c>
      <c r="N1933" s="45" t="s">
        <v>167</v>
      </c>
      <c r="O1933" s="47" t="n">
        <v>46281.7840277778</v>
      </c>
      <c r="P1933" s="47" t="n">
        <v>46281.7880787037</v>
      </c>
    </row>
    <row r="1934" customFormat="false" ht="15" hidden="false" customHeight="false" outlineLevel="0" collapsed="false">
      <c r="A1934" s="45" t="n">
        <v>2138</v>
      </c>
      <c r="B1934" s="46" t="n">
        <v>46281</v>
      </c>
      <c r="C1934" s="45" t="s">
        <v>131</v>
      </c>
      <c r="D1934" s="45" t="s">
        <v>132</v>
      </c>
      <c r="E1934" s="45" t="s">
        <v>2801</v>
      </c>
      <c r="F1934" s="45" t="s">
        <v>3880</v>
      </c>
      <c r="G1934" s="46" t="n">
        <v>46276</v>
      </c>
      <c r="H1934" s="45" t="s">
        <v>167</v>
      </c>
      <c r="I1934" s="45" t="s">
        <v>176</v>
      </c>
      <c r="J1934" s="45" t="s">
        <v>3881</v>
      </c>
      <c r="K1934" s="45" t="n">
        <v>1</v>
      </c>
      <c r="L1934" s="45" t="s">
        <v>263</v>
      </c>
      <c r="M1934" s="45" t="s">
        <v>259</v>
      </c>
      <c r="N1934" s="45" t="s">
        <v>167</v>
      </c>
      <c r="O1934" s="47" t="n">
        <v>46281.7884837963</v>
      </c>
      <c r="P1934" s="47" t="n">
        <v>46281.7891666667</v>
      </c>
    </row>
    <row r="1935" customFormat="false" ht="15" hidden="false" customHeight="false" outlineLevel="0" collapsed="false">
      <c r="A1935" s="45" t="n">
        <v>2139</v>
      </c>
      <c r="B1935" s="46" t="n">
        <v>46282</v>
      </c>
      <c r="C1935" s="45" t="s">
        <v>153</v>
      </c>
      <c r="D1935" s="45" t="s">
        <v>154</v>
      </c>
      <c r="E1935" s="45" t="s">
        <v>3818</v>
      </c>
      <c r="F1935" s="45" t="s">
        <v>3882</v>
      </c>
      <c r="G1935" s="46" t="n">
        <v>46275</v>
      </c>
      <c r="H1935" s="45" t="s">
        <v>168</v>
      </c>
      <c r="I1935" s="45" t="s">
        <v>193</v>
      </c>
      <c r="J1935" s="45"/>
      <c r="K1935" s="45" t="n">
        <v>21</v>
      </c>
      <c r="L1935" s="45" t="s">
        <v>263</v>
      </c>
      <c r="M1935" s="45" t="s">
        <v>259</v>
      </c>
      <c r="N1935" s="45" t="s">
        <v>2559</v>
      </c>
      <c r="O1935" s="47" t="n">
        <v>46282.1847916667</v>
      </c>
      <c r="P1935" s="47" t="n">
        <v>46282.199375</v>
      </c>
    </row>
    <row r="1936" customFormat="false" ht="15" hidden="false" customHeight="false" outlineLevel="0" collapsed="false">
      <c r="A1936" s="45" t="n">
        <v>2140</v>
      </c>
      <c r="B1936" s="46" t="n">
        <v>46282</v>
      </c>
      <c r="C1936" s="45" t="s">
        <v>153</v>
      </c>
      <c r="D1936" s="45" t="s">
        <v>154</v>
      </c>
      <c r="E1936" s="45" t="s">
        <v>3883</v>
      </c>
      <c r="F1936" s="45" t="s">
        <v>3884</v>
      </c>
      <c r="G1936" s="46" t="n">
        <v>46280</v>
      </c>
      <c r="H1936" s="45" t="s">
        <v>167</v>
      </c>
      <c r="I1936" s="45" t="s">
        <v>176</v>
      </c>
      <c r="J1936" s="45"/>
      <c r="K1936" s="45" t="n">
        <v>15.3</v>
      </c>
      <c r="L1936" s="45" t="s">
        <v>259</v>
      </c>
      <c r="M1936" s="45" t="s">
        <v>259</v>
      </c>
      <c r="N1936" s="45" t="s">
        <v>167</v>
      </c>
      <c r="O1936" s="47" t="n">
        <v>46282.1994097222</v>
      </c>
      <c r="P1936" s="47" t="n">
        <v>46282.2100115741</v>
      </c>
    </row>
    <row r="1937" customFormat="false" ht="15" hidden="false" customHeight="false" outlineLevel="0" collapsed="false">
      <c r="A1937" s="45" t="n">
        <v>2141</v>
      </c>
      <c r="B1937" s="46" t="n">
        <v>46282</v>
      </c>
      <c r="C1937" s="45" t="s">
        <v>131</v>
      </c>
      <c r="D1937" s="45" t="s">
        <v>132</v>
      </c>
      <c r="E1937" s="45" t="s">
        <v>3885</v>
      </c>
      <c r="F1937" s="45" t="s">
        <v>3886</v>
      </c>
      <c r="G1937" s="46" t="n">
        <v>46280</v>
      </c>
      <c r="H1937" s="45" t="s">
        <v>167</v>
      </c>
      <c r="I1937" s="45" t="s">
        <v>176</v>
      </c>
      <c r="J1937" s="45" t="s">
        <v>3887</v>
      </c>
      <c r="K1937" s="45" t="n">
        <v>2.2</v>
      </c>
      <c r="L1937" s="45" t="s">
        <v>263</v>
      </c>
      <c r="M1937" s="45" t="s">
        <v>259</v>
      </c>
      <c r="N1937" s="45" t="s">
        <v>167</v>
      </c>
      <c r="O1937" s="47" t="n">
        <v>46282.7853240741</v>
      </c>
      <c r="P1937" s="47" t="n">
        <v>46282.786875</v>
      </c>
    </row>
    <row r="1938" customFormat="false" ht="15" hidden="false" customHeight="false" outlineLevel="0" collapsed="false">
      <c r="A1938" s="45" t="n">
        <v>2168</v>
      </c>
      <c r="B1938" s="46" t="n">
        <v>46282</v>
      </c>
      <c r="C1938" s="45" t="s">
        <v>153</v>
      </c>
      <c r="D1938" s="45" t="s">
        <v>154</v>
      </c>
      <c r="E1938" s="45" t="s">
        <v>3883</v>
      </c>
      <c r="F1938" s="45" t="s">
        <v>3884</v>
      </c>
      <c r="G1938" s="46" t="n">
        <v>46280</v>
      </c>
      <c r="H1938" s="45" t="s">
        <v>167</v>
      </c>
      <c r="I1938" s="45" t="s">
        <v>176</v>
      </c>
      <c r="J1938" s="45" t="s">
        <v>2681</v>
      </c>
      <c r="K1938" s="45" t="n">
        <v>1524</v>
      </c>
      <c r="L1938" s="45" t="s">
        <v>259</v>
      </c>
      <c r="M1938" s="45" t="s">
        <v>259</v>
      </c>
      <c r="N1938" s="45" t="s">
        <v>167</v>
      </c>
      <c r="O1938" s="47" t="n">
        <v>46282.9009490741</v>
      </c>
      <c r="P1938" s="47" t="n">
        <v>46283.9592592593</v>
      </c>
    </row>
    <row r="1939" customFormat="false" ht="15" hidden="false" customHeight="false" outlineLevel="0" collapsed="false">
      <c r="A1939" s="45" t="n">
        <v>2143</v>
      </c>
      <c r="B1939" s="46" t="n">
        <v>46283</v>
      </c>
      <c r="C1939" s="45" t="s">
        <v>141</v>
      </c>
      <c r="D1939" s="45" t="s">
        <v>142</v>
      </c>
      <c r="E1939" s="45" t="s">
        <v>224</v>
      </c>
      <c r="F1939" s="45" t="s">
        <v>3888</v>
      </c>
      <c r="G1939" s="46" t="n">
        <v>46281</v>
      </c>
      <c r="H1939" s="45" t="s">
        <v>167</v>
      </c>
      <c r="I1939" s="45" t="s">
        <v>185</v>
      </c>
      <c r="J1939" s="45" t="s">
        <v>3889</v>
      </c>
      <c r="K1939" s="45" t="n">
        <v>5.9</v>
      </c>
      <c r="L1939" s="45" t="s">
        <v>263</v>
      </c>
      <c r="M1939" s="45" t="s">
        <v>259</v>
      </c>
      <c r="N1939" s="45" t="s">
        <v>167</v>
      </c>
      <c r="O1939" s="47" t="n">
        <v>46283.1116898148</v>
      </c>
      <c r="P1939" s="47" t="n">
        <v>46283.1158101852</v>
      </c>
    </row>
    <row r="1940" customFormat="false" ht="15" hidden="false" customHeight="false" outlineLevel="0" collapsed="false">
      <c r="A1940" s="45" t="n">
        <v>2144</v>
      </c>
      <c r="B1940" s="46" t="n">
        <v>46283</v>
      </c>
      <c r="C1940" s="45" t="s">
        <v>141</v>
      </c>
      <c r="D1940" s="45" t="s">
        <v>142</v>
      </c>
      <c r="E1940" s="45" t="s">
        <v>1027</v>
      </c>
      <c r="F1940" s="45" t="s">
        <v>3890</v>
      </c>
      <c r="G1940" s="46" t="n">
        <v>46280</v>
      </c>
      <c r="H1940" s="45" t="s">
        <v>168</v>
      </c>
      <c r="I1940" s="45" t="s">
        <v>191</v>
      </c>
      <c r="J1940" s="45" t="s">
        <v>3891</v>
      </c>
      <c r="K1940" s="45" t="n">
        <v>1.8</v>
      </c>
      <c r="L1940" s="45" t="s">
        <v>263</v>
      </c>
      <c r="M1940" s="45" t="s">
        <v>259</v>
      </c>
      <c r="N1940" s="45" t="s">
        <v>2559</v>
      </c>
      <c r="O1940" s="47" t="n">
        <v>46283.1161342593</v>
      </c>
      <c r="P1940" s="47" t="n">
        <v>46283.1174074074</v>
      </c>
    </row>
    <row r="1941" customFormat="false" ht="15" hidden="false" customHeight="false" outlineLevel="0" collapsed="false">
      <c r="A1941" s="45" t="n">
        <v>2145</v>
      </c>
      <c r="B1941" s="46" t="n">
        <v>46283</v>
      </c>
      <c r="C1941" s="45" t="s">
        <v>139</v>
      </c>
      <c r="D1941" s="45" t="s">
        <v>140</v>
      </c>
      <c r="E1941" s="45" t="s">
        <v>221</v>
      </c>
      <c r="F1941" s="45" t="s">
        <v>3892</v>
      </c>
      <c r="G1941" s="46" t="n">
        <v>46270</v>
      </c>
      <c r="H1941" s="45" t="s">
        <v>167</v>
      </c>
      <c r="I1941" s="45" t="s">
        <v>176</v>
      </c>
      <c r="J1941" s="45" t="s">
        <v>3341</v>
      </c>
      <c r="K1941" s="45" t="n">
        <v>0.9</v>
      </c>
      <c r="L1941" s="45" t="s">
        <v>263</v>
      </c>
      <c r="M1941" s="45" t="s">
        <v>259</v>
      </c>
      <c r="N1941" s="45" t="s">
        <v>167</v>
      </c>
      <c r="O1941" s="47" t="n">
        <v>46283.6652662037</v>
      </c>
      <c r="P1941" s="47" t="n">
        <v>46283.6659027778</v>
      </c>
    </row>
    <row r="1942" customFormat="false" ht="15" hidden="false" customHeight="false" outlineLevel="0" collapsed="false">
      <c r="A1942" s="45" t="n">
        <v>2146</v>
      </c>
      <c r="B1942" s="46" t="n">
        <v>46283</v>
      </c>
      <c r="C1942" s="45" t="s">
        <v>139</v>
      </c>
      <c r="D1942" s="45" t="s">
        <v>140</v>
      </c>
      <c r="E1942" s="45" t="s">
        <v>2666</v>
      </c>
      <c r="F1942" s="45" t="s">
        <v>3893</v>
      </c>
      <c r="G1942" s="46" t="n">
        <v>46270</v>
      </c>
      <c r="H1942" s="45" t="s">
        <v>167</v>
      </c>
      <c r="I1942" s="45" t="s">
        <v>178</v>
      </c>
      <c r="J1942" s="45" t="s">
        <v>3894</v>
      </c>
      <c r="K1942" s="45" t="n">
        <v>0.5</v>
      </c>
      <c r="L1942" s="45" t="s">
        <v>263</v>
      </c>
      <c r="M1942" s="45" t="s">
        <v>259</v>
      </c>
      <c r="N1942" s="45" t="s">
        <v>167</v>
      </c>
      <c r="O1942" s="47" t="n">
        <v>46283.6706712963</v>
      </c>
      <c r="P1942" s="47" t="n">
        <v>46283.6710069445</v>
      </c>
    </row>
    <row r="1943" customFormat="false" ht="15" hidden="false" customHeight="false" outlineLevel="0" collapsed="false">
      <c r="A1943" s="45" t="n">
        <v>2147</v>
      </c>
      <c r="B1943" s="46" t="n">
        <v>46283</v>
      </c>
      <c r="C1943" s="45" t="s">
        <v>139</v>
      </c>
      <c r="D1943" s="45" t="s">
        <v>140</v>
      </c>
      <c r="E1943" s="45" t="s">
        <v>221</v>
      </c>
      <c r="F1943" s="45" t="s">
        <v>3895</v>
      </c>
      <c r="G1943" s="46" t="n">
        <v>46270</v>
      </c>
      <c r="H1943" s="45" t="s">
        <v>168</v>
      </c>
      <c r="I1943" s="45" t="s">
        <v>192</v>
      </c>
      <c r="J1943" s="45" t="s">
        <v>3896</v>
      </c>
      <c r="K1943" s="45" t="n">
        <v>0.9</v>
      </c>
      <c r="L1943" s="45" t="s">
        <v>263</v>
      </c>
      <c r="M1943" s="45" t="s">
        <v>259</v>
      </c>
      <c r="N1943" s="45" t="s">
        <v>2559</v>
      </c>
      <c r="O1943" s="47" t="n">
        <v>46283.6735648148</v>
      </c>
      <c r="P1943" s="47" t="n">
        <v>46283.6741782407</v>
      </c>
    </row>
    <row r="1944" customFormat="false" ht="15" hidden="false" customHeight="false" outlineLevel="0" collapsed="false">
      <c r="A1944" s="45" t="n">
        <v>2148</v>
      </c>
      <c r="B1944" s="46" t="n">
        <v>46283</v>
      </c>
      <c r="C1944" s="45" t="s">
        <v>139</v>
      </c>
      <c r="D1944" s="45" t="s">
        <v>140</v>
      </c>
      <c r="E1944" s="45" t="s">
        <v>2816</v>
      </c>
      <c r="F1944" s="45" t="s">
        <v>3897</v>
      </c>
      <c r="G1944" s="46" t="n">
        <v>46270</v>
      </c>
      <c r="H1944" s="45" t="s">
        <v>167</v>
      </c>
      <c r="I1944" s="45" t="s">
        <v>176</v>
      </c>
      <c r="J1944" s="45" t="s">
        <v>3898</v>
      </c>
      <c r="K1944" s="45" t="n">
        <v>3.2</v>
      </c>
      <c r="L1944" s="45" t="s">
        <v>263</v>
      </c>
      <c r="M1944" s="45" t="s">
        <v>259</v>
      </c>
      <c r="N1944" s="45" t="s">
        <v>167</v>
      </c>
      <c r="O1944" s="47" t="n">
        <v>46283.6765162037</v>
      </c>
      <c r="P1944" s="47" t="n">
        <v>46283.6787152778</v>
      </c>
    </row>
    <row r="1945" customFormat="false" ht="15" hidden="false" customHeight="false" outlineLevel="0" collapsed="false">
      <c r="A1945" s="45" t="n">
        <v>2149</v>
      </c>
      <c r="B1945" s="46" t="n">
        <v>46283</v>
      </c>
      <c r="C1945" s="45" t="s">
        <v>139</v>
      </c>
      <c r="D1945" s="45" t="s">
        <v>140</v>
      </c>
      <c r="E1945" s="45" t="s">
        <v>233</v>
      </c>
      <c r="F1945" s="45" t="s">
        <v>3763</v>
      </c>
      <c r="G1945" s="46" t="n">
        <v>46270</v>
      </c>
      <c r="H1945" s="45" t="s">
        <v>167</v>
      </c>
      <c r="I1945" s="45" t="s">
        <v>176</v>
      </c>
      <c r="J1945" s="45" t="s">
        <v>3341</v>
      </c>
      <c r="K1945" s="45" t="n">
        <v>0.6</v>
      </c>
      <c r="L1945" s="45" t="s">
        <v>259</v>
      </c>
      <c r="M1945" s="45" t="s">
        <v>259</v>
      </c>
      <c r="N1945" s="45" t="s">
        <v>167</v>
      </c>
      <c r="O1945" s="47" t="n">
        <v>46283.6828472222</v>
      </c>
      <c r="P1945" s="47" t="n">
        <v>46283.683287037</v>
      </c>
    </row>
    <row r="1946" customFormat="false" ht="15" hidden="false" customHeight="false" outlineLevel="0" collapsed="false">
      <c r="A1946" s="45" t="n">
        <v>2150</v>
      </c>
      <c r="B1946" s="46" t="n">
        <v>46283</v>
      </c>
      <c r="C1946" s="45" t="s">
        <v>139</v>
      </c>
      <c r="D1946" s="45" t="s">
        <v>140</v>
      </c>
      <c r="E1946" s="45" t="s">
        <v>233</v>
      </c>
      <c r="F1946" s="45" t="s">
        <v>3899</v>
      </c>
      <c r="G1946" s="46" t="n">
        <v>46270</v>
      </c>
      <c r="H1946" s="45" t="s">
        <v>167</v>
      </c>
      <c r="I1946" s="45" t="s">
        <v>176</v>
      </c>
      <c r="J1946" s="45" t="s">
        <v>3900</v>
      </c>
      <c r="K1946" s="45" t="n">
        <v>67.2</v>
      </c>
      <c r="L1946" s="45" t="s">
        <v>263</v>
      </c>
      <c r="M1946" s="45" t="s">
        <v>259</v>
      </c>
      <c r="N1946" s="45" t="s">
        <v>167</v>
      </c>
      <c r="O1946" s="47" t="n">
        <v>46283.6847222222</v>
      </c>
      <c r="P1946" s="47" t="n">
        <v>46283.731400463</v>
      </c>
    </row>
    <row r="1947" customFormat="false" ht="15" hidden="false" customHeight="false" outlineLevel="0" collapsed="false">
      <c r="A1947" s="45" t="n">
        <v>2151</v>
      </c>
      <c r="B1947" s="46" t="n">
        <v>46283</v>
      </c>
      <c r="C1947" s="45" t="s">
        <v>139</v>
      </c>
      <c r="D1947" s="45" t="s">
        <v>140</v>
      </c>
      <c r="E1947" s="45" t="s">
        <v>2816</v>
      </c>
      <c r="F1947" s="45" t="s">
        <v>3705</v>
      </c>
      <c r="G1947" s="46" t="n">
        <v>46271</v>
      </c>
      <c r="H1947" s="45" t="s">
        <v>167</v>
      </c>
      <c r="I1947" s="45" t="s">
        <v>178</v>
      </c>
      <c r="J1947" s="45" t="s">
        <v>3901</v>
      </c>
      <c r="K1947" s="45" t="n">
        <v>0.8</v>
      </c>
      <c r="L1947" s="45" t="s">
        <v>259</v>
      </c>
      <c r="M1947" s="45" t="s">
        <v>259</v>
      </c>
      <c r="N1947" s="45" t="s">
        <v>167</v>
      </c>
      <c r="O1947" s="47" t="n">
        <v>46283.7316550926</v>
      </c>
      <c r="P1947" s="47" t="n">
        <v>46283.7321990741</v>
      </c>
    </row>
    <row r="1948" customFormat="false" ht="15" hidden="false" customHeight="false" outlineLevel="0" collapsed="false">
      <c r="A1948" s="45" t="n">
        <v>2152</v>
      </c>
      <c r="B1948" s="46" t="n">
        <v>46283</v>
      </c>
      <c r="C1948" s="45" t="s">
        <v>139</v>
      </c>
      <c r="D1948" s="45" t="s">
        <v>140</v>
      </c>
      <c r="E1948" s="45" t="s">
        <v>2816</v>
      </c>
      <c r="F1948" s="45" t="s">
        <v>3902</v>
      </c>
      <c r="G1948" s="46" t="n">
        <v>46270</v>
      </c>
      <c r="H1948" s="45" t="s">
        <v>167</v>
      </c>
      <c r="I1948" s="45" t="s">
        <v>183</v>
      </c>
      <c r="J1948" s="45" t="s">
        <v>3903</v>
      </c>
      <c r="K1948" s="45" t="n">
        <v>5.5</v>
      </c>
      <c r="L1948" s="45" t="s">
        <v>263</v>
      </c>
      <c r="M1948" s="45" t="s">
        <v>259</v>
      </c>
      <c r="N1948" s="45" t="s">
        <v>167</v>
      </c>
      <c r="O1948" s="47" t="n">
        <v>46283.7323148148</v>
      </c>
      <c r="P1948" s="47" t="n">
        <v>46283.7361689815</v>
      </c>
    </row>
    <row r="1949" customFormat="false" ht="15" hidden="false" customHeight="false" outlineLevel="0" collapsed="false">
      <c r="A1949" s="45" t="n">
        <v>2153</v>
      </c>
      <c r="B1949" s="46" t="n">
        <v>46283</v>
      </c>
      <c r="C1949" s="45" t="s">
        <v>139</v>
      </c>
      <c r="D1949" s="45" t="s">
        <v>140</v>
      </c>
      <c r="E1949" s="45" t="s">
        <v>221</v>
      </c>
      <c r="F1949" s="45" t="s">
        <v>3707</v>
      </c>
      <c r="G1949" s="46" t="n">
        <v>46270</v>
      </c>
      <c r="H1949" s="45" t="s">
        <v>167</v>
      </c>
      <c r="I1949" s="45" t="s">
        <v>176</v>
      </c>
      <c r="J1949" s="45" t="s">
        <v>3341</v>
      </c>
      <c r="K1949" s="45" t="n">
        <v>12.8</v>
      </c>
      <c r="L1949" s="45" t="s">
        <v>259</v>
      </c>
      <c r="M1949" s="45" t="s">
        <v>259</v>
      </c>
      <c r="N1949" s="45" t="s">
        <v>167</v>
      </c>
      <c r="O1949" s="47" t="n">
        <v>46283.7364814815</v>
      </c>
      <c r="P1949" s="47" t="n">
        <v>46283.7453819444</v>
      </c>
    </row>
    <row r="1950" customFormat="false" ht="15" hidden="false" customHeight="false" outlineLevel="0" collapsed="false">
      <c r="A1950" s="45" t="n">
        <v>2154</v>
      </c>
      <c r="B1950" s="46" t="n">
        <v>46283</v>
      </c>
      <c r="C1950" s="45" t="s">
        <v>139</v>
      </c>
      <c r="D1950" s="45" t="s">
        <v>140</v>
      </c>
      <c r="E1950" s="45" t="s">
        <v>2666</v>
      </c>
      <c r="F1950" s="45" t="s">
        <v>3904</v>
      </c>
      <c r="G1950" s="46" t="n">
        <v>46271</v>
      </c>
      <c r="H1950" s="45" t="s">
        <v>168</v>
      </c>
      <c r="I1950" s="45" t="s">
        <v>192</v>
      </c>
      <c r="J1950" s="45" t="s">
        <v>3905</v>
      </c>
      <c r="K1950" s="45" t="n">
        <v>6.8</v>
      </c>
      <c r="L1950" s="45" t="s">
        <v>263</v>
      </c>
      <c r="M1950" s="45" t="s">
        <v>259</v>
      </c>
      <c r="N1950" s="45" t="s">
        <v>2559</v>
      </c>
      <c r="O1950" s="47" t="n">
        <v>46283.745462963</v>
      </c>
      <c r="P1950" s="47" t="n">
        <v>46283.7501851852</v>
      </c>
    </row>
    <row r="1951" customFormat="false" ht="15" hidden="false" customHeight="false" outlineLevel="0" collapsed="false">
      <c r="A1951" s="45" t="n">
        <v>2155</v>
      </c>
      <c r="B1951" s="46" t="n">
        <v>46283</v>
      </c>
      <c r="C1951" s="45" t="s">
        <v>139</v>
      </c>
      <c r="D1951" s="45" t="s">
        <v>140</v>
      </c>
      <c r="E1951" s="45" t="s">
        <v>2666</v>
      </c>
      <c r="F1951" s="45" t="s">
        <v>3906</v>
      </c>
      <c r="G1951" s="46" t="n">
        <v>46271</v>
      </c>
      <c r="H1951" s="45" t="s">
        <v>167</v>
      </c>
      <c r="I1951" s="45" t="s">
        <v>183</v>
      </c>
      <c r="J1951" s="45" t="s">
        <v>3907</v>
      </c>
      <c r="K1951" s="45" t="n">
        <v>2.1</v>
      </c>
      <c r="L1951" s="45" t="s">
        <v>263</v>
      </c>
      <c r="M1951" s="45" t="s">
        <v>259</v>
      </c>
      <c r="N1951" s="45" t="s">
        <v>167</v>
      </c>
      <c r="O1951" s="47" t="n">
        <v>46283.7509490741</v>
      </c>
      <c r="P1951" s="47" t="n">
        <v>46283.7524074074</v>
      </c>
    </row>
    <row r="1952" customFormat="false" ht="15" hidden="false" customHeight="false" outlineLevel="0" collapsed="false">
      <c r="A1952" s="45" t="n">
        <v>2156</v>
      </c>
      <c r="B1952" s="46" t="n">
        <v>46283</v>
      </c>
      <c r="C1952" s="45" t="s">
        <v>139</v>
      </c>
      <c r="D1952" s="45" t="s">
        <v>140</v>
      </c>
      <c r="E1952" s="45" t="s">
        <v>237</v>
      </c>
      <c r="F1952" s="45" t="s">
        <v>3908</v>
      </c>
      <c r="G1952" s="46" t="n">
        <v>46271</v>
      </c>
      <c r="H1952" s="45" t="s">
        <v>167</v>
      </c>
      <c r="I1952" s="45" t="s">
        <v>177</v>
      </c>
      <c r="J1952" s="45" t="s">
        <v>3909</v>
      </c>
      <c r="K1952" s="45" t="n">
        <v>8.9</v>
      </c>
      <c r="L1952" s="45" t="s">
        <v>259</v>
      </c>
      <c r="M1952" s="45" t="s">
        <v>259</v>
      </c>
      <c r="N1952" s="45" t="s">
        <v>167</v>
      </c>
      <c r="O1952" s="47" t="n">
        <v>46283.7524305556</v>
      </c>
      <c r="P1952" s="47" t="n">
        <v>46283.758599537</v>
      </c>
    </row>
    <row r="1953" customFormat="false" ht="15" hidden="false" customHeight="false" outlineLevel="0" collapsed="false">
      <c r="A1953" s="45" t="n">
        <v>2157</v>
      </c>
      <c r="B1953" s="46" t="n">
        <v>46283</v>
      </c>
      <c r="C1953" s="45" t="s">
        <v>139</v>
      </c>
      <c r="D1953" s="45" t="s">
        <v>140</v>
      </c>
      <c r="E1953" s="45" t="s">
        <v>237</v>
      </c>
      <c r="F1953" s="45" t="s">
        <v>3908</v>
      </c>
      <c r="G1953" s="46" t="n">
        <v>46271</v>
      </c>
      <c r="H1953" s="45" t="s">
        <v>167</v>
      </c>
      <c r="I1953" s="45" t="s">
        <v>177</v>
      </c>
      <c r="J1953" s="45" t="s">
        <v>3910</v>
      </c>
      <c r="K1953" s="45" t="n">
        <v>1</v>
      </c>
      <c r="L1953" s="45" t="s">
        <v>259</v>
      </c>
      <c r="M1953" s="45" t="s">
        <v>259</v>
      </c>
      <c r="N1953" s="45" t="s">
        <v>167</v>
      </c>
      <c r="O1953" s="47" t="n">
        <v>46283.7706134259</v>
      </c>
      <c r="P1953" s="47" t="n">
        <v>46283.7712962963</v>
      </c>
    </row>
    <row r="1954" customFormat="false" ht="15" hidden="false" customHeight="false" outlineLevel="0" collapsed="false">
      <c r="A1954" s="45" t="n">
        <v>2158</v>
      </c>
      <c r="B1954" s="46" t="n">
        <v>46283</v>
      </c>
      <c r="C1954" s="45" t="s">
        <v>139</v>
      </c>
      <c r="D1954" s="45" t="s">
        <v>140</v>
      </c>
      <c r="E1954" s="45" t="s">
        <v>221</v>
      </c>
      <c r="F1954" s="45" t="s">
        <v>3911</v>
      </c>
      <c r="G1954" s="46" t="n">
        <v>46272</v>
      </c>
      <c r="H1954" s="45" t="s">
        <v>167</v>
      </c>
      <c r="I1954" s="45" t="s">
        <v>178</v>
      </c>
      <c r="J1954" s="45" t="s">
        <v>3912</v>
      </c>
      <c r="K1954" s="45" t="n">
        <v>1.3</v>
      </c>
      <c r="L1954" s="45" t="s">
        <v>263</v>
      </c>
      <c r="M1954" s="45" t="s">
        <v>259</v>
      </c>
      <c r="N1954" s="45" t="s">
        <v>167</v>
      </c>
      <c r="O1954" s="47" t="n">
        <v>46283.7742824074</v>
      </c>
      <c r="P1954" s="47" t="n">
        <v>46283.7751851852</v>
      </c>
    </row>
    <row r="1955" customFormat="false" ht="15" hidden="false" customHeight="false" outlineLevel="0" collapsed="false">
      <c r="A1955" s="45" t="n">
        <v>2159</v>
      </c>
      <c r="B1955" s="46" t="n">
        <v>46283</v>
      </c>
      <c r="C1955" s="45" t="s">
        <v>139</v>
      </c>
      <c r="D1955" s="45" t="s">
        <v>140</v>
      </c>
      <c r="E1955" s="45" t="s">
        <v>2652</v>
      </c>
      <c r="F1955" s="45" t="s">
        <v>3913</v>
      </c>
      <c r="G1955" s="46" t="n">
        <v>46273</v>
      </c>
      <c r="H1955" s="45" t="s">
        <v>167</v>
      </c>
      <c r="I1955" s="45" t="s">
        <v>176</v>
      </c>
      <c r="J1955" s="45" t="s">
        <v>3341</v>
      </c>
      <c r="K1955" s="45" t="n">
        <v>17.3</v>
      </c>
      <c r="L1955" s="45" t="s">
        <v>263</v>
      </c>
      <c r="M1955" s="45" t="s">
        <v>259</v>
      </c>
      <c r="N1955" s="45" t="s">
        <v>167</v>
      </c>
      <c r="O1955" s="47" t="n">
        <v>46283.7754282407</v>
      </c>
      <c r="P1955" s="47" t="n">
        <v>46283.7874305556</v>
      </c>
    </row>
    <row r="1956" customFormat="false" ht="15" hidden="false" customHeight="false" outlineLevel="0" collapsed="false">
      <c r="A1956" s="45" t="n">
        <v>2160</v>
      </c>
      <c r="B1956" s="46" t="n">
        <v>46283</v>
      </c>
      <c r="C1956" s="45" t="s">
        <v>139</v>
      </c>
      <c r="D1956" s="45" t="s">
        <v>140</v>
      </c>
      <c r="E1956" s="45" t="s">
        <v>221</v>
      </c>
      <c r="F1956" s="45" t="s">
        <v>3914</v>
      </c>
      <c r="G1956" s="46" t="n">
        <v>46273</v>
      </c>
      <c r="H1956" s="45" t="s">
        <v>168</v>
      </c>
      <c r="I1956" s="45" t="s">
        <v>191</v>
      </c>
      <c r="J1956" s="45" t="s">
        <v>3915</v>
      </c>
      <c r="K1956" s="45" t="n">
        <v>0.7</v>
      </c>
      <c r="L1956" s="45" t="s">
        <v>263</v>
      </c>
      <c r="M1956" s="45" t="s">
        <v>259</v>
      </c>
      <c r="N1956" s="45" t="s">
        <v>2559</v>
      </c>
      <c r="O1956" s="47" t="n">
        <v>46283.7952893519</v>
      </c>
      <c r="P1956" s="47" t="n">
        <v>46283.7957523148</v>
      </c>
    </row>
    <row r="1957" customFormat="false" ht="15" hidden="false" customHeight="false" outlineLevel="0" collapsed="false">
      <c r="A1957" s="45" t="n">
        <v>2161</v>
      </c>
      <c r="B1957" s="46" t="n">
        <v>46283</v>
      </c>
      <c r="C1957" s="45" t="s">
        <v>139</v>
      </c>
      <c r="D1957" s="45" t="s">
        <v>140</v>
      </c>
      <c r="E1957" s="45" t="s">
        <v>2816</v>
      </c>
      <c r="F1957" s="45" t="s">
        <v>3916</v>
      </c>
      <c r="G1957" s="46" t="n">
        <v>46272</v>
      </c>
      <c r="H1957" s="45" t="s">
        <v>167</v>
      </c>
      <c r="I1957" s="45" t="s">
        <v>178</v>
      </c>
      <c r="J1957" s="45" t="s">
        <v>3917</v>
      </c>
      <c r="K1957" s="45" t="n">
        <v>142.4</v>
      </c>
      <c r="L1957" s="45" t="s">
        <v>263</v>
      </c>
      <c r="M1957" s="45" t="s">
        <v>259</v>
      </c>
      <c r="N1957" s="45" t="s">
        <v>167</v>
      </c>
      <c r="O1957" s="47" t="n">
        <v>46283.7958333333</v>
      </c>
      <c r="P1957" s="47" t="n">
        <v>46283.8947453704</v>
      </c>
    </row>
    <row r="1958" customFormat="false" ht="15" hidden="false" customHeight="false" outlineLevel="0" collapsed="false">
      <c r="A1958" s="45" t="n">
        <v>2162</v>
      </c>
      <c r="B1958" s="46" t="n">
        <v>46283</v>
      </c>
      <c r="C1958" s="45" t="s">
        <v>139</v>
      </c>
      <c r="D1958" s="45" t="s">
        <v>140</v>
      </c>
      <c r="E1958" s="45" t="s">
        <v>2666</v>
      </c>
      <c r="F1958" s="45" t="s">
        <v>3918</v>
      </c>
      <c r="G1958" s="46" t="n">
        <v>46273</v>
      </c>
      <c r="H1958" s="45" t="s">
        <v>167</v>
      </c>
      <c r="I1958" s="45" t="s">
        <v>176</v>
      </c>
      <c r="J1958" s="45" t="s">
        <v>3341</v>
      </c>
      <c r="K1958" s="45" t="n">
        <v>0.5</v>
      </c>
      <c r="L1958" s="45" t="s">
        <v>263</v>
      </c>
      <c r="M1958" s="45" t="s">
        <v>259</v>
      </c>
      <c r="N1958" s="45" t="s">
        <v>167</v>
      </c>
      <c r="O1958" s="47" t="n">
        <v>46283.8964699074</v>
      </c>
      <c r="P1958" s="47" t="n">
        <v>46283.8968055556</v>
      </c>
    </row>
    <row r="1959" customFormat="false" ht="15" hidden="false" customHeight="false" outlineLevel="0" collapsed="false">
      <c r="A1959" s="45" t="n">
        <v>2163</v>
      </c>
      <c r="B1959" s="46" t="n">
        <v>46283</v>
      </c>
      <c r="C1959" s="45" t="s">
        <v>139</v>
      </c>
      <c r="D1959" s="45" t="s">
        <v>140</v>
      </c>
      <c r="E1959" s="45" t="s">
        <v>2677</v>
      </c>
      <c r="F1959" s="45" t="s">
        <v>3919</v>
      </c>
      <c r="G1959" s="46" t="n">
        <v>46274</v>
      </c>
      <c r="H1959" s="45" t="s">
        <v>167</v>
      </c>
      <c r="I1959" s="45" t="s">
        <v>176</v>
      </c>
      <c r="J1959" s="45" t="s">
        <v>3920</v>
      </c>
      <c r="K1959" s="45" t="n">
        <v>1.3</v>
      </c>
      <c r="L1959" s="45" t="s">
        <v>263</v>
      </c>
      <c r="M1959" s="45" t="s">
        <v>259</v>
      </c>
      <c r="N1959" s="45" t="s">
        <v>167</v>
      </c>
      <c r="O1959" s="47" t="n">
        <v>46283.8990856482</v>
      </c>
      <c r="P1959" s="47" t="n">
        <v>46283.9000115741</v>
      </c>
    </row>
    <row r="1960" customFormat="false" ht="15" hidden="false" customHeight="false" outlineLevel="0" collapsed="false">
      <c r="A1960" s="45" t="n">
        <v>2164</v>
      </c>
      <c r="B1960" s="46" t="n">
        <v>46283</v>
      </c>
      <c r="C1960" s="45" t="s">
        <v>139</v>
      </c>
      <c r="D1960" s="45" t="s">
        <v>140</v>
      </c>
      <c r="E1960" s="45" t="s">
        <v>2666</v>
      </c>
      <c r="F1960" s="45" t="s">
        <v>3921</v>
      </c>
      <c r="G1960" s="46" t="n">
        <v>46274</v>
      </c>
      <c r="H1960" s="45" t="s">
        <v>167</v>
      </c>
      <c r="I1960" s="45" t="s">
        <v>178</v>
      </c>
      <c r="J1960" s="45" t="s">
        <v>3922</v>
      </c>
      <c r="K1960" s="45" t="n">
        <v>2.1</v>
      </c>
      <c r="L1960" s="45" t="s">
        <v>263</v>
      </c>
      <c r="M1960" s="45" t="s">
        <v>259</v>
      </c>
      <c r="N1960" s="45" t="s">
        <v>167</v>
      </c>
      <c r="O1960" s="47" t="n">
        <v>46283.9438541667</v>
      </c>
      <c r="P1960" s="47" t="n">
        <v>46283.9453472222</v>
      </c>
    </row>
    <row r="1961" customFormat="false" ht="15" hidden="false" customHeight="false" outlineLevel="0" collapsed="false">
      <c r="A1961" s="45" t="n">
        <v>2165</v>
      </c>
      <c r="B1961" s="46" t="n">
        <v>46283</v>
      </c>
      <c r="C1961" s="45" t="s">
        <v>139</v>
      </c>
      <c r="D1961" s="45" t="s">
        <v>140</v>
      </c>
      <c r="E1961" s="45" t="s">
        <v>2652</v>
      </c>
      <c r="F1961" s="45" t="s">
        <v>3923</v>
      </c>
      <c r="G1961" s="46" t="n">
        <v>46274</v>
      </c>
      <c r="H1961" s="45" t="s">
        <v>169</v>
      </c>
      <c r="I1961" s="45"/>
      <c r="J1961" s="45"/>
      <c r="K1961" s="45" t="n">
        <v>0.8</v>
      </c>
      <c r="L1961" s="45" t="s">
        <v>263</v>
      </c>
      <c r="M1961" s="45" t="s">
        <v>259</v>
      </c>
      <c r="N1961" s="45" t="s">
        <v>169</v>
      </c>
      <c r="O1961" s="47" t="n">
        <v>46283.946087963</v>
      </c>
      <c r="P1961" s="47" t="n">
        <v>46283.9466203704</v>
      </c>
    </row>
    <row r="1962" customFormat="false" ht="15" hidden="false" customHeight="false" outlineLevel="0" collapsed="false">
      <c r="A1962" s="45" t="n">
        <v>2166</v>
      </c>
      <c r="B1962" s="46" t="n">
        <v>46283</v>
      </c>
      <c r="C1962" s="45" t="s">
        <v>139</v>
      </c>
      <c r="D1962" s="45" t="s">
        <v>140</v>
      </c>
      <c r="E1962" s="45" t="s">
        <v>2826</v>
      </c>
      <c r="F1962" s="45" t="s">
        <v>3924</v>
      </c>
      <c r="G1962" s="46" t="n">
        <v>46275</v>
      </c>
      <c r="H1962" s="45" t="s">
        <v>57</v>
      </c>
      <c r="I1962" s="45" t="s">
        <v>201</v>
      </c>
      <c r="J1962" s="45" t="s">
        <v>3925</v>
      </c>
      <c r="K1962" s="45" t="n">
        <v>0.4</v>
      </c>
      <c r="L1962" s="45" t="s">
        <v>263</v>
      </c>
      <c r="M1962" s="45" t="s">
        <v>259</v>
      </c>
      <c r="N1962" s="45" t="s">
        <v>57</v>
      </c>
      <c r="O1962" s="47" t="n">
        <v>46283.9489699074</v>
      </c>
      <c r="P1962" s="47" t="n">
        <v>46283.949224537</v>
      </c>
    </row>
    <row r="1963" customFormat="false" ht="15" hidden="false" customHeight="false" outlineLevel="0" collapsed="false">
      <c r="A1963" s="45" t="n">
        <v>2167</v>
      </c>
      <c r="B1963" s="46" t="n">
        <v>46283</v>
      </c>
      <c r="C1963" s="45" t="s">
        <v>139</v>
      </c>
      <c r="D1963" s="45" t="s">
        <v>140</v>
      </c>
      <c r="E1963" s="45" t="s">
        <v>2677</v>
      </c>
      <c r="F1963" s="45" t="s">
        <v>3926</v>
      </c>
      <c r="G1963" s="46" t="n">
        <v>46275</v>
      </c>
      <c r="H1963" s="45" t="s">
        <v>169</v>
      </c>
      <c r="I1963" s="45"/>
      <c r="J1963" s="45"/>
      <c r="K1963" s="45" t="n">
        <v>0.2</v>
      </c>
      <c r="L1963" s="45" t="s">
        <v>263</v>
      </c>
      <c r="M1963" s="45" t="s">
        <v>259</v>
      </c>
      <c r="N1963" s="45" t="s">
        <v>169</v>
      </c>
      <c r="O1963" s="47" t="n">
        <v>46283.9495833333</v>
      </c>
      <c r="P1963" s="47" t="n">
        <v>46283.9497106482</v>
      </c>
    </row>
    <row r="1964" customFormat="false" ht="15" hidden="false" customHeight="false" outlineLevel="0" collapsed="false">
      <c r="A1964" s="45" t="n">
        <v>2169</v>
      </c>
      <c r="B1964" s="46" t="n">
        <v>46283</v>
      </c>
      <c r="C1964" s="45" t="s">
        <v>139</v>
      </c>
      <c r="D1964" s="45" t="s">
        <v>140</v>
      </c>
      <c r="E1964" s="45" t="s">
        <v>2826</v>
      </c>
      <c r="F1964" s="45" t="s">
        <v>3927</v>
      </c>
      <c r="G1964" s="46" t="n">
        <v>46275</v>
      </c>
      <c r="H1964" s="45" t="s">
        <v>167</v>
      </c>
      <c r="I1964" s="45" t="s">
        <v>176</v>
      </c>
      <c r="J1964" s="45" t="s">
        <v>3928</v>
      </c>
      <c r="K1964" s="45" t="n">
        <v>3.3</v>
      </c>
      <c r="L1964" s="45" t="s">
        <v>263</v>
      </c>
      <c r="M1964" s="45" t="s">
        <v>259</v>
      </c>
      <c r="N1964" s="45" t="s">
        <v>167</v>
      </c>
      <c r="O1964" s="47" t="n">
        <v>46283.9589236111</v>
      </c>
      <c r="P1964" s="47" t="n">
        <v>46283.9611921296</v>
      </c>
    </row>
    <row r="1965" customFormat="false" ht="15" hidden="false" customHeight="false" outlineLevel="0" collapsed="false">
      <c r="A1965" s="45" t="n">
        <v>2171</v>
      </c>
      <c r="B1965" s="46" t="n">
        <v>46283</v>
      </c>
      <c r="C1965" s="45" t="s">
        <v>153</v>
      </c>
      <c r="D1965" s="45" t="s">
        <v>154</v>
      </c>
      <c r="E1965" s="45" t="s">
        <v>3724</v>
      </c>
      <c r="F1965" s="45" t="s">
        <v>3929</v>
      </c>
      <c r="G1965" s="46" t="n">
        <v>46281</v>
      </c>
      <c r="H1965" s="45" t="s">
        <v>167</v>
      </c>
      <c r="I1965" s="45" t="s">
        <v>178</v>
      </c>
      <c r="J1965" s="45" t="s">
        <v>2681</v>
      </c>
      <c r="K1965" s="45" t="n">
        <v>44.3</v>
      </c>
      <c r="L1965" s="45" t="s">
        <v>263</v>
      </c>
      <c r="M1965" s="45" t="s">
        <v>259</v>
      </c>
      <c r="N1965" s="45" t="s">
        <v>167</v>
      </c>
      <c r="O1965" s="47" t="n">
        <v>46283.9593055556</v>
      </c>
      <c r="P1965" s="47" t="n">
        <v>46283.9900810185</v>
      </c>
    </row>
    <row r="1966" customFormat="false" ht="15" hidden="false" customHeight="false" outlineLevel="0" collapsed="false">
      <c r="A1966" s="45" t="n">
        <v>2170</v>
      </c>
      <c r="B1966" s="46" t="n">
        <v>46283</v>
      </c>
      <c r="C1966" s="45" t="s">
        <v>139</v>
      </c>
      <c r="D1966" s="45" t="s">
        <v>140</v>
      </c>
      <c r="E1966" s="45" t="s">
        <v>233</v>
      </c>
      <c r="F1966" s="45" t="s">
        <v>3930</v>
      </c>
      <c r="G1966" s="46" t="n">
        <v>46276</v>
      </c>
      <c r="H1966" s="45" t="s">
        <v>168</v>
      </c>
      <c r="I1966" s="45" t="s">
        <v>192</v>
      </c>
      <c r="J1966" s="45" t="s">
        <v>3931</v>
      </c>
      <c r="K1966" s="45" t="n">
        <v>35.8</v>
      </c>
      <c r="L1966" s="45" t="s">
        <v>263</v>
      </c>
      <c r="M1966" s="45" t="s">
        <v>259</v>
      </c>
      <c r="N1966" s="45" t="s">
        <v>2559</v>
      </c>
      <c r="O1966" s="47" t="n">
        <v>46283.9618865741</v>
      </c>
      <c r="P1966" s="47" t="n">
        <v>46283.9867476852</v>
      </c>
    </row>
    <row r="1967" customFormat="false" ht="15" hidden="false" customHeight="false" outlineLevel="0" collapsed="false">
      <c r="A1967" s="45" t="n">
        <v>2174</v>
      </c>
      <c r="B1967" s="46" t="n">
        <v>46283</v>
      </c>
      <c r="C1967" s="45" t="s">
        <v>153</v>
      </c>
      <c r="D1967" s="45" t="s">
        <v>154</v>
      </c>
      <c r="E1967" s="45" t="s">
        <v>3724</v>
      </c>
      <c r="F1967" s="45" t="s">
        <v>3932</v>
      </c>
      <c r="G1967" s="46" t="n">
        <v>46280</v>
      </c>
      <c r="H1967" s="45" t="s">
        <v>167</v>
      </c>
      <c r="I1967" s="45" t="s">
        <v>178</v>
      </c>
      <c r="J1967" s="45" t="s">
        <v>2681</v>
      </c>
      <c r="K1967" s="45" t="n">
        <v>117.8</v>
      </c>
      <c r="L1967" s="45" t="s">
        <v>263</v>
      </c>
      <c r="M1967" s="45" t="s">
        <v>259</v>
      </c>
      <c r="N1967" s="45" t="s">
        <v>167</v>
      </c>
      <c r="O1967" s="47" t="n">
        <v>46283.9902314815</v>
      </c>
      <c r="P1967" s="47" t="n">
        <v>46284.0720601852</v>
      </c>
    </row>
    <row r="1968" customFormat="false" ht="15" hidden="false" customHeight="false" outlineLevel="0" collapsed="false">
      <c r="A1968" s="45" t="n">
        <v>2172</v>
      </c>
      <c r="B1968" s="46" t="n">
        <v>46283</v>
      </c>
      <c r="C1968" s="45" t="s">
        <v>139</v>
      </c>
      <c r="D1968" s="45" t="s">
        <v>140</v>
      </c>
      <c r="E1968" s="45" t="s">
        <v>237</v>
      </c>
      <c r="F1968" s="45" t="s">
        <v>3933</v>
      </c>
      <c r="G1968" s="46" t="n">
        <v>46276</v>
      </c>
      <c r="H1968" s="45" t="s">
        <v>167</v>
      </c>
      <c r="I1968" s="45" t="s">
        <v>176</v>
      </c>
      <c r="J1968" s="45" t="s">
        <v>3341</v>
      </c>
      <c r="K1968" s="45" t="n">
        <v>0.3</v>
      </c>
      <c r="L1968" s="45" t="s">
        <v>263</v>
      </c>
      <c r="M1968" s="45" t="s">
        <v>259</v>
      </c>
      <c r="N1968" s="45" t="s">
        <v>167</v>
      </c>
      <c r="O1968" s="47" t="n">
        <v>46283.9921180556</v>
      </c>
      <c r="P1968" s="47" t="n">
        <v>46283.992349537</v>
      </c>
    </row>
    <row r="1969" customFormat="false" ht="15" hidden="false" customHeight="false" outlineLevel="0" collapsed="false">
      <c r="A1969" s="45" t="n">
        <v>2173</v>
      </c>
      <c r="B1969" s="46" t="n">
        <v>46283</v>
      </c>
      <c r="C1969" s="45" t="s">
        <v>139</v>
      </c>
      <c r="D1969" s="45" t="s">
        <v>140</v>
      </c>
      <c r="E1969" s="45" t="s">
        <v>2677</v>
      </c>
      <c r="F1969" s="45" t="s">
        <v>3934</v>
      </c>
      <c r="G1969" s="46" t="n">
        <v>46277</v>
      </c>
      <c r="H1969" s="45" t="s">
        <v>167</v>
      </c>
      <c r="I1969" s="45" t="s">
        <v>176</v>
      </c>
      <c r="J1969" s="45" t="s">
        <v>3935</v>
      </c>
      <c r="K1969" s="45" t="n">
        <v>14.6</v>
      </c>
      <c r="L1969" s="45" t="s">
        <v>263</v>
      </c>
      <c r="M1969" s="45" t="s">
        <v>259</v>
      </c>
      <c r="N1969" s="45" t="s">
        <v>167</v>
      </c>
      <c r="O1969" s="47" t="n">
        <v>46283.9924537037</v>
      </c>
      <c r="P1969" s="47" t="n">
        <v>46284.0026041667</v>
      </c>
    </row>
    <row r="1970" customFormat="false" ht="15" hidden="false" customHeight="false" outlineLevel="0" collapsed="false">
      <c r="A1970" s="45" t="n">
        <v>2175</v>
      </c>
      <c r="B1970" s="46" t="n">
        <v>46284</v>
      </c>
      <c r="C1970" s="45" t="s">
        <v>139</v>
      </c>
      <c r="D1970" s="45" t="s">
        <v>140</v>
      </c>
      <c r="E1970" s="45" t="s">
        <v>2652</v>
      </c>
      <c r="F1970" s="45" t="s">
        <v>3936</v>
      </c>
      <c r="G1970" s="46" t="n">
        <v>46277</v>
      </c>
      <c r="H1970" s="45" t="s">
        <v>169</v>
      </c>
      <c r="I1970" s="45"/>
      <c r="J1970" s="45"/>
      <c r="K1970" s="45" t="n">
        <v>2</v>
      </c>
      <c r="L1970" s="45" t="s">
        <v>263</v>
      </c>
      <c r="M1970" s="45" t="s">
        <v>259</v>
      </c>
      <c r="N1970" s="45" t="s">
        <v>169</v>
      </c>
      <c r="O1970" s="47" t="n">
        <v>46284.5540625</v>
      </c>
      <c r="P1970" s="47" t="n">
        <v>46284.5554282407</v>
      </c>
    </row>
    <row r="1971" customFormat="false" ht="15" hidden="false" customHeight="false" outlineLevel="0" collapsed="false">
      <c r="A1971" s="45" t="n">
        <v>2176</v>
      </c>
      <c r="B1971" s="46" t="n">
        <v>46284</v>
      </c>
      <c r="C1971" s="45" t="s">
        <v>139</v>
      </c>
      <c r="D1971" s="45" t="s">
        <v>140</v>
      </c>
      <c r="E1971" s="45" t="s">
        <v>221</v>
      </c>
      <c r="F1971" s="45" t="s">
        <v>3937</v>
      </c>
      <c r="G1971" s="46" t="n">
        <v>46277</v>
      </c>
      <c r="H1971" s="45" t="s">
        <v>167</v>
      </c>
      <c r="I1971" s="45" t="s">
        <v>183</v>
      </c>
      <c r="J1971" s="45" t="s">
        <v>3903</v>
      </c>
      <c r="K1971" s="45" t="n">
        <v>32.7</v>
      </c>
      <c r="L1971" s="45" t="s">
        <v>263</v>
      </c>
      <c r="M1971" s="45" t="s">
        <v>259</v>
      </c>
      <c r="N1971" s="45" t="s">
        <v>167</v>
      </c>
      <c r="O1971" s="47" t="n">
        <v>46284.555775463</v>
      </c>
      <c r="P1971" s="47" t="n">
        <v>46284.5784837963</v>
      </c>
    </row>
    <row r="1972" customFormat="false" ht="15" hidden="false" customHeight="false" outlineLevel="0" collapsed="false">
      <c r="A1972" s="45" t="n">
        <v>2177</v>
      </c>
      <c r="B1972" s="46" t="n">
        <v>46284</v>
      </c>
      <c r="C1972" s="45" t="s">
        <v>139</v>
      </c>
      <c r="D1972" s="45" t="s">
        <v>140</v>
      </c>
      <c r="E1972" s="45" t="s">
        <v>2826</v>
      </c>
      <c r="F1972" s="45" t="s">
        <v>3938</v>
      </c>
      <c r="G1972" s="46" t="n">
        <v>46278</v>
      </c>
      <c r="H1972" s="45" t="s">
        <v>167</v>
      </c>
      <c r="I1972" s="45" t="s">
        <v>177</v>
      </c>
      <c r="J1972" s="45" t="s">
        <v>3939</v>
      </c>
      <c r="K1972" s="45" t="n">
        <v>18.4</v>
      </c>
      <c r="L1972" s="45" t="s">
        <v>263</v>
      </c>
      <c r="M1972" s="45" t="s">
        <v>259</v>
      </c>
      <c r="N1972" s="45" t="s">
        <v>167</v>
      </c>
      <c r="O1972" s="47" t="n">
        <v>46284.5788773148</v>
      </c>
      <c r="P1972" s="47" t="n">
        <v>46284.5916203704</v>
      </c>
    </row>
    <row r="1973" customFormat="false" ht="15" hidden="false" customHeight="false" outlineLevel="0" collapsed="false">
      <c r="A1973" s="45" t="n">
        <v>2178</v>
      </c>
      <c r="B1973" s="46" t="n">
        <v>46284</v>
      </c>
      <c r="C1973" s="45" t="s">
        <v>139</v>
      </c>
      <c r="D1973" s="45" t="s">
        <v>140</v>
      </c>
      <c r="E1973" s="45" t="s">
        <v>221</v>
      </c>
      <c r="F1973" s="45" t="s">
        <v>3940</v>
      </c>
      <c r="G1973" s="46" t="n">
        <v>46278</v>
      </c>
      <c r="H1973" s="45" t="s">
        <v>167</v>
      </c>
      <c r="I1973" s="45" t="s">
        <v>178</v>
      </c>
      <c r="J1973" s="45" t="s">
        <v>3941</v>
      </c>
      <c r="K1973" s="45" t="n">
        <v>0.9</v>
      </c>
      <c r="L1973" s="45" t="s">
        <v>263</v>
      </c>
      <c r="M1973" s="45" t="s">
        <v>259</v>
      </c>
      <c r="N1973" s="45" t="s">
        <v>167</v>
      </c>
      <c r="O1973" s="47" t="n">
        <v>46284.6050578704</v>
      </c>
      <c r="P1973" s="47" t="n">
        <v>46284.6056944444</v>
      </c>
    </row>
    <row r="1974" customFormat="false" ht="15" hidden="false" customHeight="false" outlineLevel="0" collapsed="false">
      <c r="A1974" s="45" t="n">
        <v>2197</v>
      </c>
      <c r="B1974" s="46" t="n">
        <v>46284</v>
      </c>
      <c r="C1974" s="45" t="s">
        <v>139</v>
      </c>
      <c r="D1974" s="45" t="s">
        <v>140</v>
      </c>
      <c r="E1974" s="45" t="s">
        <v>2652</v>
      </c>
      <c r="F1974" s="45" t="s">
        <v>3942</v>
      </c>
      <c r="G1974" s="46" t="n">
        <v>46279</v>
      </c>
      <c r="H1974" s="45" t="s">
        <v>167</v>
      </c>
      <c r="I1974" s="45" t="s">
        <v>176</v>
      </c>
      <c r="J1974" s="45" t="s">
        <v>3341</v>
      </c>
      <c r="K1974" s="45" t="n">
        <v>4674.4</v>
      </c>
      <c r="L1974" s="45" t="s">
        <v>263</v>
      </c>
      <c r="M1974" s="45" t="s">
        <v>259</v>
      </c>
      <c r="N1974" s="45" t="s">
        <v>167</v>
      </c>
      <c r="O1974" s="47" t="n">
        <v>46284.6059259259</v>
      </c>
      <c r="P1974" s="47" t="n">
        <v>46287.8520717593</v>
      </c>
    </row>
    <row r="1975" customFormat="false" ht="15" hidden="false" customHeight="false" outlineLevel="0" collapsed="false">
      <c r="A1975" s="45" t="n">
        <v>2202</v>
      </c>
      <c r="B1975" s="46" t="n">
        <v>46284</v>
      </c>
      <c r="C1975" s="45" t="s">
        <v>131</v>
      </c>
      <c r="D1975" s="45" t="s">
        <v>132</v>
      </c>
      <c r="E1975" s="45" t="s">
        <v>3943</v>
      </c>
      <c r="F1975" s="45" t="s">
        <v>3944</v>
      </c>
      <c r="G1975" s="46" t="n">
        <v>46288</v>
      </c>
      <c r="H1975" s="45" t="s">
        <v>167</v>
      </c>
      <c r="I1975" s="45" t="s">
        <v>181</v>
      </c>
      <c r="J1975" s="45" t="s">
        <v>3945</v>
      </c>
      <c r="K1975" s="45" t="n">
        <v>7175.1</v>
      </c>
      <c r="L1975" s="45" t="s">
        <v>263</v>
      </c>
      <c r="M1975" s="45" t="s">
        <v>259</v>
      </c>
      <c r="N1975" s="45" t="s">
        <v>167</v>
      </c>
      <c r="O1975" s="47" t="n">
        <v>46284.8350694445</v>
      </c>
      <c r="P1975" s="47" t="n">
        <v>46289.8178009259</v>
      </c>
    </row>
    <row r="1976" customFormat="false" ht="15" hidden="false" customHeight="false" outlineLevel="0" collapsed="false">
      <c r="A1976" s="45" t="n">
        <v>2195</v>
      </c>
      <c r="B1976" s="46" t="n">
        <v>46284</v>
      </c>
      <c r="C1976" s="45" t="s">
        <v>131</v>
      </c>
      <c r="D1976" s="45" t="s">
        <v>132</v>
      </c>
      <c r="E1976" s="45" t="s">
        <v>240</v>
      </c>
      <c r="F1976" s="45" t="s">
        <v>3946</v>
      </c>
      <c r="G1976" s="46" t="n">
        <v>46284</v>
      </c>
      <c r="H1976" s="45" t="s">
        <v>167</v>
      </c>
      <c r="I1976" s="45" t="s">
        <v>181</v>
      </c>
      <c r="J1976" s="45" t="s">
        <v>3947</v>
      </c>
      <c r="K1976" s="45" t="n">
        <v>4260</v>
      </c>
      <c r="L1976" s="45" t="s">
        <v>259</v>
      </c>
      <c r="M1976" s="45" t="s">
        <v>259</v>
      </c>
      <c r="N1976" s="45" t="s">
        <v>167</v>
      </c>
      <c r="O1976" s="47" t="n">
        <v>46284.8364814815</v>
      </c>
      <c r="P1976" s="47" t="n">
        <v>46287.7948032407</v>
      </c>
    </row>
    <row r="1977" customFormat="false" ht="15" hidden="false" customHeight="false" outlineLevel="0" collapsed="false">
      <c r="A1977" s="45" t="n">
        <v>2179</v>
      </c>
      <c r="B1977" s="46" t="n">
        <v>46284</v>
      </c>
      <c r="C1977" s="45" t="s">
        <v>131</v>
      </c>
      <c r="D1977" s="45" t="s">
        <v>132</v>
      </c>
      <c r="E1977" s="45" t="s">
        <v>240</v>
      </c>
      <c r="F1977" s="45" t="s">
        <v>3946</v>
      </c>
      <c r="G1977" s="46" t="n">
        <v>46284</v>
      </c>
      <c r="H1977" s="45" t="s">
        <v>167</v>
      </c>
      <c r="I1977" s="45" t="s">
        <v>176</v>
      </c>
      <c r="J1977" s="45" t="s">
        <v>3948</v>
      </c>
      <c r="K1977" s="45" t="n">
        <v>0.4</v>
      </c>
      <c r="L1977" s="45" t="s">
        <v>259</v>
      </c>
      <c r="M1977" s="45" t="s">
        <v>259</v>
      </c>
      <c r="N1977" s="45" t="s">
        <v>167</v>
      </c>
      <c r="O1977" s="47" t="n">
        <v>46284.8366666667</v>
      </c>
      <c r="P1977" s="47" t="n">
        <v>46284.8369675926</v>
      </c>
    </row>
    <row r="1978" customFormat="false" ht="15" hidden="false" customHeight="false" outlineLevel="0" collapsed="false">
      <c r="A1978" s="45" t="n">
        <v>2180</v>
      </c>
      <c r="B1978" s="46" t="n">
        <v>46284</v>
      </c>
      <c r="C1978" s="45" t="s">
        <v>131</v>
      </c>
      <c r="D1978" s="45" t="s">
        <v>132</v>
      </c>
      <c r="E1978" s="45" t="s">
        <v>3660</v>
      </c>
      <c r="F1978" s="45" t="s">
        <v>3949</v>
      </c>
      <c r="G1978" s="46" t="n">
        <v>46281</v>
      </c>
      <c r="H1978" s="45" t="s">
        <v>168</v>
      </c>
      <c r="I1978" s="45" t="s">
        <v>191</v>
      </c>
      <c r="J1978" s="45" t="s">
        <v>3950</v>
      </c>
      <c r="K1978" s="45" t="n">
        <v>1.1</v>
      </c>
      <c r="L1978" s="45" t="s">
        <v>263</v>
      </c>
      <c r="M1978" s="45" t="s">
        <v>259</v>
      </c>
      <c r="N1978" s="45" t="s">
        <v>2559</v>
      </c>
      <c r="O1978" s="47" t="n">
        <v>46284.9720486111</v>
      </c>
      <c r="P1978" s="47" t="n">
        <v>46284.9728240741</v>
      </c>
    </row>
    <row r="1979" customFormat="false" ht="15" hidden="false" customHeight="false" outlineLevel="0" collapsed="false">
      <c r="A1979" s="45" t="n">
        <v>2181</v>
      </c>
      <c r="B1979" s="46" t="n">
        <v>46284</v>
      </c>
      <c r="C1979" s="45" t="s">
        <v>131</v>
      </c>
      <c r="D1979" s="45" t="s">
        <v>132</v>
      </c>
      <c r="E1979" s="45" t="s">
        <v>3660</v>
      </c>
      <c r="F1979" s="45" t="s">
        <v>3951</v>
      </c>
      <c r="G1979" s="46" t="n">
        <v>46278</v>
      </c>
      <c r="H1979" s="45" t="s">
        <v>57</v>
      </c>
      <c r="I1979" s="45" t="s">
        <v>203</v>
      </c>
      <c r="J1979" s="45" t="s">
        <v>3952</v>
      </c>
      <c r="K1979" s="45" t="n">
        <v>1.5</v>
      </c>
      <c r="L1979" s="45" t="s">
        <v>263</v>
      </c>
      <c r="M1979" s="45" t="s">
        <v>259</v>
      </c>
      <c r="N1979" s="45" t="s">
        <v>57</v>
      </c>
      <c r="O1979" s="47" t="n">
        <v>46284.9730902778</v>
      </c>
      <c r="P1979" s="47" t="n">
        <v>46284.9741435185</v>
      </c>
    </row>
    <row r="1980" customFormat="false" ht="15" hidden="false" customHeight="false" outlineLevel="0" collapsed="false">
      <c r="A1980" s="45" t="n">
        <v>2182</v>
      </c>
      <c r="B1980" s="46" t="n">
        <v>46287</v>
      </c>
      <c r="C1980" s="45" t="s">
        <v>135</v>
      </c>
      <c r="D1980" s="45" t="s">
        <v>136</v>
      </c>
      <c r="E1980" s="45" t="s">
        <v>3298</v>
      </c>
      <c r="F1980" s="45" t="s">
        <v>3953</v>
      </c>
      <c r="G1980" s="46" t="n">
        <v>46285</v>
      </c>
      <c r="H1980" s="45" t="s">
        <v>169</v>
      </c>
      <c r="I1980" s="45"/>
      <c r="J1980" s="45"/>
      <c r="K1980" s="45" t="n">
        <v>20.9</v>
      </c>
      <c r="L1980" s="45" t="s">
        <v>263</v>
      </c>
      <c r="M1980" s="45" t="s">
        <v>259</v>
      </c>
      <c r="N1980" s="45" t="s">
        <v>169</v>
      </c>
      <c r="O1980" s="47" t="n">
        <v>46287.1865856482</v>
      </c>
      <c r="P1980" s="47" t="n">
        <v>46287.201099537</v>
      </c>
    </row>
    <row r="1981" customFormat="false" ht="15" hidden="false" customHeight="false" outlineLevel="0" collapsed="false">
      <c r="A1981" s="45" t="n">
        <v>2183</v>
      </c>
      <c r="B1981" s="46" t="n">
        <v>46287</v>
      </c>
      <c r="C1981" s="45" t="s">
        <v>135</v>
      </c>
      <c r="D1981" s="45" t="s">
        <v>136</v>
      </c>
      <c r="E1981" s="45" t="s">
        <v>218</v>
      </c>
      <c r="F1981" s="45" t="s">
        <v>3954</v>
      </c>
      <c r="G1981" s="46" t="n">
        <v>46286</v>
      </c>
      <c r="H1981" s="45" t="s">
        <v>167</v>
      </c>
      <c r="I1981" s="45" t="s">
        <v>176</v>
      </c>
      <c r="J1981" s="45" t="s">
        <v>3955</v>
      </c>
      <c r="K1981" s="45" t="n">
        <v>2.2</v>
      </c>
      <c r="L1981" s="45" t="s">
        <v>263</v>
      </c>
      <c r="M1981" s="45" t="s">
        <v>259</v>
      </c>
      <c r="N1981" s="45" t="s">
        <v>167</v>
      </c>
      <c r="O1981" s="47" t="n">
        <v>46287.2023148148</v>
      </c>
      <c r="P1981" s="47" t="n">
        <v>46287.2038773148</v>
      </c>
    </row>
    <row r="1982" customFormat="false" ht="15" hidden="false" customHeight="false" outlineLevel="0" collapsed="false">
      <c r="A1982" s="45" t="n">
        <v>2184</v>
      </c>
      <c r="B1982" s="46" t="n">
        <v>46287</v>
      </c>
      <c r="C1982" s="45" t="s">
        <v>135</v>
      </c>
      <c r="D1982" s="45" t="s">
        <v>136</v>
      </c>
      <c r="E1982" s="45" t="s">
        <v>218</v>
      </c>
      <c r="F1982" s="45" t="s">
        <v>3956</v>
      </c>
      <c r="G1982" s="46" t="n">
        <v>46286</v>
      </c>
      <c r="H1982" s="45" t="s">
        <v>169</v>
      </c>
      <c r="I1982" s="45"/>
      <c r="J1982" s="45"/>
      <c r="K1982" s="45" t="n">
        <v>2.4</v>
      </c>
      <c r="L1982" s="45" t="s">
        <v>263</v>
      </c>
      <c r="M1982" s="45" t="s">
        <v>259</v>
      </c>
      <c r="N1982" s="45" t="s">
        <v>169</v>
      </c>
      <c r="O1982" s="47" t="n">
        <v>46287.2039467593</v>
      </c>
      <c r="P1982" s="47" t="n">
        <v>46287.205625</v>
      </c>
    </row>
    <row r="1983" customFormat="false" ht="15" hidden="false" customHeight="false" outlineLevel="0" collapsed="false">
      <c r="A1983" s="45" t="n">
        <v>2185</v>
      </c>
      <c r="B1983" s="46" t="n">
        <v>46287</v>
      </c>
      <c r="C1983" s="45" t="s">
        <v>135</v>
      </c>
      <c r="D1983" s="45" t="s">
        <v>136</v>
      </c>
      <c r="E1983" s="45" t="s">
        <v>3298</v>
      </c>
      <c r="F1983" s="45" t="s">
        <v>3957</v>
      </c>
      <c r="G1983" s="46" t="n">
        <v>46286</v>
      </c>
      <c r="H1983" s="45" t="s">
        <v>167</v>
      </c>
      <c r="I1983" s="45" t="s">
        <v>180</v>
      </c>
      <c r="J1983" s="45" t="s">
        <v>3958</v>
      </c>
      <c r="K1983" s="45" t="n">
        <v>0.5</v>
      </c>
      <c r="L1983" s="45" t="s">
        <v>263</v>
      </c>
      <c r="M1983" s="45" t="s">
        <v>259</v>
      </c>
      <c r="N1983" s="45" t="s">
        <v>167</v>
      </c>
      <c r="O1983" s="47" t="n">
        <v>46287.2066203704</v>
      </c>
      <c r="P1983" s="47" t="n">
        <v>46287.2069560185</v>
      </c>
    </row>
    <row r="1984" customFormat="false" ht="15" hidden="false" customHeight="false" outlineLevel="0" collapsed="false">
      <c r="A1984" s="45" t="n">
        <v>2186</v>
      </c>
      <c r="B1984" s="46" t="n">
        <v>46287</v>
      </c>
      <c r="C1984" s="45" t="s">
        <v>135</v>
      </c>
      <c r="D1984" s="45" t="s">
        <v>136</v>
      </c>
      <c r="E1984" s="45" t="s">
        <v>3519</v>
      </c>
      <c r="F1984" s="45" t="s">
        <v>3959</v>
      </c>
      <c r="G1984" s="46" t="n">
        <v>46286</v>
      </c>
      <c r="H1984" s="45" t="s">
        <v>169</v>
      </c>
      <c r="I1984" s="45"/>
      <c r="J1984" s="45"/>
      <c r="K1984" s="45" t="n">
        <v>0.2</v>
      </c>
      <c r="L1984" s="45" t="s">
        <v>263</v>
      </c>
      <c r="M1984" s="45" t="s">
        <v>259</v>
      </c>
      <c r="N1984" s="45" t="s">
        <v>169</v>
      </c>
      <c r="O1984" s="47" t="n">
        <v>46287.2073148148</v>
      </c>
      <c r="P1984" s="47" t="n">
        <v>46287.2074884259</v>
      </c>
    </row>
    <row r="1985" customFormat="false" ht="15" hidden="false" customHeight="false" outlineLevel="0" collapsed="false">
      <c r="A1985" s="45" t="n">
        <v>2187</v>
      </c>
      <c r="B1985" s="46" t="n">
        <v>46287</v>
      </c>
      <c r="C1985" s="45" t="s">
        <v>135</v>
      </c>
      <c r="D1985" s="45" t="s">
        <v>136</v>
      </c>
      <c r="E1985" s="45" t="s">
        <v>218</v>
      </c>
      <c r="F1985" s="45" t="s">
        <v>3960</v>
      </c>
      <c r="G1985" s="46" t="n">
        <v>46286</v>
      </c>
      <c r="H1985" s="45" t="s">
        <v>169</v>
      </c>
      <c r="I1985" s="45"/>
      <c r="J1985" s="45"/>
      <c r="K1985" s="45" t="n">
        <v>0.1</v>
      </c>
      <c r="L1985" s="45" t="s">
        <v>263</v>
      </c>
      <c r="M1985" s="45" t="s">
        <v>259</v>
      </c>
      <c r="N1985" s="45" t="s">
        <v>169</v>
      </c>
      <c r="O1985" s="47" t="n">
        <v>46287.207650463</v>
      </c>
      <c r="P1985" s="47" t="n">
        <v>46287.2077546296</v>
      </c>
    </row>
    <row r="1986" customFormat="false" ht="15" hidden="false" customHeight="false" outlineLevel="0" collapsed="false">
      <c r="A1986" s="45" t="n">
        <v>2188</v>
      </c>
      <c r="B1986" s="46" t="n">
        <v>46287</v>
      </c>
      <c r="C1986" s="45" t="s">
        <v>135</v>
      </c>
      <c r="D1986" s="45" t="s">
        <v>136</v>
      </c>
      <c r="E1986" s="45" t="s">
        <v>3519</v>
      </c>
      <c r="F1986" s="45" t="s">
        <v>3961</v>
      </c>
      <c r="G1986" s="46" t="n">
        <v>46285</v>
      </c>
      <c r="H1986" s="45" t="s">
        <v>167</v>
      </c>
      <c r="I1986" s="45" t="s">
        <v>178</v>
      </c>
      <c r="J1986" s="45" t="s">
        <v>3962</v>
      </c>
      <c r="K1986" s="45" t="n">
        <v>0.8</v>
      </c>
      <c r="L1986" s="45" t="s">
        <v>263</v>
      </c>
      <c r="M1986" s="45" t="s">
        <v>259</v>
      </c>
      <c r="N1986" s="45" t="s">
        <v>167</v>
      </c>
      <c r="O1986" s="47" t="n">
        <v>46287.2084490741</v>
      </c>
      <c r="P1986" s="47" t="n">
        <v>46287.2090277778</v>
      </c>
    </row>
    <row r="1987" customFormat="false" ht="15" hidden="false" customHeight="false" outlineLevel="0" collapsed="false">
      <c r="A1987" s="45" t="n">
        <v>2189</v>
      </c>
      <c r="B1987" s="46" t="n">
        <v>46287</v>
      </c>
      <c r="C1987" s="45" t="s">
        <v>135</v>
      </c>
      <c r="D1987" s="45" t="s">
        <v>136</v>
      </c>
      <c r="E1987" s="45" t="s">
        <v>3519</v>
      </c>
      <c r="F1987" s="45" t="s">
        <v>3963</v>
      </c>
      <c r="G1987" s="46" t="n">
        <v>46285</v>
      </c>
      <c r="H1987" s="45" t="s">
        <v>167</v>
      </c>
      <c r="I1987" s="45" t="s">
        <v>184</v>
      </c>
      <c r="J1987" s="45" t="s">
        <v>3964</v>
      </c>
      <c r="K1987" s="45" t="n">
        <v>6.7</v>
      </c>
      <c r="L1987" s="45" t="s">
        <v>263</v>
      </c>
      <c r="M1987" s="45" t="s">
        <v>259</v>
      </c>
      <c r="N1987" s="45" t="s">
        <v>167</v>
      </c>
      <c r="O1987" s="47" t="n">
        <v>46287.2090740741</v>
      </c>
      <c r="P1987" s="47" t="n">
        <v>46287.2137384259</v>
      </c>
    </row>
    <row r="1988" customFormat="false" ht="15" hidden="false" customHeight="false" outlineLevel="0" collapsed="false">
      <c r="A1988" s="45" t="n">
        <v>2190</v>
      </c>
      <c r="B1988" s="46" t="n">
        <v>46287</v>
      </c>
      <c r="C1988" s="45" t="s">
        <v>135</v>
      </c>
      <c r="D1988" s="45" t="s">
        <v>136</v>
      </c>
      <c r="E1988" s="45" t="s">
        <v>1833</v>
      </c>
      <c r="F1988" s="45" t="s">
        <v>3965</v>
      </c>
      <c r="G1988" s="46" t="n">
        <v>46284</v>
      </c>
      <c r="H1988" s="45" t="s">
        <v>168</v>
      </c>
      <c r="I1988" s="45" t="s">
        <v>192</v>
      </c>
      <c r="J1988" s="45" t="s">
        <v>3966</v>
      </c>
      <c r="K1988" s="45" t="n">
        <v>1.5</v>
      </c>
      <c r="L1988" s="45" t="s">
        <v>263</v>
      </c>
      <c r="M1988" s="45" t="s">
        <v>259</v>
      </c>
      <c r="N1988" s="45" t="s">
        <v>2559</v>
      </c>
      <c r="O1988" s="47" t="n">
        <v>46287.2138888889</v>
      </c>
      <c r="P1988" s="47" t="n">
        <v>46287.2149189815</v>
      </c>
    </row>
    <row r="1989" customFormat="false" ht="15" hidden="false" customHeight="false" outlineLevel="0" collapsed="false">
      <c r="A1989" s="45" t="n">
        <v>2191</v>
      </c>
      <c r="B1989" s="46" t="n">
        <v>46287</v>
      </c>
      <c r="C1989" s="45" t="s">
        <v>135</v>
      </c>
      <c r="D1989" s="45" t="s">
        <v>136</v>
      </c>
      <c r="E1989" s="45" t="s">
        <v>236</v>
      </c>
      <c r="F1989" s="45" t="s">
        <v>3967</v>
      </c>
      <c r="G1989" s="46" t="n">
        <v>46284</v>
      </c>
      <c r="H1989" s="45" t="s">
        <v>167</v>
      </c>
      <c r="I1989" s="45" t="s">
        <v>176</v>
      </c>
      <c r="J1989" s="45" t="s">
        <v>3968</v>
      </c>
      <c r="K1989" s="45" t="n">
        <v>0.9</v>
      </c>
      <c r="L1989" s="45" t="s">
        <v>263</v>
      </c>
      <c r="M1989" s="45" t="s">
        <v>259</v>
      </c>
      <c r="N1989" s="45" t="s">
        <v>167</v>
      </c>
      <c r="O1989" s="47" t="n">
        <v>46287.2158101852</v>
      </c>
      <c r="P1989" s="47" t="n">
        <v>46287.2164467593</v>
      </c>
    </row>
    <row r="1990" customFormat="false" ht="15" hidden="false" customHeight="false" outlineLevel="0" collapsed="false">
      <c r="A1990" s="45" t="n">
        <v>2192</v>
      </c>
      <c r="B1990" s="46" t="n">
        <v>46287</v>
      </c>
      <c r="C1990" s="45" t="s">
        <v>135</v>
      </c>
      <c r="D1990" s="45" t="s">
        <v>136</v>
      </c>
      <c r="E1990" s="45" t="s">
        <v>1833</v>
      </c>
      <c r="F1990" s="45" t="s">
        <v>3969</v>
      </c>
      <c r="G1990" s="46" t="n">
        <v>46283</v>
      </c>
      <c r="H1990" s="45" t="s">
        <v>167</v>
      </c>
      <c r="I1990" s="45" t="s">
        <v>176</v>
      </c>
      <c r="J1990" s="45" t="s">
        <v>3970</v>
      </c>
      <c r="K1990" s="45" t="n">
        <v>0.9</v>
      </c>
      <c r="L1990" s="45" t="s">
        <v>263</v>
      </c>
      <c r="M1990" s="45" t="s">
        <v>259</v>
      </c>
      <c r="N1990" s="45" t="s">
        <v>167</v>
      </c>
      <c r="O1990" s="47" t="n">
        <v>46287.2170138889</v>
      </c>
      <c r="P1990" s="47" t="n">
        <v>46287.2176736111</v>
      </c>
    </row>
    <row r="1991" customFormat="false" ht="15" hidden="false" customHeight="false" outlineLevel="0" collapsed="false">
      <c r="A1991" s="45" t="n">
        <v>2193</v>
      </c>
      <c r="B1991" s="46" t="n">
        <v>46287</v>
      </c>
      <c r="C1991" s="45" t="s">
        <v>135</v>
      </c>
      <c r="D1991" s="45" t="s">
        <v>136</v>
      </c>
      <c r="E1991" s="45" t="s">
        <v>3411</v>
      </c>
      <c r="F1991" s="45" t="s">
        <v>3971</v>
      </c>
      <c r="G1991" s="46" t="n">
        <v>46283</v>
      </c>
      <c r="H1991" s="45" t="s">
        <v>167</v>
      </c>
      <c r="I1991" s="45" t="s">
        <v>180</v>
      </c>
      <c r="J1991" s="45" t="s">
        <v>3972</v>
      </c>
      <c r="K1991" s="45" t="n">
        <v>1.5</v>
      </c>
      <c r="L1991" s="45" t="s">
        <v>263</v>
      </c>
      <c r="M1991" s="45" t="s">
        <v>259</v>
      </c>
      <c r="N1991" s="45" t="s">
        <v>167</v>
      </c>
      <c r="O1991" s="47" t="n">
        <v>46287.21875</v>
      </c>
      <c r="P1991" s="47" t="n">
        <v>46287.2197800926</v>
      </c>
    </row>
    <row r="1992" customFormat="false" ht="15" hidden="false" customHeight="false" outlineLevel="0" collapsed="false">
      <c r="A1992" s="45" t="n">
        <v>2194</v>
      </c>
      <c r="B1992" s="46" t="n">
        <v>46287</v>
      </c>
      <c r="C1992" s="45" t="s">
        <v>135</v>
      </c>
      <c r="D1992" s="45" t="s">
        <v>136</v>
      </c>
      <c r="E1992" s="45" t="s">
        <v>3414</v>
      </c>
      <c r="F1992" s="45" t="s">
        <v>3973</v>
      </c>
      <c r="G1992" s="46" t="n">
        <v>46278</v>
      </c>
      <c r="H1992" s="45" t="s">
        <v>168</v>
      </c>
      <c r="I1992" s="45" t="s">
        <v>191</v>
      </c>
      <c r="J1992" s="45" t="s">
        <v>3974</v>
      </c>
      <c r="K1992" s="45" t="n">
        <v>1.2</v>
      </c>
      <c r="L1992" s="45" t="s">
        <v>263</v>
      </c>
      <c r="M1992" s="45" t="s">
        <v>259</v>
      </c>
      <c r="N1992" s="45" t="s">
        <v>2559</v>
      </c>
      <c r="O1992" s="47" t="n">
        <v>46287.2218634259</v>
      </c>
      <c r="P1992" s="47" t="n">
        <v>46287.2227199074</v>
      </c>
    </row>
    <row r="1993" customFormat="false" ht="15" hidden="false" customHeight="false" outlineLevel="0" collapsed="false">
      <c r="A1993" s="45" t="n">
        <v>2196</v>
      </c>
      <c r="B1993" s="46" t="n">
        <v>46287</v>
      </c>
      <c r="C1993" s="45" t="s">
        <v>131</v>
      </c>
      <c r="D1993" s="45" t="s">
        <v>132</v>
      </c>
      <c r="E1993" s="45" t="s">
        <v>3975</v>
      </c>
      <c r="F1993" s="45" t="s">
        <v>3976</v>
      </c>
      <c r="G1993" s="46" t="n">
        <v>46286</v>
      </c>
      <c r="H1993" s="45" t="s">
        <v>167</v>
      </c>
      <c r="I1993" s="45" t="s">
        <v>177</v>
      </c>
      <c r="J1993" s="45" t="s">
        <v>3977</v>
      </c>
      <c r="K1993" s="45" t="n">
        <v>1.2</v>
      </c>
      <c r="L1993" s="45" t="s">
        <v>259</v>
      </c>
      <c r="M1993" s="45" t="s">
        <v>263</v>
      </c>
      <c r="N1993" s="45" t="s">
        <v>167</v>
      </c>
      <c r="O1993" s="47" t="n">
        <v>46287.7951736111</v>
      </c>
      <c r="P1993" s="47" t="n">
        <v>46287.7959953704</v>
      </c>
    </row>
    <row r="1994" customFormat="false" ht="15" hidden="false" customHeight="false" outlineLevel="0" collapsed="false">
      <c r="A1994" s="45" t="n">
        <v>2198</v>
      </c>
      <c r="B1994" s="46" t="n">
        <v>46287</v>
      </c>
      <c r="C1994" s="45" t="s">
        <v>139</v>
      </c>
      <c r="D1994" s="45" t="s">
        <v>140</v>
      </c>
      <c r="E1994" s="45" t="s">
        <v>2652</v>
      </c>
      <c r="F1994" s="45" t="s">
        <v>3978</v>
      </c>
      <c r="G1994" s="46" t="n">
        <v>46281</v>
      </c>
      <c r="H1994" s="45" t="s">
        <v>169</v>
      </c>
      <c r="I1994" s="45"/>
      <c r="J1994" s="45"/>
      <c r="K1994" s="45" t="n">
        <v>29.5</v>
      </c>
      <c r="L1994" s="45" t="s">
        <v>263</v>
      </c>
      <c r="M1994" s="45" t="s">
        <v>259</v>
      </c>
      <c r="N1994" s="45" t="s">
        <v>169</v>
      </c>
      <c r="O1994" s="47" t="n">
        <v>46287.8530439815</v>
      </c>
      <c r="P1994" s="47" t="n">
        <v>46287.8735532407</v>
      </c>
    </row>
    <row r="1995" customFormat="false" ht="15" hidden="false" customHeight="false" outlineLevel="0" collapsed="false">
      <c r="A1995" s="45" t="n">
        <v>2199</v>
      </c>
      <c r="B1995" s="46" t="n">
        <v>46287</v>
      </c>
      <c r="C1995" s="45" t="s">
        <v>139</v>
      </c>
      <c r="D1995" s="45" t="s">
        <v>140</v>
      </c>
      <c r="E1995" s="45" t="s">
        <v>2677</v>
      </c>
      <c r="F1995" s="45" t="s">
        <v>3979</v>
      </c>
      <c r="G1995" s="46" t="n">
        <v>46279</v>
      </c>
      <c r="H1995" s="45" t="s">
        <v>167</v>
      </c>
      <c r="I1995" s="45" t="s">
        <v>176</v>
      </c>
      <c r="J1995" s="45" t="s">
        <v>3341</v>
      </c>
      <c r="K1995" s="45" t="n">
        <v>0.4</v>
      </c>
      <c r="L1995" s="45" t="s">
        <v>259</v>
      </c>
      <c r="M1995" s="45" t="s">
        <v>259</v>
      </c>
      <c r="N1995" s="45" t="s">
        <v>167</v>
      </c>
      <c r="O1995" s="47" t="n">
        <v>46287.8984837963</v>
      </c>
      <c r="P1995" s="47" t="n">
        <v>46287.8987384259</v>
      </c>
    </row>
    <row r="1996" customFormat="false" ht="15" hidden="false" customHeight="false" outlineLevel="0" collapsed="false">
      <c r="A1996" s="45" t="n">
        <v>2200</v>
      </c>
      <c r="B1996" s="46" t="n">
        <v>46287</v>
      </c>
      <c r="C1996" s="45" t="s">
        <v>139</v>
      </c>
      <c r="D1996" s="45" t="s">
        <v>140</v>
      </c>
      <c r="E1996" s="45" t="s">
        <v>2677</v>
      </c>
      <c r="F1996" s="45" t="s">
        <v>3979</v>
      </c>
      <c r="G1996" s="46" t="n">
        <v>46279</v>
      </c>
      <c r="H1996" s="45" t="s">
        <v>167</v>
      </c>
      <c r="I1996" s="45" t="s">
        <v>176</v>
      </c>
      <c r="J1996" s="45" t="s">
        <v>3980</v>
      </c>
      <c r="K1996" s="45" t="n">
        <v>0.4</v>
      </c>
      <c r="L1996" s="45" t="s">
        <v>259</v>
      </c>
      <c r="M1996" s="45" t="s">
        <v>259</v>
      </c>
      <c r="N1996" s="45" t="s">
        <v>167</v>
      </c>
      <c r="O1996" s="47" t="n">
        <v>46287.9006018519</v>
      </c>
      <c r="P1996" s="47" t="n">
        <v>46287.9008912037</v>
      </c>
    </row>
    <row r="1997" customFormat="false" ht="15" hidden="false" customHeight="false" outlineLevel="0" collapsed="false">
      <c r="A1997" s="45" t="n">
        <v>2201</v>
      </c>
      <c r="B1997" s="46" t="n">
        <v>46289</v>
      </c>
      <c r="C1997" s="45" t="s">
        <v>141</v>
      </c>
      <c r="D1997" s="45" t="s">
        <v>142</v>
      </c>
      <c r="E1997" s="45" t="s">
        <v>3981</v>
      </c>
      <c r="F1997" s="45" t="s">
        <v>3982</v>
      </c>
      <c r="G1997" s="46" t="n">
        <v>46287</v>
      </c>
      <c r="H1997" s="45" t="s">
        <v>167</v>
      </c>
      <c r="I1997" s="45" t="s">
        <v>179</v>
      </c>
      <c r="J1997" s="45" t="s">
        <v>3983</v>
      </c>
      <c r="K1997" s="45" t="n">
        <v>8.9</v>
      </c>
      <c r="L1997" s="45" t="s">
        <v>259</v>
      </c>
      <c r="M1997" s="45" t="s">
        <v>259</v>
      </c>
      <c r="N1997" s="45" t="s">
        <v>167</v>
      </c>
      <c r="O1997" s="47" t="n">
        <v>46289.2871412037</v>
      </c>
      <c r="P1997" s="47" t="n">
        <v>46289.2932986111</v>
      </c>
    </row>
    <row r="1998" customFormat="false" ht="15" hidden="false" customHeight="false" outlineLevel="0" collapsed="false">
      <c r="A1998" s="45" t="n">
        <v>2203</v>
      </c>
      <c r="B1998" s="46" t="n">
        <v>46289</v>
      </c>
      <c r="C1998" s="45" t="s">
        <v>131</v>
      </c>
      <c r="D1998" s="45" t="s">
        <v>132</v>
      </c>
      <c r="E1998" s="45" t="s">
        <v>3984</v>
      </c>
      <c r="F1998" s="45" t="s">
        <v>3985</v>
      </c>
      <c r="G1998" s="46" t="n">
        <v>46288</v>
      </c>
      <c r="H1998" s="45" t="s">
        <v>168</v>
      </c>
      <c r="I1998" s="45" t="s">
        <v>196</v>
      </c>
      <c r="J1998" s="45" t="s">
        <v>3986</v>
      </c>
      <c r="K1998" s="45" t="n">
        <v>1.6</v>
      </c>
      <c r="L1998" s="45" t="s">
        <v>263</v>
      </c>
      <c r="M1998" s="45" t="s">
        <v>259</v>
      </c>
      <c r="N1998" s="45" t="s">
        <v>2559</v>
      </c>
      <c r="O1998" s="47" t="n">
        <v>46289.8657175926</v>
      </c>
      <c r="P1998" s="47" t="n">
        <v>46289.8668518519</v>
      </c>
    </row>
    <row r="1999" customFormat="false" ht="15" hidden="false" customHeight="false" outlineLevel="0" collapsed="false">
      <c r="A1999" s="45" t="n">
        <v>2204</v>
      </c>
      <c r="B1999" s="46" t="n">
        <v>46290</v>
      </c>
      <c r="C1999" s="45" t="s">
        <v>133</v>
      </c>
      <c r="D1999" s="45" t="s">
        <v>134</v>
      </c>
      <c r="E1999" s="45" t="s">
        <v>2457</v>
      </c>
      <c r="F1999" s="45" t="s">
        <v>3987</v>
      </c>
      <c r="G1999" s="46" t="n">
        <v>46287</v>
      </c>
      <c r="H1999" s="45" t="s">
        <v>167</v>
      </c>
      <c r="I1999" s="45" t="s">
        <v>176</v>
      </c>
      <c r="J1999" s="45" t="s">
        <v>3988</v>
      </c>
      <c r="K1999" s="45" t="n">
        <v>4.4</v>
      </c>
      <c r="L1999" s="45" t="s">
        <v>263</v>
      </c>
      <c r="M1999" s="45" t="s">
        <v>259</v>
      </c>
      <c r="N1999" s="45" t="s">
        <v>167</v>
      </c>
      <c r="O1999" s="47" t="n">
        <v>46290.0836226852</v>
      </c>
      <c r="P1999" s="47" t="n">
        <v>46290.0867013889</v>
      </c>
    </row>
    <row r="2000" customFormat="false" ht="15" hidden="false" customHeight="false" outlineLevel="0" collapsed="false">
      <c r="A2000" s="45" t="n">
        <v>2205</v>
      </c>
      <c r="B2000" s="46" t="n">
        <v>46290</v>
      </c>
      <c r="C2000" s="45" t="s">
        <v>133</v>
      </c>
      <c r="D2000" s="45" t="s">
        <v>134</v>
      </c>
      <c r="E2000" s="45" t="s">
        <v>3781</v>
      </c>
      <c r="F2000" s="45" t="s">
        <v>3989</v>
      </c>
      <c r="G2000" s="46" t="n">
        <v>46289</v>
      </c>
      <c r="H2000" s="45" t="s">
        <v>167</v>
      </c>
      <c r="I2000" s="45" t="s">
        <v>179</v>
      </c>
      <c r="J2000" s="45" t="s">
        <v>3990</v>
      </c>
      <c r="K2000" s="45" t="n">
        <v>10.6</v>
      </c>
      <c r="L2000" s="45" t="s">
        <v>263</v>
      </c>
      <c r="M2000" s="45" t="s">
        <v>259</v>
      </c>
      <c r="N2000" s="45" t="s">
        <v>167</v>
      </c>
      <c r="O2000" s="47" t="n">
        <v>46290.7624189815</v>
      </c>
      <c r="P2000" s="47" t="n">
        <v>46290.7697916667</v>
      </c>
    </row>
    <row r="2001" customFormat="false" ht="15" hidden="false" customHeight="false" outlineLevel="0" collapsed="false">
      <c r="A2001" s="45" t="n">
        <v>2208</v>
      </c>
      <c r="B2001" s="46" t="n">
        <v>46290</v>
      </c>
      <c r="C2001" s="45" t="s">
        <v>131</v>
      </c>
      <c r="D2001" s="45" t="s">
        <v>132</v>
      </c>
      <c r="E2001" s="45" t="s">
        <v>2143</v>
      </c>
      <c r="F2001" s="45" t="s">
        <v>3991</v>
      </c>
      <c r="G2001" s="46" t="n">
        <v>46290</v>
      </c>
      <c r="H2001" s="45" t="s">
        <v>57</v>
      </c>
      <c r="I2001" s="45" t="s">
        <v>200</v>
      </c>
      <c r="J2001" s="45" t="s">
        <v>3992</v>
      </c>
      <c r="K2001" s="45" t="n">
        <v>28.8</v>
      </c>
      <c r="L2001" s="45" t="s">
        <v>263</v>
      </c>
      <c r="M2001" s="45" t="s">
        <v>259</v>
      </c>
      <c r="N2001" s="45" t="s">
        <v>57</v>
      </c>
      <c r="O2001" s="47" t="n">
        <v>46290.7635069444</v>
      </c>
      <c r="P2001" s="47" t="n">
        <v>46290.7834722222</v>
      </c>
    </row>
    <row r="2002" customFormat="false" ht="15" hidden="false" customHeight="false" outlineLevel="0" collapsed="false">
      <c r="A2002" s="45" t="n">
        <v>2206</v>
      </c>
      <c r="B2002" s="46" t="n">
        <v>46290</v>
      </c>
      <c r="C2002" s="45" t="s">
        <v>133</v>
      </c>
      <c r="D2002" s="45" t="s">
        <v>134</v>
      </c>
      <c r="E2002" s="45" t="s">
        <v>3781</v>
      </c>
      <c r="F2002" s="45" t="s">
        <v>3993</v>
      </c>
      <c r="G2002" s="46" t="n">
        <v>46289</v>
      </c>
      <c r="H2002" s="45" t="s">
        <v>167</v>
      </c>
      <c r="I2002" s="45" t="s">
        <v>176</v>
      </c>
      <c r="J2002" s="45" t="s">
        <v>3994</v>
      </c>
      <c r="K2002" s="45" t="n">
        <v>4.1</v>
      </c>
      <c r="L2002" s="45" t="s">
        <v>263</v>
      </c>
      <c r="M2002" s="45" t="s">
        <v>259</v>
      </c>
      <c r="N2002" s="45" t="s">
        <v>167</v>
      </c>
      <c r="O2002" s="47" t="n">
        <v>46290.769837963</v>
      </c>
      <c r="P2002" s="47" t="n">
        <v>46290.7726967593</v>
      </c>
    </row>
    <row r="2003" customFormat="false" ht="15" hidden="false" customHeight="false" outlineLevel="0" collapsed="false">
      <c r="A2003" s="45" t="n">
        <v>2207</v>
      </c>
      <c r="B2003" s="46" t="n">
        <v>46290</v>
      </c>
      <c r="C2003" s="45" t="s">
        <v>133</v>
      </c>
      <c r="D2003" s="45" t="s">
        <v>134</v>
      </c>
      <c r="E2003" s="45" t="s">
        <v>2462</v>
      </c>
      <c r="F2003" s="45" t="s">
        <v>3995</v>
      </c>
      <c r="G2003" s="46" t="n">
        <v>46287</v>
      </c>
      <c r="H2003" s="45" t="s">
        <v>167</v>
      </c>
      <c r="I2003" s="45" t="s">
        <v>179</v>
      </c>
      <c r="J2003" s="45" t="s">
        <v>3996</v>
      </c>
      <c r="K2003" s="45" t="n">
        <v>11.2</v>
      </c>
      <c r="L2003" s="45" t="s">
        <v>263</v>
      </c>
      <c r="M2003" s="45" t="s">
        <v>259</v>
      </c>
      <c r="N2003" s="45" t="s">
        <v>167</v>
      </c>
      <c r="O2003" s="47" t="n">
        <v>46290.7733333333</v>
      </c>
      <c r="P2003" s="47" t="n">
        <v>46290.781087963</v>
      </c>
    </row>
    <row r="2004" customFormat="false" ht="15" hidden="false" customHeight="false" outlineLevel="0" collapsed="false">
      <c r="A2004" s="45" t="n">
        <v>2213</v>
      </c>
      <c r="B2004" s="46" t="n">
        <v>46290</v>
      </c>
      <c r="C2004" s="45" t="s">
        <v>139</v>
      </c>
      <c r="D2004" s="45" t="s">
        <v>140</v>
      </c>
      <c r="E2004" s="45" t="s">
        <v>2816</v>
      </c>
      <c r="F2004" s="45" t="s">
        <v>3997</v>
      </c>
      <c r="G2004" s="46" t="n">
        <v>46286</v>
      </c>
      <c r="H2004" s="45" t="s">
        <v>167</v>
      </c>
      <c r="I2004" s="45" t="s">
        <v>176</v>
      </c>
      <c r="J2004" s="45" t="s">
        <v>3341</v>
      </c>
      <c r="K2004" s="45" t="n">
        <v>373</v>
      </c>
      <c r="L2004" s="45" t="s">
        <v>263</v>
      </c>
      <c r="M2004" s="45" t="s">
        <v>259</v>
      </c>
      <c r="N2004" s="45" t="s">
        <v>167</v>
      </c>
      <c r="O2004" s="47" t="n">
        <v>46290.7787152778</v>
      </c>
      <c r="P2004" s="47" t="n">
        <v>46291.0377199074</v>
      </c>
    </row>
    <row r="2005" customFormat="false" ht="15" hidden="false" customHeight="false" outlineLevel="0" collapsed="false">
      <c r="A2005" s="45" t="n">
        <v>2209</v>
      </c>
      <c r="B2005" s="46" t="n">
        <v>46290</v>
      </c>
      <c r="C2005" s="45" t="s">
        <v>133</v>
      </c>
      <c r="D2005" s="45" t="s">
        <v>134</v>
      </c>
      <c r="E2005" s="45" t="s">
        <v>2539</v>
      </c>
      <c r="F2005" s="45" t="s">
        <v>3998</v>
      </c>
      <c r="G2005" s="46" t="n">
        <v>46289</v>
      </c>
      <c r="H2005" s="45" t="s">
        <v>167</v>
      </c>
      <c r="I2005" s="45" t="s">
        <v>178</v>
      </c>
      <c r="J2005" s="45" t="s">
        <v>3999</v>
      </c>
      <c r="K2005" s="45" t="n">
        <v>49.9</v>
      </c>
      <c r="L2005" s="45" t="s">
        <v>263</v>
      </c>
      <c r="M2005" s="45" t="s">
        <v>259</v>
      </c>
      <c r="N2005" s="45" t="s">
        <v>167</v>
      </c>
      <c r="O2005" s="47" t="n">
        <v>46290.7811342593</v>
      </c>
      <c r="P2005" s="47" t="n">
        <v>46290.815787037</v>
      </c>
    </row>
    <row r="2006" customFormat="false" ht="15" hidden="false" customHeight="false" outlineLevel="0" collapsed="false">
      <c r="A2006" s="45" t="n">
        <v>2210</v>
      </c>
      <c r="B2006" s="46" t="n">
        <v>46290</v>
      </c>
      <c r="C2006" s="45" t="s">
        <v>153</v>
      </c>
      <c r="D2006" s="45" t="s">
        <v>154</v>
      </c>
      <c r="E2006" s="45" t="s">
        <v>4000</v>
      </c>
      <c r="F2006" s="45" t="s">
        <v>4001</v>
      </c>
      <c r="G2006" s="46" t="n">
        <v>46287</v>
      </c>
      <c r="H2006" s="45" t="s">
        <v>167</v>
      </c>
      <c r="I2006" s="45" t="s">
        <v>181</v>
      </c>
      <c r="J2006" s="45" t="s">
        <v>2681</v>
      </c>
      <c r="K2006" s="45" t="n">
        <v>114</v>
      </c>
      <c r="L2006" s="45" t="s">
        <v>259</v>
      </c>
      <c r="M2006" s="45" t="s">
        <v>259</v>
      </c>
      <c r="N2006" s="45" t="s">
        <v>167</v>
      </c>
      <c r="O2006" s="47" t="n">
        <v>46290.8524768519</v>
      </c>
      <c r="P2006" s="47" t="n">
        <v>46290.9316435185</v>
      </c>
    </row>
    <row r="2007" customFormat="false" ht="15" hidden="false" customHeight="false" outlineLevel="0" collapsed="false">
      <c r="A2007" s="45" t="n">
        <v>2211</v>
      </c>
      <c r="B2007" s="46" t="n">
        <v>46290</v>
      </c>
      <c r="C2007" s="45" t="s">
        <v>153</v>
      </c>
      <c r="D2007" s="45" t="s">
        <v>154</v>
      </c>
      <c r="E2007" s="45" t="s">
        <v>4002</v>
      </c>
      <c r="F2007" s="45" t="s">
        <v>4003</v>
      </c>
      <c r="G2007" s="46" t="n">
        <v>46287</v>
      </c>
      <c r="H2007" s="45" t="s">
        <v>167</v>
      </c>
      <c r="I2007" s="45" t="s">
        <v>176</v>
      </c>
      <c r="J2007" s="45" t="s">
        <v>2681</v>
      </c>
      <c r="K2007" s="45" t="n">
        <v>109.7</v>
      </c>
      <c r="L2007" s="45" t="s">
        <v>259</v>
      </c>
      <c r="M2007" s="45" t="s">
        <v>259</v>
      </c>
      <c r="N2007" s="45" t="s">
        <v>167</v>
      </c>
      <c r="O2007" s="47" t="n">
        <v>46290.9325578704</v>
      </c>
      <c r="P2007" s="47" t="n">
        <v>46291.0087152778</v>
      </c>
    </row>
    <row r="2008" customFormat="false" ht="15" hidden="false" customHeight="false" outlineLevel="0" collapsed="false">
      <c r="A2008" s="45" t="n">
        <v>2212</v>
      </c>
      <c r="B2008" s="46" t="n">
        <v>46291</v>
      </c>
      <c r="C2008" s="45" t="s">
        <v>153</v>
      </c>
      <c r="D2008" s="45" t="s">
        <v>154</v>
      </c>
      <c r="E2008" s="45" t="s">
        <v>4002</v>
      </c>
      <c r="F2008" s="45" t="s">
        <v>4004</v>
      </c>
      <c r="G2008" s="46" t="n">
        <v>46288</v>
      </c>
      <c r="H2008" s="45" t="s">
        <v>169</v>
      </c>
      <c r="I2008" s="45"/>
      <c r="J2008" s="45"/>
      <c r="K2008" s="45" t="n">
        <v>0.7</v>
      </c>
      <c r="L2008" s="45" t="s">
        <v>259</v>
      </c>
      <c r="M2008" s="45" t="s">
        <v>259</v>
      </c>
      <c r="N2008" s="45" t="s">
        <v>169</v>
      </c>
      <c r="O2008" s="47" t="n">
        <v>46291.0090393519</v>
      </c>
      <c r="P2008" s="47" t="n">
        <v>46291.009525463</v>
      </c>
    </row>
    <row r="2009" customFormat="false" ht="15" hidden="false" customHeight="false" outlineLevel="0" collapsed="false">
      <c r="A2009" s="45" t="n">
        <v>2214</v>
      </c>
      <c r="B2009" s="46" t="n">
        <v>46291</v>
      </c>
      <c r="C2009" s="45" t="s">
        <v>153</v>
      </c>
      <c r="D2009" s="45" t="s">
        <v>154</v>
      </c>
      <c r="E2009" s="45" t="s">
        <v>3722</v>
      </c>
      <c r="F2009" s="45" t="s">
        <v>4005</v>
      </c>
      <c r="G2009" s="46" t="n">
        <v>46288</v>
      </c>
      <c r="H2009" s="45" t="s">
        <v>167</v>
      </c>
      <c r="I2009" s="45" t="s">
        <v>176</v>
      </c>
      <c r="J2009" s="45" t="s">
        <v>2681</v>
      </c>
      <c r="K2009" s="45" t="n">
        <v>36.5</v>
      </c>
      <c r="L2009" s="45" t="s">
        <v>259</v>
      </c>
      <c r="M2009" s="45" t="s">
        <v>259</v>
      </c>
      <c r="N2009" s="45" t="s">
        <v>167</v>
      </c>
      <c r="O2009" s="47" t="n">
        <v>46291.0134375</v>
      </c>
      <c r="P2009" s="47" t="n">
        <v>46291.0388078704</v>
      </c>
    </row>
    <row r="2010" customFormat="false" ht="15" hidden="false" customHeight="false" outlineLevel="0" collapsed="false">
      <c r="A2010" s="45" t="n">
        <v>2216</v>
      </c>
      <c r="B2010" s="46" t="n">
        <v>46291</v>
      </c>
      <c r="C2010" s="45" t="s">
        <v>153</v>
      </c>
      <c r="D2010" s="45" t="s">
        <v>154</v>
      </c>
      <c r="E2010" s="45" t="s">
        <v>3765</v>
      </c>
      <c r="F2010" s="45" t="s">
        <v>4006</v>
      </c>
      <c r="G2010" s="46" t="n">
        <v>46288</v>
      </c>
      <c r="H2010" s="45" t="s">
        <v>57</v>
      </c>
      <c r="I2010" s="45" t="s">
        <v>201</v>
      </c>
      <c r="J2010" s="45" t="s">
        <v>2681</v>
      </c>
      <c r="K2010" s="45" t="n">
        <v>7.7</v>
      </c>
      <c r="L2010" s="45" t="s">
        <v>259</v>
      </c>
      <c r="M2010" s="45" t="s">
        <v>259</v>
      </c>
      <c r="N2010" s="45" t="s">
        <v>57</v>
      </c>
      <c r="O2010" s="47" t="n">
        <v>46291.0389583333</v>
      </c>
      <c r="P2010" s="47" t="n">
        <v>46291.0443171296</v>
      </c>
    </row>
    <row r="2011" customFormat="false" ht="15" hidden="false" customHeight="false" outlineLevel="0" collapsed="false">
      <c r="A2011" s="45" t="n">
        <v>2215</v>
      </c>
      <c r="B2011" s="46" t="n">
        <v>46291</v>
      </c>
      <c r="C2011" s="45" t="s">
        <v>139</v>
      </c>
      <c r="D2011" s="45" t="s">
        <v>140</v>
      </c>
      <c r="E2011" s="45" t="s">
        <v>2652</v>
      </c>
      <c r="F2011" s="45" t="s">
        <v>4007</v>
      </c>
      <c r="G2011" s="46" t="n">
        <v>46287</v>
      </c>
      <c r="H2011" s="45" t="s">
        <v>167</v>
      </c>
      <c r="I2011" s="45" t="s">
        <v>176</v>
      </c>
      <c r="J2011" s="45" t="s">
        <v>3341</v>
      </c>
      <c r="K2011" s="45" t="n">
        <v>0.3</v>
      </c>
      <c r="L2011" s="45" t="s">
        <v>263</v>
      </c>
      <c r="M2011" s="45" t="s">
        <v>259</v>
      </c>
      <c r="N2011" s="45" t="s">
        <v>167</v>
      </c>
      <c r="O2011" s="47" t="n">
        <v>46291.0403009259</v>
      </c>
      <c r="P2011" s="47" t="n">
        <v>46291.0405208333</v>
      </c>
    </row>
    <row r="2012" customFormat="false" ht="15" hidden="false" customHeight="false" outlineLevel="0" collapsed="false">
      <c r="A2012" s="45" t="n">
        <v>2217</v>
      </c>
      <c r="B2012" s="46" t="n">
        <v>46291</v>
      </c>
      <c r="C2012" s="45" t="s">
        <v>139</v>
      </c>
      <c r="D2012" s="45" t="s">
        <v>140</v>
      </c>
      <c r="E2012" s="45" t="s">
        <v>2652</v>
      </c>
      <c r="F2012" s="45" t="s">
        <v>4008</v>
      </c>
      <c r="G2012" s="46" t="n">
        <v>46287</v>
      </c>
      <c r="H2012" s="45" t="s">
        <v>167</v>
      </c>
      <c r="I2012" s="45" t="s">
        <v>183</v>
      </c>
      <c r="J2012" s="45" t="s">
        <v>4009</v>
      </c>
      <c r="K2012" s="45" t="n">
        <v>1.9</v>
      </c>
      <c r="L2012" s="45" t="s">
        <v>263</v>
      </c>
      <c r="M2012" s="45" t="s">
        <v>259</v>
      </c>
      <c r="N2012" s="45" t="s">
        <v>167</v>
      </c>
      <c r="O2012" s="47" t="n">
        <v>46291.0443055556</v>
      </c>
      <c r="P2012" s="47" t="n">
        <v>46291.0455902778</v>
      </c>
    </row>
    <row r="2013" customFormat="false" ht="15" hidden="false" customHeight="false" outlineLevel="0" collapsed="false">
      <c r="A2013" s="45" t="n">
        <v>2218</v>
      </c>
      <c r="B2013" s="46" t="n">
        <v>46291</v>
      </c>
      <c r="C2013" s="45" t="s">
        <v>153</v>
      </c>
      <c r="D2013" s="45" t="s">
        <v>154</v>
      </c>
      <c r="E2013" s="45" t="s">
        <v>3771</v>
      </c>
      <c r="F2013" s="45" t="s">
        <v>4010</v>
      </c>
      <c r="G2013" s="46" t="n">
        <v>46288</v>
      </c>
      <c r="H2013" s="45" t="s">
        <v>167</v>
      </c>
      <c r="I2013" s="45" t="s">
        <v>176</v>
      </c>
      <c r="J2013" s="45" t="s">
        <v>2681</v>
      </c>
      <c r="K2013" s="45" t="n">
        <v>3.1</v>
      </c>
      <c r="L2013" s="45" t="s">
        <v>263</v>
      </c>
      <c r="M2013" s="45" t="s">
        <v>259</v>
      </c>
      <c r="N2013" s="45" t="s">
        <v>167</v>
      </c>
      <c r="O2013" s="47" t="n">
        <v>46291.0477199074</v>
      </c>
      <c r="P2013" s="47" t="n">
        <v>46291.0498611111</v>
      </c>
    </row>
    <row r="2014" customFormat="false" ht="15" hidden="false" customHeight="false" outlineLevel="0" collapsed="false">
      <c r="A2014" s="45" t="n">
        <v>2219</v>
      </c>
      <c r="B2014" s="46" t="n">
        <v>46291</v>
      </c>
      <c r="C2014" s="45" t="s">
        <v>139</v>
      </c>
      <c r="D2014" s="45" t="s">
        <v>140</v>
      </c>
      <c r="E2014" s="45" t="s">
        <v>221</v>
      </c>
      <c r="F2014" s="45" t="s">
        <v>4011</v>
      </c>
      <c r="G2014" s="46" t="n">
        <v>46287</v>
      </c>
      <c r="H2014" s="45" t="s">
        <v>57</v>
      </c>
      <c r="I2014" s="45" t="s">
        <v>201</v>
      </c>
      <c r="J2014" s="45" t="s">
        <v>4012</v>
      </c>
      <c r="K2014" s="45" t="n">
        <v>5.9</v>
      </c>
      <c r="L2014" s="45" t="s">
        <v>263</v>
      </c>
      <c r="M2014" s="45" t="s">
        <v>259</v>
      </c>
      <c r="N2014" s="45" t="s">
        <v>57</v>
      </c>
      <c r="O2014" s="47" t="n">
        <v>46291.0478587963</v>
      </c>
      <c r="P2014" s="47" t="n">
        <v>46291.0519560185</v>
      </c>
    </row>
    <row r="2015" customFormat="false" ht="15" hidden="false" customHeight="false" outlineLevel="0" collapsed="false">
      <c r="A2015" s="45" t="n">
        <v>2221</v>
      </c>
      <c r="B2015" s="46" t="n">
        <v>46291</v>
      </c>
      <c r="C2015" s="45" t="s">
        <v>153</v>
      </c>
      <c r="D2015" s="45" t="s">
        <v>154</v>
      </c>
      <c r="E2015" s="45" t="s">
        <v>4000</v>
      </c>
      <c r="F2015" s="45" t="s">
        <v>4013</v>
      </c>
      <c r="G2015" s="46" t="n">
        <v>46289</v>
      </c>
      <c r="H2015" s="45" t="s">
        <v>167</v>
      </c>
      <c r="I2015" s="45" t="s">
        <v>176</v>
      </c>
      <c r="J2015" s="45" t="s">
        <v>2681</v>
      </c>
      <c r="K2015" s="45" t="n">
        <v>126.6</v>
      </c>
      <c r="L2015" s="45" t="s">
        <v>259</v>
      </c>
      <c r="M2015" s="45" t="s">
        <v>259</v>
      </c>
      <c r="N2015" s="45" t="s">
        <v>167</v>
      </c>
      <c r="O2015" s="47" t="n">
        <v>46291.0499074074</v>
      </c>
      <c r="P2015" s="47" t="n">
        <v>46291.1378009259</v>
      </c>
    </row>
    <row r="2016" customFormat="false" ht="15" hidden="false" customHeight="false" outlineLevel="0" collapsed="false">
      <c r="A2016" s="45" t="n">
        <v>2220</v>
      </c>
      <c r="B2016" s="46" t="n">
        <v>46291</v>
      </c>
      <c r="C2016" s="45" t="s">
        <v>139</v>
      </c>
      <c r="D2016" s="45" t="s">
        <v>140</v>
      </c>
      <c r="E2016" s="45" t="s">
        <v>2677</v>
      </c>
      <c r="F2016" s="45" t="s">
        <v>4014</v>
      </c>
      <c r="G2016" s="46" t="n">
        <v>46288</v>
      </c>
      <c r="H2016" s="45" t="s">
        <v>57</v>
      </c>
      <c r="I2016" s="45" t="s">
        <v>201</v>
      </c>
      <c r="J2016" s="45" t="s">
        <v>4015</v>
      </c>
      <c r="K2016" s="45" t="n">
        <v>4.2</v>
      </c>
      <c r="L2016" s="45" t="s">
        <v>263</v>
      </c>
      <c r="M2016" s="45" t="s">
        <v>259</v>
      </c>
      <c r="N2016" s="45" t="s">
        <v>57</v>
      </c>
      <c r="O2016" s="47" t="n">
        <v>46291.1326388889</v>
      </c>
      <c r="P2016" s="47" t="n">
        <v>46291.1355787037</v>
      </c>
    </row>
    <row r="2017" customFormat="false" ht="15" hidden="false" customHeight="false" outlineLevel="0" collapsed="false">
      <c r="A2017" s="45" t="n">
        <v>2222</v>
      </c>
      <c r="B2017" s="46" t="n">
        <v>46291</v>
      </c>
      <c r="C2017" s="45" t="s">
        <v>153</v>
      </c>
      <c r="D2017" s="45" t="s">
        <v>154</v>
      </c>
      <c r="E2017" s="45" t="s">
        <v>3722</v>
      </c>
      <c r="F2017" s="45" t="s">
        <v>4016</v>
      </c>
      <c r="G2017" s="46" t="n">
        <v>46289</v>
      </c>
      <c r="H2017" s="45" t="s">
        <v>168</v>
      </c>
      <c r="I2017" s="45" t="s">
        <v>196</v>
      </c>
      <c r="J2017" s="45" t="s">
        <v>4017</v>
      </c>
      <c r="K2017" s="45" t="n">
        <v>108.2</v>
      </c>
      <c r="L2017" s="45" t="s">
        <v>259</v>
      </c>
      <c r="M2017" s="45" t="s">
        <v>259</v>
      </c>
      <c r="N2017" s="45" t="s">
        <v>2559</v>
      </c>
      <c r="O2017" s="47" t="n">
        <v>46291.1378356482</v>
      </c>
      <c r="P2017" s="47" t="n">
        <v>46291.2129861111</v>
      </c>
    </row>
    <row r="2018" customFormat="false" ht="15" hidden="false" customHeight="false" outlineLevel="0" collapsed="false">
      <c r="A2018" s="45" t="n">
        <v>2223</v>
      </c>
      <c r="B2018" s="46" t="n">
        <v>46291</v>
      </c>
      <c r="C2018" s="45" t="s">
        <v>131</v>
      </c>
      <c r="D2018" s="45" t="s">
        <v>132</v>
      </c>
      <c r="E2018" s="45" t="s">
        <v>3984</v>
      </c>
      <c r="F2018" s="45" t="s">
        <v>4018</v>
      </c>
      <c r="G2018" s="46" t="n">
        <v>46287</v>
      </c>
      <c r="H2018" s="45" t="s">
        <v>167</v>
      </c>
      <c r="I2018" s="45" t="s">
        <v>180</v>
      </c>
      <c r="J2018" s="45" t="s">
        <v>4019</v>
      </c>
      <c r="K2018" s="45" t="n">
        <v>8.5</v>
      </c>
      <c r="L2018" s="45" t="s">
        <v>263</v>
      </c>
      <c r="M2018" s="45" t="s">
        <v>259</v>
      </c>
      <c r="N2018" s="45" t="s">
        <v>167</v>
      </c>
      <c r="O2018" s="47" t="n">
        <v>46291.7995486111</v>
      </c>
      <c r="P2018" s="47" t="n">
        <v>46291.8054513889</v>
      </c>
    </row>
    <row r="2019" customFormat="false" ht="15" hidden="false" customHeight="false" outlineLevel="0" collapsed="false">
      <c r="A2019" s="45" t="n">
        <v>2224</v>
      </c>
      <c r="B2019" s="46" t="n">
        <v>46291</v>
      </c>
      <c r="C2019" s="45" t="s">
        <v>131</v>
      </c>
      <c r="D2019" s="45" t="s">
        <v>132</v>
      </c>
      <c r="E2019" s="45" t="s">
        <v>3660</v>
      </c>
      <c r="F2019" s="45" t="s">
        <v>4020</v>
      </c>
      <c r="G2019" s="46" t="n">
        <v>46287</v>
      </c>
      <c r="H2019" s="45" t="s">
        <v>167</v>
      </c>
      <c r="I2019" s="45" t="s">
        <v>180</v>
      </c>
      <c r="J2019" s="45" t="s">
        <v>4021</v>
      </c>
      <c r="K2019" s="45" t="n">
        <v>5.7</v>
      </c>
      <c r="L2019" s="45" t="s">
        <v>259</v>
      </c>
      <c r="M2019" s="45" t="s">
        <v>259</v>
      </c>
      <c r="N2019" s="45" t="s">
        <v>167</v>
      </c>
      <c r="O2019" s="47" t="n">
        <v>46291.8057986111</v>
      </c>
      <c r="P2019" s="47" t="n">
        <v>46291.8097800926</v>
      </c>
    </row>
    <row r="2020" customFormat="false" ht="15" hidden="false" customHeight="false" outlineLevel="0" collapsed="false">
      <c r="A2020" s="45" t="n">
        <v>2225</v>
      </c>
      <c r="B2020" s="46" t="n">
        <v>46291</v>
      </c>
      <c r="C2020" s="45" t="s">
        <v>131</v>
      </c>
      <c r="D2020" s="45" t="s">
        <v>132</v>
      </c>
      <c r="E2020" s="45" t="s">
        <v>4022</v>
      </c>
      <c r="F2020" s="45" t="s">
        <v>4020</v>
      </c>
      <c r="G2020" s="46" t="n">
        <v>46287</v>
      </c>
      <c r="H2020" s="45" t="s">
        <v>168</v>
      </c>
      <c r="I2020" s="45" t="s">
        <v>191</v>
      </c>
      <c r="J2020" s="45" t="s">
        <v>4023</v>
      </c>
      <c r="K2020" s="45" t="n">
        <v>1.5</v>
      </c>
      <c r="L2020" s="45" t="s">
        <v>259</v>
      </c>
      <c r="M2020" s="45" t="s">
        <v>263</v>
      </c>
      <c r="N2020" s="45" t="s">
        <v>2559</v>
      </c>
      <c r="O2020" s="47" t="n">
        <v>46291.8776851852</v>
      </c>
      <c r="P2020" s="47" t="n">
        <v>46291.8787268519</v>
      </c>
    </row>
    <row r="2021" customFormat="false" ht="15" hidden="false" customHeight="false" outlineLevel="0" collapsed="false">
      <c r="A2021" s="45" t="n">
        <v>2227</v>
      </c>
      <c r="B2021" s="46" t="n">
        <v>46291</v>
      </c>
      <c r="C2021" s="45" t="s">
        <v>153</v>
      </c>
      <c r="D2021" s="45" t="s">
        <v>154</v>
      </c>
      <c r="E2021" s="45" t="s">
        <v>4024</v>
      </c>
      <c r="F2021" s="45" t="s">
        <v>4025</v>
      </c>
      <c r="G2021" s="46" t="n">
        <v>46290</v>
      </c>
      <c r="H2021" s="45" t="s">
        <v>57</v>
      </c>
      <c r="I2021" s="45" t="s">
        <v>201</v>
      </c>
      <c r="J2021" s="45" t="s">
        <v>2681</v>
      </c>
      <c r="K2021" s="45" t="n">
        <v>1522.8</v>
      </c>
      <c r="L2021" s="45" t="s">
        <v>259</v>
      </c>
      <c r="M2021" s="45" t="s">
        <v>259</v>
      </c>
      <c r="N2021" s="45" t="s">
        <v>57</v>
      </c>
      <c r="O2021" s="47" t="n">
        <v>46291.9427893519</v>
      </c>
      <c r="P2021" s="47" t="n">
        <v>46293.0003125</v>
      </c>
    </row>
    <row r="2022" customFormat="false" ht="15" hidden="false" customHeight="false" outlineLevel="0" collapsed="false">
      <c r="A2022" s="45" t="n">
        <v>2226</v>
      </c>
      <c r="B2022" s="46" t="n">
        <v>46292</v>
      </c>
      <c r="C2022" s="45" t="s">
        <v>139</v>
      </c>
      <c r="D2022" s="45" t="s">
        <v>140</v>
      </c>
      <c r="E2022" s="45" t="s">
        <v>233</v>
      </c>
      <c r="F2022" s="45" t="s">
        <v>4026</v>
      </c>
      <c r="G2022" s="46" t="n">
        <v>46289</v>
      </c>
      <c r="H2022" s="45" t="s">
        <v>167</v>
      </c>
      <c r="I2022" s="45" t="s">
        <v>177</v>
      </c>
      <c r="J2022" s="45" t="s">
        <v>4027</v>
      </c>
      <c r="K2022" s="45" t="n">
        <v>0.9</v>
      </c>
      <c r="L2022" s="45" t="s">
        <v>263</v>
      </c>
      <c r="M2022" s="45" t="s">
        <v>259</v>
      </c>
      <c r="N2022" s="45" t="s">
        <v>167</v>
      </c>
      <c r="O2022" s="47" t="n">
        <v>46292.9885185185</v>
      </c>
      <c r="P2022" s="47" t="n">
        <v>46292.9891782407</v>
      </c>
    </row>
    <row r="2023" customFormat="false" ht="15" hidden="false" customHeight="false" outlineLevel="0" collapsed="false">
      <c r="A2023" s="45" t="n">
        <v>2228</v>
      </c>
      <c r="B2023" s="46" t="n">
        <v>46293</v>
      </c>
      <c r="C2023" s="45" t="s">
        <v>139</v>
      </c>
      <c r="D2023" s="45" t="s">
        <v>140</v>
      </c>
      <c r="E2023" s="45" t="s">
        <v>4028</v>
      </c>
      <c r="F2023" s="45" t="s">
        <v>4029</v>
      </c>
      <c r="G2023" s="46" t="n">
        <v>46288</v>
      </c>
      <c r="H2023" s="45" t="s">
        <v>167</v>
      </c>
      <c r="I2023" s="45" t="s">
        <v>178</v>
      </c>
      <c r="J2023" s="45" t="s">
        <v>4030</v>
      </c>
      <c r="K2023" s="45" t="n">
        <v>1</v>
      </c>
      <c r="L2023" s="45" t="s">
        <v>263</v>
      </c>
      <c r="M2023" s="45" t="s">
        <v>259</v>
      </c>
      <c r="N2023" s="45" t="s">
        <v>167</v>
      </c>
      <c r="O2023" s="47" t="n">
        <v>46293.0002662037</v>
      </c>
      <c r="P2023" s="47" t="n">
        <v>46293.0009837963</v>
      </c>
    </row>
    <row r="2024" customFormat="false" ht="15" hidden="false" customHeight="false" outlineLevel="0" collapsed="false">
      <c r="A2024" s="45" t="n">
        <v>2229</v>
      </c>
      <c r="B2024" s="46" t="n">
        <v>46293</v>
      </c>
      <c r="C2024" s="45" t="s">
        <v>139</v>
      </c>
      <c r="D2024" s="45" t="s">
        <v>140</v>
      </c>
      <c r="E2024" s="45" t="s">
        <v>4031</v>
      </c>
      <c r="F2024" s="45" t="s">
        <v>4032</v>
      </c>
      <c r="G2024" s="46" t="n">
        <v>46288</v>
      </c>
      <c r="H2024" s="45" t="s">
        <v>167</v>
      </c>
      <c r="I2024" s="45" t="s">
        <v>177</v>
      </c>
      <c r="J2024" s="45" t="s">
        <v>4033</v>
      </c>
      <c r="K2024" s="45" t="n">
        <v>0.5</v>
      </c>
      <c r="L2024" s="45" t="s">
        <v>263</v>
      </c>
      <c r="M2024" s="45" t="s">
        <v>259</v>
      </c>
      <c r="N2024" s="45" t="s">
        <v>167</v>
      </c>
      <c r="O2024" s="47" t="n">
        <v>46293.0043518519</v>
      </c>
      <c r="P2024" s="47" t="n">
        <v>46293.0047222222</v>
      </c>
    </row>
    <row r="2025" customFormat="false" ht="15" hidden="false" customHeight="false" outlineLevel="0" collapsed="false">
      <c r="A2025" s="45" t="n">
        <v>2230</v>
      </c>
      <c r="B2025" s="46" t="n">
        <v>46293</v>
      </c>
      <c r="C2025" s="45" t="s">
        <v>153</v>
      </c>
      <c r="D2025" s="45" t="s">
        <v>154</v>
      </c>
      <c r="E2025" s="45" t="s">
        <v>4034</v>
      </c>
      <c r="F2025" s="45" t="s">
        <v>4035</v>
      </c>
      <c r="G2025" s="46" t="n">
        <v>46289</v>
      </c>
      <c r="H2025" s="45" t="s">
        <v>167</v>
      </c>
      <c r="I2025" s="45" t="s">
        <v>178</v>
      </c>
      <c r="J2025" s="45" t="s">
        <v>2681</v>
      </c>
      <c r="K2025" s="45" t="n">
        <v>55.9</v>
      </c>
      <c r="L2025" s="45" t="s">
        <v>263</v>
      </c>
      <c r="M2025" s="45" t="s">
        <v>259</v>
      </c>
      <c r="N2025" s="45" t="s">
        <v>167</v>
      </c>
      <c r="O2025" s="47" t="n">
        <v>46293.0547106482</v>
      </c>
      <c r="P2025" s="47" t="n">
        <v>46293.0935069445</v>
      </c>
    </row>
    <row r="2026" customFormat="false" ht="15" hidden="false" customHeight="false" outlineLevel="0" collapsed="false">
      <c r="A2026" s="45" t="n">
        <v>2231</v>
      </c>
      <c r="B2026" s="46" t="n">
        <v>46293</v>
      </c>
      <c r="C2026" s="45" t="s">
        <v>133</v>
      </c>
      <c r="D2026" s="45" t="s">
        <v>134</v>
      </c>
      <c r="E2026" s="45" t="s">
        <v>3781</v>
      </c>
      <c r="F2026" s="45" t="s">
        <v>4036</v>
      </c>
      <c r="G2026" s="46" t="n">
        <v>46290</v>
      </c>
      <c r="H2026" s="45" t="s">
        <v>167</v>
      </c>
      <c r="I2026" s="45" t="s">
        <v>179</v>
      </c>
      <c r="J2026" s="45" t="s">
        <v>4037</v>
      </c>
      <c r="K2026" s="45" t="n">
        <v>0.8</v>
      </c>
      <c r="L2026" s="45" t="s">
        <v>263</v>
      </c>
      <c r="M2026" s="45" t="s">
        <v>259</v>
      </c>
      <c r="N2026" s="45" t="s">
        <v>167</v>
      </c>
      <c r="O2026" s="47" t="n">
        <v>46293.7241898148</v>
      </c>
      <c r="P2026" s="47" t="n">
        <v>46293.7247800926</v>
      </c>
    </row>
    <row r="2027" customFormat="false" ht="15" hidden="false" customHeight="false" outlineLevel="0" collapsed="false">
      <c r="A2027" s="45" t="n">
        <v>2232</v>
      </c>
      <c r="B2027" s="46" t="n">
        <v>46293</v>
      </c>
      <c r="C2027" s="45" t="s">
        <v>133</v>
      </c>
      <c r="D2027" s="45" t="s">
        <v>134</v>
      </c>
      <c r="E2027" s="45" t="s">
        <v>3781</v>
      </c>
      <c r="F2027" s="45" t="s">
        <v>4038</v>
      </c>
      <c r="G2027" s="46" t="n">
        <v>46290</v>
      </c>
      <c r="H2027" s="45" t="s">
        <v>167</v>
      </c>
      <c r="I2027" s="45" t="s">
        <v>179</v>
      </c>
      <c r="J2027" s="45" t="s">
        <v>4039</v>
      </c>
      <c r="K2027" s="45" t="n">
        <v>8.7</v>
      </c>
      <c r="L2027" s="45" t="s">
        <v>263</v>
      </c>
      <c r="M2027" s="45" t="s">
        <v>259</v>
      </c>
      <c r="N2027" s="45" t="s">
        <v>167</v>
      </c>
      <c r="O2027" s="47" t="n">
        <v>46293.7248032407</v>
      </c>
      <c r="P2027" s="47" t="n">
        <v>46293.7308101852</v>
      </c>
    </row>
    <row r="2028" customFormat="false" ht="15" hidden="false" customHeight="false" outlineLevel="0" collapsed="false">
      <c r="A2028" s="45" t="n">
        <v>2233</v>
      </c>
      <c r="B2028" s="46" t="n">
        <v>46293</v>
      </c>
      <c r="C2028" s="45" t="s">
        <v>133</v>
      </c>
      <c r="D2028" s="45" t="s">
        <v>134</v>
      </c>
      <c r="E2028" s="45" t="s">
        <v>3781</v>
      </c>
      <c r="F2028" s="45" t="s">
        <v>4040</v>
      </c>
      <c r="G2028" s="46" t="n">
        <v>46291</v>
      </c>
      <c r="H2028" s="45" t="s">
        <v>167</v>
      </c>
      <c r="I2028" s="45" t="s">
        <v>179</v>
      </c>
      <c r="J2028" s="45" t="s">
        <v>4041</v>
      </c>
      <c r="K2028" s="45" t="n">
        <v>10.9</v>
      </c>
      <c r="L2028" s="45" t="s">
        <v>263</v>
      </c>
      <c r="M2028" s="45" t="s">
        <v>259</v>
      </c>
      <c r="N2028" s="45" t="s">
        <v>167</v>
      </c>
      <c r="O2028" s="47" t="n">
        <v>46293.7315046296</v>
      </c>
      <c r="P2028" s="47" t="n">
        <v>46293.7390509259</v>
      </c>
    </row>
    <row r="2029" customFormat="false" ht="15" hidden="false" customHeight="false" outlineLevel="0" collapsed="false">
      <c r="A2029" s="45" t="n">
        <v>2234</v>
      </c>
      <c r="B2029" s="46" t="n">
        <v>46293</v>
      </c>
      <c r="C2029" s="45" t="s">
        <v>135</v>
      </c>
      <c r="D2029" s="45" t="s">
        <v>136</v>
      </c>
      <c r="E2029" s="45" t="s">
        <v>236</v>
      </c>
      <c r="F2029" s="45" t="s">
        <v>4042</v>
      </c>
      <c r="G2029" s="46" t="n">
        <v>46292</v>
      </c>
      <c r="H2029" s="45" t="s">
        <v>57</v>
      </c>
      <c r="I2029" s="45" t="s">
        <v>200</v>
      </c>
      <c r="J2029" s="45" t="s">
        <v>4043</v>
      </c>
      <c r="K2029" s="45" t="n">
        <v>10</v>
      </c>
      <c r="L2029" s="45" t="s">
        <v>263</v>
      </c>
      <c r="M2029" s="45" t="s">
        <v>259</v>
      </c>
      <c r="N2029" s="45" t="s">
        <v>57</v>
      </c>
      <c r="O2029" s="47" t="n">
        <v>46293.8396064815</v>
      </c>
      <c r="P2029" s="47" t="n">
        <v>46293.8465625</v>
      </c>
    </row>
    <row r="2030" customFormat="false" ht="15" hidden="false" customHeight="false" outlineLevel="0" collapsed="false">
      <c r="A2030" s="45" t="n">
        <v>2235</v>
      </c>
      <c r="B2030" s="46" t="n">
        <v>46294</v>
      </c>
      <c r="C2030" s="45" t="s">
        <v>133</v>
      </c>
      <c r="D2030" s="45" t="s">
        <v>134</v>
      </c>
      <c r="E2030" s="45" t="s">
        <v>3781</v>
      </c>
      <c r="F2030" s="45" t="s">
        <v>4044</v>
      </c>
      <c r="G2030" s="46" t="n">
        <v>46291</v>
      </c>
      <c r="H2030" s="45" t="s">
        <v>167</v>
      </c>
      <c r="I2030" s="45" t="s">
        <v>183</v>
      </c>
      <c r="J2030" s="45" t="s">
        <v>4045</v>
      </c>
      <c r="K2030" s="45" t="n">
        <v>0.7</v>
      </c>
      <c r="L2030" s="45" t="s">
        <v>263</v>
      </c>
      <c r="M2030" s="45" t="s">
        <v>259</v>
      </c>
      <c r="N2030" s="45" t="s">
        <v>167</v>
      </c>
      <c r="O2030" s="47" t="n">
        <v>46294.0406597222</v>
      </c>
      <c r="P2030" s="47" t="n">
        <v>46294.0411689815</v>
      </c>
    </row>
    <row r="2031" customFormat="false" ht="15" hidden="false" customHeight="false" outlineLevel="0" collapsed="false">
      <c r="A2031" s="45" t="n">
        <v>2236</v>
      </c>
      <c r="B2031" s="46" t="n">
        <v>46294</v>
      </c>
      <c r="C2031" s="45" t="s">
        <v>133</v>
      </c>
      <c r="D2031" s="45" t="s">
        <v>134</v>
      </c>
      <c r="E2031" s="45" t="s">
        <v>3781</v>
      </c>
      <c r="F2031" s="45" t="s">
        <v>4046</v>
      </c>
      <c r="G2031" s="46" t="n">
        <v>46291</v>
      </c>
      <c r="H2031" s="45" t="s">
        <v>167</v>
      </c>
      <c r="I2031" s="45" t="s">
        <v>179</v>
      </c>
      <c r="J2031" s="45" t="s">
        <v>4047</v>
      </c>
      <c r="K2031" s="45" t="n">
        <v>13</v>
      </c>
      <c r="L2031" s="45" t="s">
        <v>263</v>
      </c>
      <c r="M2031" s="45" t="s">
        <v>259</v>
      </c>
      <c r="N2031" s="45" t="s">
        <v>167</v>
      </c>
      <c r="O2031" s="47" t="n">
        <v>46294.0412384259</v>
      </c>
      <c r="P2031" s="47" t="n">
        <v>46294.0502777778</v>
      </c>
    </row>
    <row r="2032" customFormat="false" ht="15" hidden="false" customHeight="false" outlineLevel="0" collapsed="false">
      <c r="A2032" s="45" t="n">
        <v>2237</v>
      </c>
      <c r="B2032" s="46" t="n">
        <v>46294</v>
      </c>
      <c r="C2032" s="45" t="s">
        <v>151</v>
      </c>
      <c r="D2032" s="45" t="s">
        <v>152</v>
      </c>
      <c r="E2032" s="45" t="s">
        <v>66</v>
      </c>
      <c r="F2032" s="45" t="s">
        <v>66</v>
      </c>
      <c r="G2032" s="46" t="n">
        <v>46272</v>
      </c>
      <c r="H2032" s="45" t="s">
        <v>169</v>
      </c>
      <c r="I2032" s="45"/>
      <c r="J2032" s="45"/>
      <c r="K2032" s="45" t="n">
        <v>0.4</v>
      </c>
      <c r="L2032" s="45" t="s">
        <v>263</v>
      </c>
      <c r="M2032" s="45" t="s">
        <v>263</v>
      </c>
      <c r="N2032" s="45" t="s">
        <v>169</v>
      </c>
      <c r="O2032" s="47" t="n">
        <v>46294.123900463</v>
      </c>
      <c r="P2032" s="47" t="n">
        <v>46294.1241550926</v>
      </c>
    </row>
    <row r="2033" customFormat="false" ht="15" hidden="false" customHeight="false" outlineLevel="0" collapsed="false">
      <c r="A2033" s="45" t="n">
        <v>2238</v>
      </c>
      <c r="B2033" s="46" t="n">
        <v>46294</v>
      </c>
      <c r="C2033" s="45" t="s">
        <v>151</v>
      </c>
      <c r="D2033" s="45" t="s">
        <v>152</v>
      </c>
      <c r="E2033" s="45" t="s">
        <v>4048</v>
      </c>
      <c r="F2033" s="45" t="s">
        <v>82</v>
      </c>
      <c r="G2033" s="46" t="n">
        <v>46290</v>
      </c>
      <c r="H2033" s="45" t="s">
        <v>167</v>
      </c>
      <c r="I2033" s="45" t="s">
        <v>176</v>
      </c>
      <c r="J2033" s="45" t="s">
        <v>4049</v>
      </c>
      <c r="K2033" s="45" t="n">
        <v>18</v>
      </c>
      <c r="L2033" s="45" t="s">
        <v>263</v>
      </c>
      <c r="M2033" s="45" t="s">
        <v>259</v>
      </c>
      <c r="N2033" s="45" t="s">
        <v>167</v>
      </c>
      <c r="O2033" s="47" t="n">
        <v>46294.1243055556</v>
      </c>
      <c r="P2033" s="47" t="n">
        <v>46294.1368055556</v>
      </c>
    </row>
    <row r="2034" customFormat="false" ht="15" hidden="false" customHeight="false" outlineLevel="0" collapsed="false">
      <c r="A2034" s="45" t="n">
        <v>2239</v>
      </c>
      <c r="B2034" s="46" t="n">
        <v>46296</v>
      </c>
      <c r="C2034" s="45" t="s">
        <v>131</v>
      </c>
      <c r="D2034" s="45" t="s">
        <v>132</v>
      </c>
      <c r="E2034" s="45" t="s">
        <v>3544</v>
      </c>
      <c r="F2034" s="45" t="s">
        <v>4050</v>
      </c>
      <c r="G2034" s="46" t="n">
        <v>46294</v>
      </c>
      <c r="H2034" s="45" t="s">
        <v>167</v>
      </c>
      <c r="I2034" s="45" t="s">
        <v>176</v>
      </c>
      <c r="J2034" s="45" t="s">
        <v>4051</v>
      </c>
      <c r="K2034" s="45" t="n">
        <v>1.9</v>
      </c>
      <c r="L2034" s="45" t="s">
        <v>259</v>
      </c>
      <c r="M2034" s="45" t="s">
        <v>259</v>
      </c>
      <c r="N2034" s="45" t="s">
        <v>167</v>
      </c>
      <c r="O2034" s="47" t="n">
        <v>46296.0788541667</v>
      </c>
      <c r="P2034" s="47" t="n">
        <v>46296.080150463</v>
      </c>
    </row>
    <row r="2035" customFormat="false" ht="15" hidden="false" customHeight="false" outlineLevel="0" collapsed="false">
      <c r="A2035" s="45" t="n">
        <v>2240</v>
      </c>
      <c r="B2035" s="46" t="n">
        <v>46296</v>
      </c>
      <c r="C2035" s="45" t="s">
        <v>131</v>
      </c>
      <c r="D2035" s="45" t="s">
        <v>132</v>
      </c>
      <c r="E2035" s="45" t="s">
        <v>4052</v>
      </c>
      <c r="F2035" s="45" t="s">
        <v>4053</v>
      </c>
      <c r="G2035" s="46" t="n">
        <v>46293</v>
      </c>
      <c r="H2035" s="45" t="s">
        <v>167</v>
      </c>
      <c r="I2035" s="45" t="s">
        <v>181</v>
      </c>
      <c r="J2035" s="45" t="s">
        <v>4054</v>
      </c>
      <c r="K2035" s="45" t="n">
        <v>2.3</v>
      </c>
      <c r="L2035" s="45" t="s">
        <v>259</v>
      </c>
      <c r="M2035" s="45" t="s">
        <v>263</v>
      </c>
      <c r="N2035" s="45" t="s">
        <v>167</v>
      </c>
      <c r="O2035" s="47" t="n">
        <v>46296.0802199074</v>
      </c>
      <c r="P2035" s="47" t="n">
        <v>46296.0818402778</v>
      </c>
    </row>
    <row r="2036" customFormat="false" ht="15" hidden="false" customHeight="false" outlineLevel="0" collapsed="false">
      <c r="A2036" s="45" t="n">
        <v>2241</v>
      </c>
      <c r="B2036" s="46" t="n">
        <v>46296</v>
      </c>
      <c r="C2036" s="45" t="s">
        <v>133</v>
      </c>
      <c r="D2036" s="45" t="s">
        <v>134</v>
      </c>
      <c r="E2036" s="45" t="s">
        <v>4055</v>
      </c>
      <c r="F2036" s="45" t="s">
        <v>4056</v>
      </c>
      <c r="G2036" s="46" t="n">
        <v>46290</v>
      </c>
      <c r="H2036" s="45" t="s">
        <v>167</v>
      </c>
      <c r="I2036" s="45" t="s">
        <v>176</v>
      </c>
      <c r="J2036" s="45" t="s">
        <v>4057</v>
      </c>
      <c r="K2036" s="45" t="n">
        <v>1.9</v>
      </c>
      <c r="L2036" s="45" t="s">
        <v>259</v>
      </c>
      <c r="M2036" s="45" t="s">
        <v>259</v>
      </c>
      <c r="N2036" s="45" t="s">
        <v>167</v>
      </c>
      <c r="O2036" s="47" t="n">
        <v>46296.6025462963</v>
      </c>
      <c r="P2036" s="47" t="n">
        <v>46296.6038425926</v>
      </c>
    </row>
    <row r="2037" customFormat="false" ht="15" hidden="false" customHeight="false" outlineLevel="0" collapsed="false">
      <c r="A2037" s="45" t="n">
        <v>2242</v>
      </c>
      <c r="B2037" s="46" t="n">
        <v>46296</v>
      </c>
      <c r="C2037" s="45" t="s">
        <v>133</v>
      </c>
      <c r="D2037" s="45" t="s">
        <v>134</v>
      </c>
      <c r="E2037" s="45" t="s">
        <v>4055</v>
      </c>
      <c r="F2037" s="45" t="s">
        <v>4056</v>
      </c>
      <c r="G2037" s="46" t="n">
        <v>46290</v>
      </c>
      <c r="H2037" s="45" t="s">
        <v>167</v>
      </c>
      <c r="I2037" s="45" t="s">
        <v>176</v>
      </c>
      <c r="J2037" s="45" t="s">
        <v>4058</v>
      </c>
      <c r="K2037" s="45" t="n">
        <v>0.6</v>
      </c>
      <c r="L2037" s="45" t="s">
        <v>259</v>
      </c>
      <c r="M2037" s="45" t="s">
        <v>259</v>
      </c>
      <c r="N2037" s="45" t="s">
        <v>167</v>
      </c>
      <c r="O2037" s="47" t="n">
        <v>46296.6038657407</v>
      </c>
      <c r="P2037" s="47" t="n">
        <v>46296.6043055556</v>
      </c>
    </row>
    <row r="2038" customFormat="false" ht="15" hidden="false" customHeight="false" outlineLevel="0" collapsed="false">
      <c r="A2038" s="45" t="n">
        <v>2243</v>
      </c>
      <c r="B2038" s="46" t="n">
        <v>46297</v>
      </c>
      <c r="C2038" s="45" t="s">
        <v>133</v>
      </c>
      <c r="D2038" s="45" t="s">
        <v>134</v>
      </c>
      <c r="E2038" s="45" t="s">
        <v>4055</v>
      </c>
      <c r="F2038" s="45" t="s">
        <v>4059</v>
      </c>
      <c r="G2038" s="46" t="n">
        <v>46293</v>
      </c>
      <c r="H2038" s="45" t="s">
        <v>57</v>
      </c>
      <c r="I2038" s="45" t="s">
        <v>202</v>
      </c>
      <c r="J2038" s="45" t="s">
        <v>4060</v>
      </c>
      <c r="K2038" s="45" t="n">
        <v>2.7</v>
      </c>
      <c r="L2038" s="45" t="s">
        <v>263</v>
      </c>
      <c r="M2038" s="45" t="s">
        <v>259</v>
      </c>
      <c r="N2038" s="45" t="s">
        <v>57</v>
      </c>
      <c r="O2038" s="47" t="n">
        <v>46297.1711805556</v>
      </c>
      <c r="P2038" s="47" t="n">
        <v>46297.1730555556</v>
      </c>
    </row>
    <row r="2039" customFormat="false" ht="15" hidden="false" customHeight="false" outlineLevel="0" collapsed="false">
      <c r="A2039" s="45" t="n">
        <v>2244</v>
      </c>
      <c r="B2039" s="46" t="n">
        <v>46297</v>
      </c>
      <c r="C2039" s="45" t="s">
        <v>133</v>
      </c>
      <c r="D2039" s="45" t="s">
        <v>134</v>
      </c>
      <c r="E2039" s="45" t="s">
        <v>4061</v>
      </c>
      <c r="F2039" s="45" t="s">
        <v>4062</v>
      </c>
      <c r="G2039" s="46" t="n">
        <v>46292</v>
      </c>
      <c r="H2039" s="45" t="s">
        <v>168</v>
      </c>
      <c r="I2039" s="45" t="s">
        <v>193</v>
      </c>
      <c r="J2039" s="45" t="s">
        <v>4063</v>
      </c>
      <c r="K2039" s="45" t="n">
        <v>34.1</v>
      </c>
      <c r="L2039" s="45" t="s">
        <v>263</v>
      </c>
      <c r="M2039" s="45" t="s">
        <v>259</v>
      </c>
      <c r="N2039" s="45" t="s">
        <v>2559</v>
      </c>
      <c r="O2039" s="47" t="n">
        <v>46297.1821643519</v>
      </c>
      <c r="P2039" s="47" t="n">
        <v>46297.2058333333</v>
      </c>
    </row>
    <row r="2040" customFormat="false" ht="15" hidden="false" customHeight="false" outlineLevel="0" collapsed="false">
      <c r="A2040" s="45" t="n">
        <v>2246</v>
      </c>
      <c r="B2040" s="46" t="n">
        <v>46297</v>
      </c>
      <c r="C2040" s="45" t="s">
        <v>139</v>
      </c>
      <c r="D2040" s="45" t="s">
        <v>140</v>
      </c>
      <c r="E2040" s="45" t="s">
        <v>233</v>
      </c>
      <c r="F2040" s="45" t="s">
        <v>4064</v>
      </c>
      <c r="G2040" s="46" t="n">
        <v>46292</v>
      </c>
      <c r="H2040" s="45" t="s">
        <v>167</v>
      </c>
      <c r="I2040" s="45" t="s">
        <v>180</v>
      </c>
      <c r="J2040" s="45" t="s">
        <v>4065</v>
      </c>
      <c r="K2040" s="45" t="n">
        <v>28.2</v>
      </c>
      <c r="L2040" s="45" t="s">
        <v>259</v>
      </c>
      <c r="M2040" s="45" t="s">
        <v>259</v>
      </c>
      <c r="N2040" s="45" t="s">
        <v>167</v>
      </c>
      <c r="O2040" s="47" t="n">
        <v>46297.1934837963</v>
      </c>
      <c r="P2040" s="47" t="n">
        <v>46297.2131018519</v>
      </c>
    </row>
    <row r="2041" customFormat="false" ht="15" hidden="false" customHeight="false" outlineLevel="0" collapsed="false">
      <c r="A2041" s="45" t="n">
        <v>2245</v>
      </c>
      <c r="B2041" s="46" t="n">
        <v>46297</v>
      </c>
      <c r="C2041" s="45" t="s">
        <v>133</v>
      </c>
      <c r="D2041" s="45" t="s">
        <v>134</v>
      </c>
      <c r="E2041" s="45" t="s">
        <v>4055</v>
      </c>
      <c r="F2041" s="45" t="s">
        <v>4066</v>
      </c>
      <c r="G2041" s="46" t="n">
        <v>46290</v>
      </c>
      <c r="H2041" s="45" t="s">
        <v>169</v>
      </c>
      <c r="I2041" s="45"/>
      <c r="J2041" s="45"/>
      <c r="K2041" s="45" t="n">
        <v>1.6</v>
      </c>
      <c r="L2041" s="45" t="s">
        <v>263</v>
      </c>
      <c r="M2041" s="45" t="s">
        <v>259</v>
      </c>
      <c r="N2041" s="45" t="s">
        <v>169</v>
      </c>
      <c r="O2041" s="47" t="n">
        <v>46297.2060763889</v>
      </c>
      <c r="P2041" s="47" t="n">
        <v>46297.2071759259</v>
      </c>
    </row>
    <row r="2042" customFormat="false" ht="15" hidden="false" customHeight="false" outlineLevel="0" collapsed="false">
      <c r="A2042" s="45" t="n">
        <v>2247</v>
      </c>
      <c r="B2042" s="46" t="n">
        <v>46297</v>
      </c>
      <c r="C2042" s="45" t="s">
        <v>133</v>
      </c>
      <c r="D2042" s="45" t="s">
        <v>134</v>
      </c>
      <c r="E2042" s="45" t="s">
        <v>2465</v>
      </c>
      <c r="F2042" s="45" t="s">
        <v>4067</v>
      </c>
      <c r="G2042" s="46" t="n">
        <v>46294</v>
      </c>
      <c r="H2042" s="45" t="s">
        <v>167</v>
      </c>
      <c r="I2042" s="45" t="s">
        <v>176</v>
      </c>
      <c r="J2042" s="45" t="s">
        <v>4068</v>
      </c>
      <c r="K2042" s="45" t="n">
        <v>16.1</v>
      </c>
      <c r="L2042" s="45" t="s">
        <v>263</v>
      </c>
      <c r="M2042" s="45" t="s">
        <v>259</v>
      </c>
      <c r="N2042" s="45" t="s">
        <v>167</v>
      </c>
      <c r="O2042" s="47" t="n">
        <v>46297.2072337963</v>
      </c>
      <c r="P2042" s="47" t="n">
        <v>46297.2183912037</v>
      </c>
    </row>
    <row r="2043" customFormat="false" ht="15" hidden="false" customHeight="false" outlineLevel="0" collapsed="false">
      <c r="A2043" s="45" t="n">
        <v>2248</v>
      </c>
      <c r="B2043" s="46" t="n">
        <v>46297</v>
      </c>
      <c r="C2043" s="45" t="s">
        <v>139</v>
      </c>
      <c r="D2043" s="45" t="s">
        <v>140</v>
      </c>
      <c r="E2043" s="45" t="s">
        <v>2816</v>
      </c>
      <c r="F2043" s="45" t="s">
        <v>4069</v>
      </c>
      <c r="G2043" s="46" t="n">
        <v>46290</v>
      </c>
      <c r="H2043" s="45" t="s">
        <v>167</v>
      </c>
      <c r="I2043" s="45" t="s">
        <v>178</v>
      </c>
      <c r="J2043" s="45" t="s">
        <v>4070</v>
      </c>
      <c r="K2043" s="45" t="n">
        <v>79.9</v>
      </c>
      <c r="L2043" s="45" t="s">
        <v>263</v>
      </c>
      <c r="M2043" s="45" t="s">
        <v>259</v>
      </c>
      <c r="N2043" s="45" t="s">
        <v>167</v>
      </c>
      <c r="O2043" s="47" t="n">
        <v>46297.2182407407</v>
      </c>
      <c r="P2043" s="47" t="n">
        <v>46297.2737268519</v>
      </c>
    </row>
    <row r="2044" customFormat="false" ht="15" hidden="false" customHeight="false" outlineLevel="0" collapsed="false">
      <c r="A2044" s="45" t="n">
        <v>2249</v>
      </c>
      <c r="B2044" s="46" t="n">
        <v>46297</v>
      </c>
      <c r="C2044" s="45" t="s">
        <v>133</v>
      </c>
      <c r="D2044" s="45" t="s">
        <v>134</v>
      </c>
      <c r="E2044" s="45" t="s">
        <v>4055</v>
      </c>
      <c r="F2044" s="45" t="s">
        <v>4071</v>
      </c>
      <c r="G2044" s="46" t="n">
        <v>46293</v>
      </c>
      <c r="H2044" s="45" t="s">
        <v>167</v>
      </c>
      <c r="I2044" s="45" t="s">
        <v>179</v>
      </c>
      <c r="J2044" s="45" t="s">
        <v>4072</v>
      </c>
      <c r="K2044" s="45" t="n">
        <v>15.1</v>
      </c>
      <c r="L2044" s="45" t="s">
        <v>263</v>
      </c>
      <c r="M2044" s="45" t="s">
        <v>259</v>
      </c>
      <c r="N2044" s="45" t="s">
        <v>167</v>
      </c>
      <c r="O2044" s="47" t="n">
        <v>46297.6937152778</v>
      </c>
      <c r="P2044" s="47" t="n">
        <v>46297.7041782407</v>
      </c>
    </row>
    <row r="2045" customFormat="false" ht="15" hidden="false" customHeight="false" outlineLevel="0" collapsed="false">
      <c r="A2045" s="45" t="n">
        <v>2250</v>
      </c>
      <c r="B2045" s="46" t="n">
        <v>46297</v>
      </c>
      <c r="C2045" s="45" t="s">
        <v>139</v>
      </c>
      <c r="D2045" s="45" t="s">
        <v>140</v>
      </c>
      <c r="E2045" s="45" t="s">
        <v>4073</v>
      </c>
      <c r="F2045" s="45" t="s">
        <v>4074</v>
      </c>
      <c r="G2045" s="46" t="n">
        <v>46289</v>
      </c>
      <c r="H2045" s="45" t="s">
        <v>167</v>
      </c>
      <c r="I2045" s="45" t="s">
        <v>176</v>
      </c>
      <c r="J2045" s="45" t="s">
        <v>4075</v>
      </c>
      <c r="K2045" s="45" t="n">
        <v>116.6</v>
      </c>
      <c r="L2045" s="45" t="s">
        <v>263</v>
      </c>
      <c r="M2045" s="45" t="s">
        <v>259</v>
      </c>
      <c r="N2045" s="45" t="s">
        <v>167</v>
      </c>
      <c r="O2045" s="47" t="n">
        <v>46297.9250115741</v>
      </c>
      <c r="P2045" s="47" t="n">
        <v>46298.0059953704</v>
      </c>
    </row>
    <row r="2046" customFormat="false" ht="15" hidden="false" customHeight="false" outlineLevel="0" collapsed="false">
      <c r="A2046" s="45" t="n">
        <v>2254</v>
      </c>
      <c r="B2046" s="46" t="n">
        <v>46298</v>
      </c>
      <c r="C2046" s="45" t="s">
        <v>147</v>
      </c>
      <c r="D2046" s="45" t="s">
        <v>148</v>
      </c>
      <c r="E2046" s="45" t="s">
        <v>3722</v>
      </c>
      <c r="F2046" s="45" t="s">
        <v>4076</v>
      </c>
      <c r="G2046" s="46" t="n">
        <v>46296</v>
      </c>
      <c r="H2046" s="45" t="s">
        <v>167</v>
      </c>
      <c r="I2046" s="45" t="s">
        <v>178</v>
      </c>
      <c r="J2046" s="45" t="s">
        <v>4077</v>
      </c>
      <c r="K2046" s="45" t="n">
        <v>119.7</v>
      </c>
      <c r="L2046" s="45" t="s">
        <v>263</v>
      </c>
      <c r="M2046" s="45" t="s">
        <v>259</v>
      </c>
      <c r="N2046" s="45" t="s">
        <v>167</v>
      </c>
      <c r="O2046" s="47" t="n">
        <v>46298.0207291667</v>
      </c>
      <c r="P2046" s="47" t="n">
        <v>46298.1038541667</v>
      </c>
    </row>
    <row r="2047" customFormat="false" ht="15" hidden="false" customHeight="false" outlineLevel="0" collapsed="false">
      <c r="A2047" s="45" t="n">
        <v>2251</v>
      </c>
      <c r="B2047" s="46" t="n">
        <v>46298</v>
      </c>
      <c r="C2047" s="45" t="s">
        <v>131</v>
      </c>
      <c r="D2047" s="45" t="s">
        <v>132</v>
      </c>
      <c r="E2047" s="45" t="s">
        <v>3544</v>
      </c>
      <c r="F2047" s="45" t="s">
        <v>4078</v>
      </c>
      <c r="G2047" s="46" t="n">
        <v>46296</v>
      </c>
      <c r="H2047" s="45" t="s">
        <v>168</v>
      </c>
      <c r="I2047" s="45" t="s">
        <v>191</v>
      </c>
      <c r="J2047" s="45" t="s">
        <v>4079</v>
      </c>
      <c r="K2047" s="45" t="n">
        <v>4.2</v>
      </c>
      <c r="L2047" s="45" t="s">
        <v>259</v>
      </c>
      <c r="M2047" s="45" t="s">
        <v>259</v>
      </c>
      <c r="N2047" s="45" t="s">
        <v>2559</v>
      </c>
      <c r="O2047" s="47" t="n">
        <v>46298.0731365741</v>
      </c>
      <c r="P2047" s="47" t="n">
        <v>46298.0760532407</v>
      </c>
    </row>
    <row r="2048" customFormat="false" ht="15" hidden="false" customHeight="false" outlineLevel="0" collapsed="false">
      <c r="A2048" s="45" t="n">
        <v>2252</v>
      </c>
      <c r="B2048" s="46" t="n">
        <v>46298</v>
      </c>
      <c r="C2048" s="45" t="s">
        <v>131</v>
      </c>
      <c r="D2048" s="45" t="s">
        <v>132</v>
      </c>
      <c r="E2048" s="45" t="s">
        <v>3943</v>
      </c>
      <c r="F2048" s="45" t="s">
        <v>4080</v>
      </c>
      <c r="G2048" s="46" t="n">
        <v>46266</v>
      </c>
      <c r="H2048" s="45" t="s">
        <v>167</v>
      </c>
      <c r="I2048" s="45" t="s">
        <v>176</v>
      </c>
      <c r="J2048" s="45" t="s">
        <v>4081</v>
      </c>
      <c r="K2048" s="45" t="n">
        <v>1.4</v>
      </c>
      <c r="L2048" s="45" t="s">
        <v>259</v>
      </c>
      <c r="M2048" s="45" t="s">
        <v>259</v>
      </c>
      <c r="N2048" s="45" t="s">
        <v>167</v>
      </c>
      <c r="O2048" s="47" t="n">
        <v>46298.0780324074</v>
      </c>
      <c r="P2048" s="47" t="n">
        <v>46298.0789699074</v>
      </c>
    </row>
    <row r="2049" customFormat="false" ht="15" hidden="false" customHeight="false" outlineLevel="0" collapsed="false">
      <c r="A2049" s="45" t="n">
        <v>2253</v>
      </c>
      <c r="B2049" s="46" t="n">
        <v>46298</v>
      </c>
      <c r="C2049" s="45" t="s">
        <v>131</v>
      </c>
      <c r="D2049" s="45" t="s">
        <v>132</v>
      </c>
      <c r="E2049" s="45" t="s">
        <v>2226</v>
      </c>
      <c r="F2049" s="45" t="s">
        <v>4082</v>
      </c>
      <c r="G2049" s="46" t="n">
        <v>46296</v>
      </c>
      <c r="H2049" s="45" t="s">
        <v>168</v>
      </c>
      <c r="I2049" s="45" t="s">
        <v>193</v>
      </c>
      <c r="J2049" s="45" t="s">
        <v>4083</v>
      </c>
      <c r="K2049" s="45" t="n">
        <v>4.2</v>
      </c>
      <c r="L2049" s="45" t="s">
        <v>259</v>
      </c>
      <c r="M2049" s="45" t="s">
        <v>259</v>
      </c>
      <c r="N2049" s="45" t="s">
        <v>2559</v>
      </c>
      <c r="O2049" s="47" t="n">
        <v>46298.0826388889</v>
      </c>
      <c r="P2049" s="47" t="n">
        <v>46298.0855671296</v>
      </c>
    </row>
    <row r="2050" customFormat="false" ht="15" hidden="false" customHeight="false" outlineLevel="0" collapsed="false">
      <c r="A2050" s="45" t="n">
        <v>2379</v>
      </c>
      <c r="B2050" s="46" t="n">
        <v>46298</v>
      </c>
      <c r="C2050" s="45" t="s">
        <v>131</v>
      </c>
      <c r="D2050" s="45" t="s">
        <v>132</v>
      </c>
      <c r="E2050" s="45" t="s">
        <v>2143</v>
      </c>
      <c r="F2050" s="45" t="s">
        <v>4084</v>
      </c>
      <c r="G2050" s="46" t="n">
        <v>46300</v>
      </c>
      <c r="H2050" s="45" t="s">
        <v>167</v>
      </c>
      <c r="I2050" s="45" t="s">
        <v>180</v>
      </c>
      <c r="J2050" s="45" t="s">
        <v>4085</v>
      </c>
      <c r="K2050" s="45" t="n">
        <v>5661.3</v>
      </c>
      <c r="L2050" s="45" t="s">
        <v>263</v>
      </c>
      <c r="M2050" s="45" t="s">
        <v>259</v>
      </c>
      <c r="N2050" s="45" t="s">
        <v>167</v>
      </c>
      <c r="O2050" s="47" t="n">
        <v>46298.0871064815</v>
      </c>
      <c r="P2050" s="47" t="n">
        <v>46302.018587963</v>
      </c>
    </row>
    <row r="2051" customFormat="false" ht="15" hidden="false" customHeight="false" outlineLevel="0" collapsed="false">
      <c r="A2051" s="45" t="n">
        <v>2255</v>
      </c>
      <c r="B2051" s="46" t="n">
        <v>46298</v>
      </c>
      <c r="C2051" s="45" t="s">
        <v>147</v>
      </c>
      <c r="D2051" s="45" t="s">
        <v>148</v>
      </c>
      <c r="E2051" s="45" t="s">
        <v>3724</v>
      </c>
      <c r="F2051" s="45" t="s">
        <v>4086</v>
      </c>
      <c r="G2051" s="46" t="n">
        <v>46297</v>
      </c>
      <c r="H2051" s="45" t="s">
        <v>168</v>
      </c>
      <c r="I2051" s="45" t="s">
        <v>191</v>
      </c>
      <c r="J2051" s="45" t="s">
        <v>4087</v>
      </c>
      <c r="K2051" s="45" t="n">
        <v>23.4</v>
      </c>
      <c r="L2051" s="45" t="s">
        <v>263</v>
      </c>
      <c r="M2051" s="45" t="s">
        <v>259</v>
      </c>
      <c r="N2051" s="45" t="s">
        <v>2559</v>
      </c>
      <c r="O2051" s="47" t="n">
        <v>46298.1206134259</v>
      </c>
      <c r="P2051" s="47" t="n">
        <v>46298.1368865741</v>
      </c>
    </row>
    <row r="2052" customFormat="false" ht="15" hidden="false" customHeight="false" outlineLevel="0" collapsed="false">
      <c r="A2052" s="45" t="n">
        <v>2256</v>
      </c>
      <c r="B2052" s="46" t="n">
        <v>46298</v>
      </c>
      <c r="C2052" s="45" t="s">
        <v>147</v>
      </c>
      <c r="D2052" s="45" t="s">
        <v>148</v>
      </c>
      <c r="E2052" s="45" t="s">
        <v>3771</v>
      </c>
      <c r="F2052" s="45" t="s">
        <v>4088</v>
      </c>
      <c r="G2052" s="46" t="n">
        <v>46293</v>
      </c>
      <c r="H2052" s="45" t="s">
        <v>168</v>
      </c>
      <c r="I2052" s="45" t="s">
        <v>192</v>
      </c>
      <c r="J2052" s="45" t="s">
        <v>4089</v>
      </c>
      <c r="K2052" s="45" t="n">
        <v>2.7</v>
      </c>
      <c r="L2052" s="45" t="s">
        <v>263</v>
      </c>
      <c r="M2052" s="45" t="s">
        <v>259</v>
      </c>
      <c r="N2052" s="45" t="s">
        <v>2559</v>
      </c>
      <c r="O2052" s="47" t="n">
        <v>46298.14</v>
      </c>
      <c r="P2052" s="47" t="n">
        <v>46298.1418518519</v>
      </c>
    </row>
    <row r="2053" customFormat="false" ht="15" hidden="false" customHeight="false" outlineLevel="0" collapsed="false">
      <c r="A2053" s="45" t="n">
        <v>2257</v>
      </c>
      <c r="B2053" s="46" t="n">
        <v>46298</v>
      </c>
      <c r="C2053" s="45" t="s">
        <v>147</v>
      </c>
      <c r="D2053" s="45" t="s">
        <v>148</v>
      </c>
      <c r="E2053" s="45" t="s">
        <v>3722</v>
      </c>
      <c r="F2053" s="45" t="s">
        <v>4090</v>
      </c>
      <c r="G2053" s="46" t="n">
        <v>46293</v>
      </c>
      <c r="H2053" s="45" t="s">
        <v>168</v>
      </c>
      <c r="I2053" s="45" t="s">
        <v>191</v>
      </c>
      <c r="J2053" s="45" t="s">
        <v>4091</v>
      </c>
      <c r="K2053" s="45" t="n">
        <v>3</v>
      </c>
      <c r="L2053" s="45" t="s">
        <v>263</v>
      </c>
      <c r="M2053" s="45" t="s">
        <v>259</v>
      </c>
      <c r="N2053" s="45" t="s">
        <v>2559</v>
      </c>
      <c r="O2053" s="47" t="n">
        <v>46298.1419907407</v>
      </c>
      <c r="P2053" s="47" t="n">
        <v>46298.1441087963</v>
      </c>
    </row>
    <row r="2054" customFormat="false" ht="15" hidden="false" customHeight="false" outlineLevel="0" collapsed="false">
      <c r="A2054" s="45" t="n">
        <v>2258</v>
      </c>
      <c r="B2054" s="46" t="n">
        <v>46298</v>
      </c>
      <c r="C2054" s="45" t="s">
        <v>147</v>
      </c>
      <c r="D2054" s="45" t="s">
        <v>148</v>
      </c>
      <c r="E2054" s="45" t="s">
        <v>3771</v>
      </c>
      <c r="F2054" s="45" t="s">
        <v>4092</v>
      </c>
      <c r="G2054" s="46" t="n">
        <v>46294</v>
      </c>
      <c r="H2054" s="45" t="s">
        <v>168</v>
      </c>
      <c r="I2054" s="45" t="s">
        <v>191</v>
      </c>
      <c r="J2054" s="45" t="s">
        <v>4093</v>
      </c>
      <c r="K2054" s="45" t="n">
        <v>5.4</v>
      </c>
      <c r="L2054" s="45" t="s">
        <v>263</v>
      </c>
      <c r="M2054" s="45" t="s">
        <v>259</v>
      </c>
      <c r="N2054" s="45" t="s">
        <v>2559</v>
      </c>
      <c r="O2054" s="47" t="n">
        <v>46298.1441666667</v>
      </c>
      <c r="P2054" s="47" t="n">
        <v>46298.1479166667</v>
      </c>
    </row>
    <row r="2055" customFormat="false" ht="15" hidden="false" customHeight="false" outlineLevel="0" collapsed="false">
      <c r="A2055" s="45" t="n">
        <v>2259</v>
      </c>
      <c r="B2055" s="46" t="n">
        <v>46298</v>
      </c>
      <c r="C2055" s="45" t="s">
        <v>147</v>
      </c>
      <c r="D2055" s="45" t="s">
        <v>148</v>
      </c>
      <c r="E2055" s="45" t="s">
        <v>3724</v>
      </c>
      <c r="F2055" s="45" t="s">
        <v>4094</v>
      </c>
      <c r="G2055" s="46" t="n">
        <v>46295</v>
      </c>
      <c r="H2055" s="45" t="s">
        <v>167</v>
      </c>
      <c r="I2055" s="45" t="s">
        <v>187</v>
      </c>
      <c r="J2055" s="45" t="s">
        <v>4095</v>
      </c>
      <c r="K2055" s="45" t="n">
        <v>2.9</v>
      </c>
      <c r="L2055" s="45" t="s">
        <v>263</v>
      </c>
      <c r="M2055" s="45" t="s">
        <v>259</v>
      </c>
      <c r="N2055" s="45" t="s">
        <v>167</v>
      </c>
      <c r="O2055" s="47" t="n">
        <v>46298.1589930556</v>
      </c>
      <c r="P2055" s="47" t="n">
        <v>46298.1610185185</v>
      </c>
    </row>
    <row r="2056" customFormat="false" ht="15" hidden="false" customHeight="false" outlineLevel="0" collapsed="false">
      <c r="A2056" s="45" t="n">
        <v>2260</v>
      </c>
      <c r="B2056" s="46" t="n">
        <v>46298</v>
      </c>
      <c r="C2056" s="45" t="s">
        <v>147</v>
      </c>
      <c r="D2056" s="45" t="s">
        <v>148</v>
      </c>
      <c r="E2056" s="45" t="s">
        <v>4096</v>
      </c>
      <c r="F2056" s="45" t="s">
        <v>4097</v>
      </c>
      <c r="G2056" s="46" t="n">
        <v>46296</v>
      </c>
      <c r="H2056" s="45" t="s">
        <v>168</v>
      </c>
      <c r="I2056" s="45" t="s">
        <v>191</v>
      </c>
      <c r="J2056" s="45" t="s">
        <v>4098</v>
      </c>
      <c r="K2056" s="45" t="n">
        <v>1.7</v>
      </c>
      <c r="L2056" s="45" t="s">
        <v>263</v>
      </c>
      <c r="M2056" s="45" t="s">
        <v>259</v>
      </c>
      <c r="N2056" s="45" t="s">
        <v>2559</v>
      </c>
      <c r="O2056" s="47" t="n">
        <v>46298.1628009259</v>
      </c>
      <c r="P2056" s="47" t="n">
        <v>46298.1639814815</v>
      </c>
    </row>
    <row r="2057" customFormat="false" ht="15" hidden="false" customHeight="false" outlineLevel="0" collapsed="false">
      <c r="A2057" s="45" t="n">
        <v>2261</v>
      </c>
      <c r="B2057" s="46" t="n">
        <v>46298</v>
      </c>
      <c r="C2057" s="45" t="s">
        <v>147</v>
      </c>
      <c r="D2057" s="45" t="s">
        <v>148</v>
      </c>
      <c r="E2057" s="45" t="s">
        <v>3771</v>
      </c>
      <c r="F2057" s="45" t="s">
        <v>4099</v>
      </c>
      <c r="G2057" s="46" t="n">
        <v>46295</v>
      </c>
      <c r="H2057" s="45" t="s">
        <v>168</v>
      </c>
      <c r="I2057" s="45" t="s">
        <v>191</v>
      </c>
      <c r="J2057" s="45" t="s">
        <v>4100</v>
      </c>
      <c r="K2057" s="45" t="n">
        <v>10.4</v>
      </c>
      <c r="L2057" s="45" t="s">
        <v>263</v>
      </c>
      <c r="M2057" s="45" t="s">
        <v>259</v>
      </c>
      <c r="N2057" s="45" t="s">
        <v>2559</v>
      </c>
      <c r="O2057" s="47" t="n">
        <v>46298.1641319445</v>
      </c>
      <c r="P2057" s="47" t="n">
        <v>46298.1713888889</v>
      </c>
    </row>
    <row r="2058" customFormat="false" ht="15" hidden="false" customHeight="false" outlineLevel="0" collapsed="false">
      <c r="A2058" s="45" t="n">
        <v>2262</v>
      </c>
      <c r="B2058" s="46" t="n">
        <v>46298</v>
      </c>
      <c r="C2058" s="45" t="s">
        <v>147</v>
      </c>
      <c r="D2058" s="45" t="s">
        <v>148</v>
      </c>
      <c r="E2058" s="45" t="s">
        <v>4024</v>
      </c>
      <c r="F2058" s="45" t="s">
        <v>4101</v>
      </c>
      <c r="G2058" s="46" t="n">
        <v>46296</v>
      </c>
      <c r="H2058" s="45" t="s">
        <v>169</v>
      </c>
      <c r="I2058" s="45"/>
      <c r="J2058" s="45"/>
      <c r="K2058" s="45" t="n">
        <v>0.6</v>
      </c>
      <c r="L2058" s="45" t="s">
        <v>263</v>
      </c>
      <c r="M2058" s="45" t="s">
        <v>259</v>
      </c>
      <c r="N2058" s="45" t="s">
        <v>169</v>
      </c>
      <c r="O2058" s="47" t="n">
        <v>46298.1726851852</v>
      </c>
      <c r="P2058" s="47" t="n">
        <v>46298.173125</v>
      </c>
    </row>
    <row r="2059" customFormat="false" ht="15" hidden="false" customHeight="false" outlineLevel="0" collapsed="false">
      <c r="A2059" s="45" t="n">
        <v>2263</v>
      </c>
      <c r="B2059" s="46" t="n">
        <v>46298</v>
      </c>
      <c r="C2059" s="45" t="s">
        <v>147</v>
      </c>
      <c r="D2059" s="45" t="s">
        <v>148</v>
      </c>
      <c r="E2059" s="45" t="s">
        <v>3818</v>
      </c>
      <c r="F2059" s="45" t="s">
        <v>4102</v>
      </c>
      <c r="G2059" s="46" t="n">
        <v>46296</v>
      </c>
      <c r="H2059" s="45" t="s">
        <v>168</v>
      </c>
      <c r="I2059" s="45" t="s">
        <v>191</v>
      </c>
      <c r="J2059" s="45" t="s">
        <v>4103</v>
      </c>
      <c r="K2059" s="45" t="n">
        <v>13.2</v>
      </c>
      <c r="L2059" s="45" t="s">
        <v>263</v>
      </c>
      <c r="M2059" s="45" t="s">
        <v>259</v>
      </c>
      <c r="N2059" s="45" t="s">
        <v>2559</v>
      </c>
      <c r="O2059" s="47" t="n">
        <v>46298.1731481482</v>
      </c>
      <c r="P2059" s="47" t="n">
        <v>46298.1823148148</v>
      </c>
    </row>
    <row r="2060" customFormat="false" ht="15" hidden="false" customHeight="false" outlineLevel="0" collapsed="false">
      <c r="A2060" s="45" t="n">
        <v>2264</v>
      </c>
      <c r="B2060" s="46" t="n">
        <v>46298</v>
      </c>
      <c r="C2060" s="45" t="s">
        <v>147</v>
      </c>
      <c r="D2060" s="45" t="s">
        <v>148</v>
      </c>
      <c r="E2060" s="45" t="s">
        <v>3771</v>
      </c>
      <c r="F2060" s="45" t="s">
        <v>4104</v>
      </c>
      <c r="G2060" s="46" t="n">
        <v>46293</v>
      </c>
      <c r="H2060" s="45" t="s">
        <v>168</v>
      </c>
      <c r="I2060" s="45" t="s">
        <v>192</v>
      </c>
      <c r="J2060" s="45" t="s">
        <v>4105</v>
      </c>
      <c r="K2060" s="45" t="n">
        <v>1.3</v>
      </c>
      <c r="L2060" s="45" t="s">
        <v>259</v>
      </c>
      <c r="M2060" s="45" t="s">
        <v>259</v>
      </c>
      <c r="N2060" s="45" t="s">
        <v>2559</v>
      </c>
      <c r="O2060" s="47" t="n">
        <v>46298.1926273148</v>
      </c>
      <c r="P2060" s="47" t="n">
        <v>46298.1935300926</v>
      </c>
    </row>
    <row r="2061" customFormat="false" ht="15" hidden="false" customHeight="false" outlineLevel="0" collapsed="false">
      <c r="A2061" s="45" t="n">
        <v>2265</v>
      </c>
      <c r="B2061" s="46" t="n">
        <v>46298</v>
      </c>
      <c r="C2061" s="45" t="s">
        <v>147</v>
      </c>
      <c r="D2061" s="45" t="s">
        <v>148</v>
      </c>
      <c r="E2061" s="45" t="s">
        <v>4000</v>
      </c>
      <c r="F2061" s="45" t="s">
        <v>4106</v>
      </c>
      <c r="G2061" s="46" t="n">
        <v>46294</v>
      </c>
      <c r="H2061" s="45" t="s">
        <v>167</v>
      </c>
      <c r="I2061" s="45" t="s">
        <v>180</v>
      </c>
      <c r="J2061" s="45" t="s">
        <v>4107</v>
      </c>
      <c r="K2061" s="45" t="n">
        <v>1.7</v>
      </c>
      <c r="L2061" s="45" t="s">
        <v>263</v>
      </c>
      <c r="M2061" s="45" t="s">
        <v>259</v>
      </c>
      <c r="N2061" s="45" t="s">
        <v>167</v>
      </c>
      <c r="O2061" s="47" t="n">
        <v>46298.1974421296</v>
      </c>
      <c r="P2061" s="47" t="n">
        <v>46298.198599537</v>
      </c>
    </row>
    <row r="2062" customFormat="false" ht="15" hidden="false" customHeight="false" outlineLevel="0" collapsed="false">
      <c r="A2062" s="45" t="n">
        <v>2266</v>
      </c>
      <c r="B2062" s="46" t="n">
        <v>46298</v>
      </c>
      <c r="C2062" s="45" t="s">
        <v>139</v>
      </c>
      <c r="D2062" s="45" t="s">
        <v>140</v>
      </c>
      <c r="E2062" s="45" t="s">
        <v>4108</v>
      </c>
      <c r="F2062" s="45" t="s">
        <v>4109</v>
      </c>
      <c r="G2062" s="46" t="n">
        <v>46296</v>
      </c>
      <c r="H2062" s="45" t="s">
        <v>167</v>
      </c>
      <c r="I2062" s="45" t="s">
        <v>176</v>
      </c>
      <c r="J2062" s="45" t="s">
        <v>3671</v>
      </c>
      <c r="K2062" s="45" t="n">
        <v>0.3</v>
      </c>
      <c r="L2062" s="45" t="s">
        <v>259</v>
      </c>
      <c r="M2062" s="45" t="s">
        <v>259</v>
      </c>
      <c r="N2062" s="45" t="s">
        <v>167</v>
      </c>
      <c r="O2062" s="47" t="n">
        <v>46298.1999074074</v>
      </c>
      <c r="P2062" s="47" t="n">
        <v>46298.200150463</v>
      </c>
    </row>
    <row r="2063" customFormat="false" ht="15" hidden="false" customHeight="false" outlineLevel="0" collapsed="false">
      <c r="A2063" s="45" t="n">
        <v>2267</v>
      </c>
      <c r="B2063" s="46" t="n">
        <v>46299</v>
      </c>
      <c r="C2063" s="45" t="s">
        <v>141</v>
      </c>
      <c r="D2063" s="45" t="s">
        <v>142</v>
      </c>
      <c r="E2063" s="45" t="s">
        <v>1027</v>
      </c>
      <c r="F2063" s="45" t="s">
        <v>4110</v>
      </c>
      <c r="G2063" s="46" t="n">
        <v>46258</v>
      </c>
      <c r="H2063" s="45" t="s">
        <v>167</v>
      </c>
      <c r="I2063" s="45" t="s">
        <v>176</v>
      </c>
      <c r="J2063" s="45" t="s">
        <v>4111</v>
      </c>
      <c r="K2063" s="45" t="n">
        <v>0.5</v>
      </c>
      <c r="L2063" s="45" t="s">
        <v>263</v>
      </c>
      <c r="M2063" s="45" t="s">
        <v>259</v>
      </c>
      <c r="N2063" s="45" t="s">
        <v>167</v>
      </c>
      <c r="O2063" s="47" t="n">
        <v>46299.0147337963</v>
      </c>
      <c r="P2063" s="47" t="n">
        <v>46299.0151041667</v>
      </c>
    </row>
    <row r="2064" customFormat="false" ht="15" hidden="false" customHeight="false" outlineLevel="0" collapsed="false">
      <c r="A2064" s="45" t="n">
        <v>2268</v>
      </c>
      <c r="B2064" s="46" t="n">
        <v>46299</v>
      </c>
      <c r="C2064" s="45" t="s">
        <v>141</v>
      </c>
      <c r="D2064" s="45" t="s">
        <v>142</v>
      </c>
      <c r="E2064" s="45" t="s">
        <v>4112</v>
      </c>
      <c r="F2064" s="45" t="s">
        <v>4113</v>
      </c>
      <c r="G2064" s="46" t="n">
        <v>46287</v>
      </c>
      <c r="H2064" s="45" t="s">
        <v>167</v>
      </c>
      <c r="I2064" s="45" t="s">
        <v>185</v>
      </c>
      <c r="J2064" s="45" t="s">
        <v>4114</v>
      </c>
      <c r="K2064" s="45" t="n">
        <v>31.8</v>
      </c>
      <c r="L2064" s="45" t="s">
        <v>263</v>
      </c>
      <c r="M2064" s="45" t="s">
        <v>259</v>
      </c>
      <c r="N2064" s="45" t="s">
        <v>167</v>
      </c>
      <c r="O2064" s="47" t="n">
        <v>46299.0156712963</v>
      </c>
      <c r="P2064" s="47" t="n">
        <v>46299.0377430556</v>
      </c>
    </row>
    <row r="2065" customFormat="false" ht="15" hidden="false" customHeight="false" outlineLevel="0" collapsed="false">
      <c r="A2065" s="45" t="n">
        <v>2269</v>
      </c>
      <c r="B2065" s="46" t="n">
        <v>46299</v>
      </c>
      <c r="C2065" s="45" t="s">
        <v>141</v>
      </c>
      <c r="D2065" s="45" t="s">
        <v>142</v>
      </c>
      <c r="E2065" s="45" t="s">
        <v>224</v>
      </c>
      <c r="F2065" s="45" t="s">
        <v>4115</v>
      </c>
      <c r="G2065" s="46" t="n">
        <v>46256</v>
      </c>
      <c r="H2065" s="45" t="s">
        <v>57</v>
      </c>
      <c r="I2065" s="45" t="s">
        <v>200</v>
      </c>
      <c r="J2065" s="45" t="s">
        <v>4116</v>
      </c>
      <c r="K2065" s="45" t="n">
        <v>12.1</v>
      </c>
      <c r="L2065" s="45" t="s">
        <v>263</v>
      </c>
      <c r="M2065" s="45" t="s">
        <v>259</v>
      </c>
      <c r="N2065" s="45" t="s">
        <v>57</v>
      </c>
      <c r="O2065" s="47" t="n">
        <v>46299.0411226852</v>
      </c>
      <c r="P2065" s="47" t="n">
        <v>46299.0495486111</v>
      </c>
    </row>
    <row r="2066" customFormat="false" ht="15" hidden="false" customHeight="false" outlineLevel="0" collapsed="false">
      <c r="A2066" s="45" t="n">
        <v>2270</v>
      </c>
      <c r="B2066" s="46" t="n">
        <v>46299</v>
      </c>
      <c r="C2066" s="45" t="s">
        <v>141</v>
      </c>
      <c r="D2066" s="45" t="s">
        <v>142</v>
      </c>
      <c r="E2066" s="45" t="s">
        <v>917</v>
      </c>
      <c r="F2066" s="45" t="s">
        <v>4117</v>
      </c>
      <c r="G2066" s="46" t="n">
        <v>46288</v>
      </c>
      <c r="H2066" s="45" t="s">
        <v>169</v>
      </c>
      <c r="I2066" s="45"/>
      <c r="J2066" s="45"/>
      <c r="K2066" s="45" t="n">
        <v>0.4</v>
      </c>
      <c r="L2066" s="45" t="s">
        <v>263</v>
      </c>
      <c r="M2066" s="45" t="s">
        <v>259</v>
      </c>
      <c r="N2066" s="45" t="s">
        <v>169</v>
      </c>
      <c r="O2066" s="47" t="n">
        <v>46299.0511226852</v>
      </c>
      <c r="P2066" s="47" t="n">
        <v>46299.051400463</v>
      </c>
    </row>
    <row r="2067" customFormat="false" ht="15" hidden="false" customHeight="false" outlineLevel="0" collapsed="false">
      <c r="A2067" s="45" t="n">
        <v>2271</v>
      </c>
      <c r="B2067" s="46" t="n">
        <v>46299</v>
      </c>
      <c r="C2067" s="45" t="s">
        <v>141</v>
      </c>
      <c r="D2067" s="45" t="s">
        <v>142</v>
      </c>
      <c r="E2067" s="45" t="s">
        <v>3223</v>
      </c>
      <c r="F2067" s="45" t="s">
        <v>4118</v>
      </c>
      <c r="G2067" s="46" t="n">
        <v>46288</v>
      </c>
      <c r="H2067" s="45" t="s">
        <v>167</v>
      </c>
      <c r="I2067" s="45" t="s">
        <v>176</v>
      </c>
      <c r="J2067" s="45" t="s">
        <v>4119</v>
      </c>
      <c r="K2067" s="45" t="n">
        <v>42.5</v>
      </c>
      <c r="L2067" s="45" t="s">
        <v>263</v>
      </c>
      <c r="M2067" s="45" t="s">
        <v>259</v>
      </c>
      <c r="N2067" s="45" t="s">
        <v>167</v>
      </c>
      <c r="O2067" s="47" t="n">
        <v>46299.0516319444</v>
      </c>
      <c r="P2067" s="47" t="n">
        <v>46299.0811342593</v>
      </c>
    </row>
    <row r="2068" customFormat="false" ht="15" hidden="false" customHeight="false" outlineLevel="0" collapsed="false">
      <c r="A2068" s="45" t="n">
        <v>2272</v>
      </c>
      <c r="B2068" s="46" t="n">
        <v>46299</v>
      </c>
      <c r="C2068" s="45" t="s">
        <v>141</v>
      </c>
      <c r="D2068" s="45" t="s">
        <v>142</v>
      </c>
      <c r="E2068" s="45" t="s">
        <v>1027</v>
      </c>
      <c r="F2068" s="45" t="s">
        <v>4120</v>
      </c>
      <c r="G2068" s="46" t="n">
        <v>46260</v>
      </c>
      <c r="H2068" s="45" t="s">
        <v>167</v>
      </c>
      <c r="I2068" s="45" t="s">
        <v>176</v>
      </c>
      <c r="J2068" s="45" t="s">
        <v>4121</v>
      </c>
      <c r="K2068" s="45" t="n">
        <v>2.5</v>
      </c>
      <c r="L2068" s="45" t="s">
        <v>263</v>
      </c>
      <c r="M2068" s="45" t="s">
        <v>259</v>
      </c>
      <c r="N2068" s="45" t="s">
        <v>167</v>
      </c>
      <c r="O2068" s="47" t="n">
        <v>46299.0811689815</v>
      </c>
      <c r="P2068" s="47" t="n">
        <v>46299.0828703704</v>
      </c>
    </row>
    <row r="2069" customFormat="false" ht="15" hidden="false" customHeight="false" outlineLevel="0" collapsed="false">
      <c r="A2069" s="45" t="n">
        <v>2273</v>
      </c>
      <c r="B2069" s="46" t="n">
        <v>46299</v>
      </c>
      <c r="C2069" s="45" t="s">
        <v>141</v>
      </c>
      <c r="D2069" s="45" t="s">
        <v>142</v>
      </c>
      <c r="E2069" s="45" t="s">
        <v>453</v>
      </c>
      <c r="F2069" s="45" t="s">
        <v>4122</v>
      </c>
      <c r="G2069" s="46" t="n">
        <v>46256</v>
      </c>
      <c r="H2069" s="45" t="s">
        <v>167</v>
      </c>
      <c r="I2069" s="45" t="s">
        <v>176</v>
      </c>
      <c r="J2069" s="45" t="s">
        <v>4123</v>
      </c>
      <c r="K2069" s="45" t="n">
        <v>1.5</v>
      </c>
      <c r="L2069" s="45" t="s">
        <v>259</v>
      </c>
      <c r="M2069" s="45" t="s">
        <v>259</v>
      </c>
      <c r="N2069" s="45" t="s">
        <v>167</v>
      </c>
      <c r="O2069" s="47" t="n">
        <v>46299.0829282407</v>
      </c>
      <c r="P2069" s="47" t="n">
        <v>46299.0839467593</v>
      </c>
    </row>
    <row r="2070" customFormat="false" ht="15" hidden="false" customHeight="false" outlineLevel="0" collapsed="false">
      <c r="A2070" s="45" t="n">
        <v>2274</v>
      </c>
      <c r="B2070" s="46" t="n">
        <v>46299</v>
      </c>
      <c r="C2070" s="45" t="s">
        <v>141</v>
      </c>
      <c r="D2070" s="45" t="s">
        <v>142</v>
      </c>
      <c r="E2070" s="45" t="s">
        <v>453</v>
      </c>
      <c r="F2070" s="45" t="s">
        <v>4122</v>
      </c>
      <c r="G2070" s="46" t="n">
        <v>46256</v>
      </c>
      <c r="H2070" s="45" t="s">
        <v>167</v>
      </c>
      <c r="I2070" s="45" t="s">
        <v>184</v>
      </c>
      <c r="J2070" s="45" t="s">
        <v>2681</v>
      </c>
      <c r="K2070" s="45" t="n">
        <v>0.8</v>
      </c>
      <c r="L2070" s="45" t="s">
        <v>259</v>
      </c>
      <c r="M2070" s="45" t="s">
        <v>259</v>
      </c>
      <c r="N2070" s="45" t="s">
        <v>167</v>
      </c>
      <c r="O2070" s="47" t="n">
        <v>46299.0845486111</v>
      </c>
      <c r="P2070" s="47" t="n">
        <v>46299.0851157407</v>
      </c>
    </row>
    <row r="2071" customFormat="false" ht="15" hidden="false" customHeight="false" outlineLevel="0" collapsed="false">
      <c r="A2071" s="45" t="n">
        <v>2275</v>
      </c>
      <c r="B2071" s="46" t="n">
        <v>46299</v>
      </c>
      <c r="C2071" s="45" t="s">
        <v>141</v>
      </c>
      <c r="D2071" s="45" t="s">
        <v>142</v>
      </c>
      <c r="E2071" s="45" t="s">
        <v>453</v>
      </c>
      <c r="F2071" s="45" t="s">
        <v>4124</v>
      </c>
      <c r="G2071" s="46" t="n">
        <v>46257</v>
      </c>
      <c r="H2071" s="45" t="s">
        <v>170</v>
      </c>
      <c r="I2071" s="45" t="s">
        <v>208</v>
      </c>
      <c r="J2071" s="45" t="s">
        <v>4125</v>
      </c>
      <c r="K2071" s="45" t="n">
        <v>1.4</v>
      </c>
      <c r="L2071" s="45" t="s">
        <v>263</v>
      </c>
      <c r="M2071" s="45" t="s">
        <v>259</v>
      </c>
      <c r="N2071" s="45" t="s">
        <v>2649</v>
      </c>
      <c r="O2071" s="47" t="n">
        <v>46299.0852546296</v>
      </c>
      <c r="P2071" s="47" t="n">
        <v>46299.0862268519</v>
      </c>
    </row>
    <row r="2072" customFormat="false" ht="15" hidden="false" customHeight="false" outlineLevel="0" collapsed="false">
      <c r="A2072" s="45" t="n">
        <v>2276</v>
      </c>
      <c r="B2072" s="46" t="n">
        <v>46299</v>
      </c>
      <c r="C2072" s="45" t="s">
        <v>139</v>
      </c>
      <c r="D2072" s="45" t="s">
        <v>140</v>
      </c>
      <c r="E2072" s="45" t="s">
        <v>4126</v>
      </c>
      <c r="F2072" s="45" t="s">
        <v>4127</v>
      </c>
      <c r="G2072" s="46" t="n">
        <v>46291</v>
      </c>
      <c r="H2072" s="45" t="s">
        <v>167</v>
      </c>
      <c r="I2072" s="45" t="s">
        <v>176</v>
      </c>
      <c r="J2072" s="45" t="s">
        <v>4033</v>
      </c>
      <c r="K2072" s="45" t="n">
        <v>0.4</v>
      </c>
      <c r="L2072" s="45" t="s">
        <v>263</v>
      </c>
      <c r="M2072" s="45" t="s">
        <v>259</v>
      </c>
      <c r="N2072" s="45" t="s">
        <v>167</v>
      </c>
      <c r="O2072" s="47" t="n">
        <v>46299.0944212963</v>
      </c>
      <c r="P2072" s="47" t="n">
        <v>46299.0947106482</v>
      </c>
    </row>
    <row r="2073" customFormat="false" ht="15" hidden="false" customHeight="false" outlineLevel="0" collapsed="false">
      <c r="A2073" s="45" t="n">
        <v>2277</v>
      </c>
      <c r="B2073" s="46" t="n">
        <v>46299</v>
      </c>
      <c r="C2073" s="45" t="s">
        <v>141</v>
      </c>
      <c r="D2073" s="45" t="s">
        <v>142</v>
      </c>
      <c r="E2073" s="45" t="s">
        <v>453</v>
      </c>
      <c r="F2073" s="45" t="s">
        <v>4128</v>
      </c>
      <c r="G2073" s="46" t="n">
        <v>46259</v>
      </c>
      <c r="H2073" s="45" t="s">
        <v>169</v>
      </c>
      <c r="I2073" s="45"/>
      <c r="J2073" s="45"/>
      <c r="K2073" s="45" t="n">
        <v>0.3</v>
      </c>
      <c r="L2073" s="45" t="s">
        <v>263</v>
      </c>
      <c r="M2073" s="45" t="s">
        <v>259</v>
      </c>
      <c r="N2073" s="45" t="s">
        <v>169</v>
      </c>
      <c r="O2073" s="47" t="n">
        <v>46299.1046527778</v>
      </c>
      <c r="P2073" s="47" t="n">
        <v>46299.104837963</v>
      </c>
    </row>
    <row r="2074" customFormat="false" ht="15" hidden="false" customHeight="false" outlineLevel="0" collapsed="false">
      <c r="A2074" s="45" t="n">
        <v>2278</v>
      </c>
      <c r="B2074" s="46" t="n">
        <v>46299</v>
      </c>
      <c r="C2074" s="45" t="s">
        <v>141</v>
      </c>
      <c r="D2074" s="45" t="s">
        <v>142</v>
      </c>
      <c r="E2074" s="45" t="s">
        <v>453</v>
      </c>
      <c r="F2074" s="45" t="s">
        <v>4129</v>
      </c>
      <c r="G2074" s="46" t="n">
        <v>46259</v>
      </c>
      <c r="H2074" s="45" t="s">
        <v>168</v>
      </c>
      <c r="I2074" s="45" t="s">
        <v>191</v>
      </c>
      <c r="J2074" s="45" t="s">
        <v>4130</v>
      </c>
      <c r="K2074" s="45" t="n">
        <v>2.4</v>
      </c>
      <c r="L2074" s="45" t="s">
        <v>263</v>
      </c>
      <c r="M2074" s="45" t="s">
        <v>259</v>
      </c>
      <c r="N2074" s="45" t="s">
        <v>2559</v>
      </c>
      <c r="O2074" s="47" t="n">
        <v>46299.1049421296</v>
      </c>
      <c r="P2074" s="47" t="n">
        <v>46299.1066319444</v>
      </c>
    </row>
    <row r="2075" customFormat="false" ht="15" hidden="false" customHeight="false" outlineLevel="0" collapsed="false">
      <c r="A2075" s="45" t="n">
        <v>2279</v>
      </c>
      <c r="B2075" s="46" t="n">
        <v>46299</v>
      </c>
      <c r="C2075" s="45" t="s">
        <v>141</v>
      </c>
      <c r="D2075" s="45" t="s">
        <v>142</v>
      </c>
      <c r="E2075" s="45" t="s">
        <v>453</v>
      </c>
      <c r="F2075" s="45" t="s">
        <v>4131</v>
      </c>
      <c r="G2075" s="46" t="n">
        <v>46262</v>
      </c>
      <c r="H2075" s="45" t="s">
        <v>57</v>
      </c>
      <c r="I2075" s="45" t="s">
        <v>201</v>
      </c>
      <c r="J2075" s="45" t="s">
        <v>4132</v>
      </c>
      <c r="K2075" s="45" t="n">
        <v>0.6</v>
      </c>
      <c r="L2075" s="45" t="s">
        <v>263</v>
      </c>
      <c r="M2075" s="45" t="s">
        <v>259</v>
      </c>
      <c r="N2075" s="45" t="s">
        <v>57</v>
      </c>
      <c r="O2075" s="47" t="n">
        <v>46299.1074537037</v>
      </c>
      <c r="P2075" s="47" t="n">
        <v>46299.1078703704</v>
      </c>
    </row>
    <row r="2076" customFormat="false" ht="15" hidden="false" customHeight="false" outlineLevel="0" collapsed="false">
      <c r="A2076" s="45" t="n">
        <v>2280</v>
      </c>
      <c r="B2076" s="46" t="n">
        <v>46299</v>
      </c>
      <c r="C2076" s="45" t="s">
        <v>141</v>
      </c>
      <c r="D2076" s="45" t="s">
        <v>142</v>
      </c>
      <c r="E2076" s="45" t="s">
        <v>4112</v>
      </c>
      <c r="F2076" s="45" t="s">
        <v>4133</v>
      </c>
      <c r="G2076" s="46" t="n">
        <v>46255</v>
      </c>
      <c r="H2076" s="45" t="s">
        <v>167</v>
      </c>
      <c r="I2076" s="45" t="s">
        <v>179</v>
      </c>
      <c r="J2076" s="45" t="s">
        <v>4134</v>
      </c>
      <c r="K2076" s="45" t="n">
        <v>0.3</v>
      </c>
      <c r="L2076" s="45" t="s">
        <v>263</v>
      </c>
      <c r="M2076" s="45" t="s">
        <v>259</v>
      </c>
      <c r="N2076" s="45" t="s">
        <v>167</v>
      </c>
      <c r="O2076" s="47" t="n">
        <v>46299.1080208333</v>
      </c>
      <c r="P2076" s="47" t="n">
        <v>46299.1082523148</v>
      </c>
    </row>
    <row r="2077" customFormat="false" ht="15" hidden="false" customHeight="false" outlineLevel="0" collapsed="false">
      <c r="A2077" s="45" t="n">
        <v>2281</v>
      </c>
      <c r="B2077" s="46" t="n">
        <v>46299</v>
      </c>
      <c r="C2077" s="45" t="s">
        <v>141</v>
      </c>
      <c r="D2077" s="45" t="s">
        <v>142</v>
      </c>
      <c r="E2077" s="45" t="s">
        <v>4112</v>
      </c>
      <c r="F2077" s="45" t="s">
        <v>4135</v>
      </c>
      <c r="G2077" s="46" t="n">
        <v>46256</v>
      </c>
      <c r="H2077" s="45" t="s">
        <v>167</v>
      </c>
      <c r="I2077" s="45" t="s">
        <v>176</v>
      </c>
      <c r="J2077" s="45" t="s">
        <v>4136</v>
      </c>
      <c r="K2077" s="45" t="n">
        <v>0.2</v>
      </c>
      <c r="L2077" s="45" t="s">
        <v>263</v>
      </c>
      <c r="M2077" s="45" t="s">
        <v>259</v>
      </c>
      <c r="N2077" s="45" t="s">
        <v>167</v>
      </c>
      <c r="O2077" s="47" t="n">
        <v>46299.1083680556</v>
      </c>
      <c r="P2077" s="47" t="n">
        <v>46299.1085300926</v>
      </c>
    </row>
    <row r="2078" customFormat="false" ht="15" hidden="false" customHeight="false" outlineLevel="0" collapsed="false">
      <c r="A2078" s="45" t="n">
        <v>2282</v>
      </c>
      <c r="B2078" s="46" t="n">
        <v>46299</v>
      </c>
      <c r="C2078" s="45" t="s">
        <v>141</v>
      </c>
      <c r="D2078" s="45" t="s">
        <v>142</v>
      </c>
      <c r="E2078" s="45" t="s">
        <v>3981</v>
      </c>
      <c r="F2078" s="45" t="s">
        <v>3982</v>
      </c>
      <c r="G2078" s="46" t="n">
        <v>46256</v>
      </c>
      <c r="H2078" s="45" t="s">
        <v>167</v>
      </c>
      <c r="I2078" s="45" t="s">
        <v>184</v>
      </c>
      <c r="J2078" s="45" t="s">
        <v>3983</v>
      </c>
      <c r="K2078" s="45" t="n">
        <v>0.3</v>
      </c>
      <c r="L2078" s="45" t="s">
        <v>259</v>
      </c>
      <c r="M2078" s="45" t="s">
        <v>259</v>
      </c>
      <c r="N2078" s="45" t="s">
        <v>167</v>
      </c>
      <c r="O2078" s="47" t="n">
        <v>46299.1086574074</v>
      </c>
      <c r="P2078" s="47" t="n">
        <v>46299.1088541667</v>
      </c>
    </row>
    <row r="2079" customFormat="false" ht="15" hidden="false" customHeight="false" outlineLevel="0" collapsed="false">
      <c r="A2079" s="45" t="n">
        <v>2283</v>
      </c>
      <c r="B2079" s="46" t="n">
        <v>46299</v>
      </c>
      <c r="C2079" s="45" t="s">
        <v>141</v>
      </c>
      <c r="D2079" s="45" t="s">
        <v>142</v>
      </c>
      <c r="E2079" s="45" t="s">
        <v>3981</v>
      </c>
      <c r="F2079" s="45" t="s">
        <v>4137</v>
      </c>
      <c r="G2079" s="46" t="n">
        <v>46256</v>
      </c>
      <c r="H2079" s="45" t="s">
        <v>167</v>
      </c>
      <c r="I2079" s="45" t="s">
        <v>184</v>
      </c>
      <c r="J2079" s="45" t="s">
        <v>4138</v>
      </c>
      <c r="K2079" s="45" t="n">
        <v>0.4</v>
      </c>
      <c r="L2079" s="45" t="s">
        <v>263</v>
      </c>
      <c r="M2079" s="45" t="s">
        <v>259</v>
      </c>
      <c r="N2079" s="45" t="s">
        <v>167</v>
      </c>
      <c r="O2079" s="47" t="n">
        <v>46299.1090162037</v>
      </c>
      <c r="P2079" s="47" t="n">
        <v>46299.1092939815</v>
      </c>
    </row>
    <row r="2080" customFormat="false" ht="15" hidden="false" customHeight="false" outlineLevel="0" collapsed="false">
      <c r="A2080" s="45" t="n">
        <v>2284</v>
      </c>
      <c r="B2080" s="46" t="n">
        <v>46299</v>
      </c>
      <c r="C2080" s="45" t="s">
        <v>141</v>
      </c>
      <c r="D2080" s="45" t="s">
        <v>142</v>
      </c>
      <c r="E2080" s="45" t="s">
        <v>4112</v>
      </c>
      <c r="F2080" s="45" t="s">
        <v>4139</v>
      </c>
      <c r="G2080" s="46" t="n">
        <v>46258</v>
      </c>
      <c r="H2080" s="45" t="s">
        <v>167</v>
      </c>
      <c r="I2080" s="45" t="s">
        <v>176</v>
      </c>
      <c r="J2080" s="45" t="s">
        <v>4140</v>
      </c>
      <c r="K2080" s="45" t="n">
        <v>0.5</v>
      </c>
      <c r="L2080" s="45" t="s">
        <v>263</v>
      </c>
      <c r="M2080" s="45" t="s">
        <v>259</v>
      </c>
      <c r="N2080" s="45" t="s">
        <v>167</v>
      </c>
      <c r="O2080" s="47" t="n">
        <v>46299.1093402778</v>
      </c>
      <c r="P2080" s="47" t="n">
        <v>46299.1096875</v>
      </c>
    </row>
    <row r="2081" customFormat="false" ht="15" hidden="false" customHeight="false" outlineLevel="0" collapsed="false">
      <c r="A2081" s="45" t="n">
        <v>2285</v>
      </c>
      <c r="B2081" s="46" t="n">
        <v>46299</v>
      </c>
      <c r="C2081" s="45" t="s">
        <v>141</v>
      </c>
      <c r="D2081" s="45" t="s">
        <v>142</v>
      </c>
      <c r="E2081" s="45" t="s">
        <v>4141</v>
      </c>
      <c r="F2081" s="45" t="s">
        <v>4142</v>
      </c>
      <c r="G2081" s="46" t="n">
        <v>46258</v>
      </c>
      <c r="H2081" s="45" t="s">
        <v>57</v>
      </c>
      <c r="I2081" s="45" t="s">
        <v>201</v>
      </c>
      <c r="J2081" s="45" t="s">
        <v>4143</v>
      </c>
      <c r="K2081" s="45" t="n">
        <v>0.6</v>
      </c>
      <c r="L2081" s="45" t="s">
        <v>263</v>
      </c>
      <c r="M2081" s="45" t="s">
        <v>259</v>
      </c>
      <c r="N2081" s="45" t="s">
        <v>57</v>
      </c>
      <c r="O2081" s="47" t="n">
        <v>46299.1097453704</v>
      </c>
      <c r="P2081" s="47" t="n">
        <v>46299.1101273148</v>
      </c>
    </row>
    <row r="2082" customFormat="false" ht="15" hidden="false" customHeight="false" outlineLevel="0" collapsed="false">
      <c r="A2082" s="45" t="n">
        <v>2286</v>
      </c>
      <c r="B2082" s="46" t="n">
        <v>46299</v>
      </c>
      <c r="C2082" s="45" t="s">
        <v>141</v>
      </c>
      <c r="D2082" s="45" t="s">
        <v>142</v>
      </c>
      <c r="E2082" s="45" t="s">
        <v>4144</v>
      </c>
      <c r="F2082" s="45" t="s">
        <v>4145</v>
      </c>
      <c r="G2082" s="46" t="n">
        <v>46259</v>
      </c>
      <c r="H2082" s="45" t="s">
        <v>167</v>
      </c>
      <c r="I2082" s="45" t="s">
        <v>184</v>
      </c>
      <c r="J2082" s="45" t="s">
        <v>4146</v>
      </c>
      <c r="K2082" s="45" t="n">
        <v>0.7</v>
      </c>
      <c r="L2082" s="45" t="s">
        <v>263</v>
      </c>
      <c r="M2082" s="45" t="s">
        <v>259</v>
      </c>
      <c r="N2082" s="45" t="s">
        <v>167</v>
      </c>
      <c r="O2082" s="47" t="n">
        <v>46299.1101967593</v>
      </c>
      <c r="P2082" s="47" t="n">
        <v>46299.1106828704</v>
      </c>
    </row>
    <row r="2083" customFormat="false" ht="15" hidden="false" customHeight="false" outlineLevel="0" collapsed="false">
      <c r="A2083" s="45" t="n">
        <v>2287</v>
      </c>
      <c r="B2083" s="46" t="n">
        <v>46299</v>
      </c>
      <c r="C2083" s="45" t="s">
        <v>141</v>
      </c>
      <c r="D2083" s="45" t="s">
        <v>142</v>
      </c>
      <c r="E2083" s="45" t="s">
        <v>224</v>
      </c>
      <c r="F2083" s="45" t="s">
        <v>4147</v>
      </c>
      <c r="G2083" s="46" t="n">
        <v>46261</v>
      </c>
      <c r="H2083" s="45" t="s">
        <v>168</v>
      </c>
      <c r="I2083" s="45" t="s">
        <v>191</v>
      </c>
      <c r="J2083" s="45" t="s">
        <v>4148</v>
      </c>
      <c r="K2083" s="45" t="n">
        <v>0.7</v>
      </c>
      <c r="L2083" s="45" t="s">
        <v>263</v>
      </c>
      <c r="M2083" s="45" t="s">
        <v>259</v>
      </c>
      <c r="N2083" s="45" t="s">
        <v>2559</v>
      </c>
      <c r="O2083" s="47" t="n">
        <v>46299.1107291667</v>
      </c>
      <c r="P2083" s="47" t="n">
        <v>46299.1111805556</v>
      </c>
    </row>
    <row r="2084" customFormat="false" ht="15" hidden="false" customHeight="false" outlineLevel="0" collapsed="false">
      <c r="A2084" s="45" t="n">
        <v>2288</v>
      </c>
      <c r="B2084" s="46" t="n">
        <v>46299</v>
      </c>
      <c r="C2084" s="45" t="s">
        <v>141</v>
      </c>
      <c r="D2084" s="45" t="s">
        <v>142</v>
      </c>
      <c r="E2084" s="45" t="s">
        <v>2282</v>
      </c>
      <c r="F2084" s="45" t="s">
        <v>4149</v>
      </c>
      <c r="G2084" s="46" t="n">
        <v>46260</v>
      </c>
      <c r="H2084" s="45" t="s">
        <v>168</v>
      </c>
      <c r="I2084" s="45" t="s">
        <v>191</v>
      </c>
      <c r="J2084" s="45" t="s">
        <v>4150</v>
      </c>
      <c r="K2084" s="45" t="n">
        <v>1.6</v>
      </c>
      <c r="L2084" s="45" t="s">
        <v>263</v>
      </c>
      <c r="M2084" s="45" t="s">
        <v>259</v>
      </c>
      <c r="N2084" s="45" t="s">
        <v>2559</v>
      </c>
      <c r="O2084" s="47" t="n">
        <v>46299.1115625</v>
      </c>
      <c r="P2084" s="47" t="n">
        <v>46299.1126388889</v>
      </c>
    </row>
    <row r="2085" customFormat="false" ht="15" hidden="false" customHeight="false" outlineLevel="0" collapsed="false">
      <c r="A2085" s="45" t="n">
        <v>2289</v>
      </c>
      <c r="B2085" s="46" t="n">
        <v>46299</v>
      </c>
      <c r="C2085" s="45" t="s">
        <v>141</v>
      </c>
      <c r="D2085" s="45" t="s">
        <v>142</v>
      </c>
      <c r="E2085" s="45" t="s">
        <v>1623</v>
      </c>
      <c r="F2085" s="45" t="s">
        <v>4151</v>
      </c>
      <c r="G2085" s="46" t="n">
        <v>46266</v>
      </c>
      <c r="H2085" s="45" t="s">
        <v>168</v>
      </c>
      <c r="I2085" s="45" t="s">
        <v>191</v>
      </c>
      <c r="J2085" s="45" t="s">
        <v>4152</v>
      </c>
      <c r="K2085" s="45" t="n">
        <v>0.5</v>
      </c>
      <c r="L2085" s="45" t="s">
        <v>263</v>
      </c>
      <c r="M2085" s="45" t="s">
        <v>259</v>
      </c>
      <c r="N2085" s="45" t="s">
        <v>2559</v>
      </c>
      <c r="O2085" s="47" t="n">
        <v>46299.1987384259</v>
      </c>
      <c r="P2085" s="47" t="n">
        <v>46299.1990856482</v>
      </c>
    </row>
    <row r="2086" customFormat="false" ht="15" hidden="false" customHeight="false" outlineLevel="0" collapsed="false">
      <c r="A2086" s="45" t="n">
        <v>2290</v>
      </c>
      <c r="B2086" s="46" t="n">
        <v>46299</v>
      </c>
      <c r="C2086" s="45" t="s">
        <v>141</v>
      </c>
      <c r="D2086" s="45" t="s">
        <v>142</v>
      </c>
      <c r="E2086" s="45" t="s">
        <v>917</v>
      </c>
      <c r="F2086" s="45" t="s">
        <v>4153</v>
      </c>
      <c r="G2086" s="46" t="n">
        <v>46263</v>
      </c>
      <c r="H2086" s="45" t="s">
        <v>167</v>
      </c>
      <c r="I2086" s="45" t="s">
        <v>176</v>
      </c>
      <c r="J2086" s="45" t="s">
        <v>4154</v>
      </c>
      <c r="K2086" s="45" t="n">
        <v>0.3</v>
      </c>
      <c r="L2086" s="45" t="s">
        <v>263</v>
      </c>
      <c r="M2086" s="45" t="s">
        <v>259</v>
      </c>
      <c r="N2086" s="45" t="s">
        <v>167</v>
      </c>
      <c r="O2086" s="47" t="n">
        <v>46299.1991203704</v>
      </c>
      <c r="P2086" s="47" t="n">
        <v>46299.1993055556</v>
      </c>
    </row>
    <row r="2087" customFormat="false" ht="15" hidden="false" customHeight="false" outlineLevel="0" collapsed="false">
      <c r="A2087" s="45" t="n">
        <v>2291</v>
      </c>
      <c r="B2087" s="46" t="n">
        <v>46299</v>
      </c>
      <c r="C2087" s="45" t="s">
        <v>141</v>
      </c>
      <c r="D2087" s="45" t="s">
        <v>142</v>
      </c>
      <c r="E2087" s="45" t="s">
        <v>4155</v>
      </c>
      <c r="F2087" s="45" t="s">
        <v>4156</v>
      </c>
      <c r="G2087" s="46" t="n">
        <v>46266</v>
      </c>
      <c r="H2087" s="45" t="s">
        <v>167</v>
      </c>
      <c r="I2087" s="45" t="s">
        <v>184</v>
      </c>
      <c r="J2087" s="45" t="s">
        <v>4157</v>
      </c>
      <c r="K2087" s="45" t="n">
        <v>0.3</v>
      </c>
      <c r="L2087" s="45" t="s">
        <v>263</v>
      </c>
      <c r="M2087" s="45" t="s">
        <v>259</v>
      </c>
      <c r="N2087" s="45" t="s">
        <v>167</v>
      </c>
      <c r="O2087" s="47" t="n">
        <v>46299.1993634259</v>
      </c>
      <c r="P2087" s="47" t="n">
        <v>46299.1995833333</v>
      </c>
    </row>
    <row r="2088" customFormat="false" ht="15" hidden="false" customHeight="false" outlineLevel="0" collapsed="false">
      <c r="A2088" s="45" t="n">
        <v>2292</v>
      </c>
      <c r="B2088" s="46" t="n">
        <v>46299</v>
      </c>
      <c r="C2088" s="45" t="s">
        <v>141</v>
      </c>
      <c r="D2088" s="45" t="s">
        <v>142</v>
      </c>
      <c r="E2088" s="45" t="s">
        <v>4141</v>
      </c>
      <c r="F2088" s="45" t="s">
        <v>4158</v>
      </c>
      <c r="G2088" s="46" t="n">
        <v>46290</v>
      </c>
      <c r="H2088" s="45" t="s">
        <v>168</v>
      </c>
      <c r="I2088" s="45" t="s">
        <v>191</v>
      </c>
      <c r="J2088" s="45" t="s">
        <v>4159</v>
      </c>
      <c r="K2088" s="45" t="n">
        <v>0.9</v>
      </c>
      <c r="L2088" s="45" t="s">
        <v>263</v>
      </c>
      <c r="M2088" s="45" t="s">
        <v>259</v>
      </c>
      <c r="N2088" s="45" t="s">
        <v>2559</v>
      </c>
      <c r="O2088" s="47" t="n">
        <v>46299.2000462963</v>
      </c>
      <c r="P2088" s="47" t="n">
        <v>46299.2006481482</v>
      </c>
    </row>
    <row r="2089" customFormat="false" ht="15" hidden="false" customHeight="false" outlineLevel="0" collapsed="false">
      <c r="A2089" s="45" t="n">
        <v>2293</v>
      </c>
      <c r="B2089" s="46" t="n">
        <v>46299</v>
      </c>
      <c r="C2089" s="45" t="s">
        <v>141</v>
      </c>
      <c r="D2089" s="45" t="s">
        <v>142</v>
      </c>
      <c r="E2089" s="45" t="s">
        <v>4112</v>
      </c>
      <c r="F2089" s="45" t="s">
        <v>4160</v>
      </c>
      <c r="G2089" s="46" t="n">
        <v>46261</v>
      </c>
      <c r="H2089" s="45" t="s">
        <v>167</v>
      </c>
      <c r="I2089" s="45" t="s">
        <v>176</v>
      </c>
      <c r="J2089" s="45" t="s">
        <v>4161</v>
      </c>
      <c r="K2089" s="45" t="n">
        <v>0.7</v>
      </c>
      <c r="L2089" s="45" t="s">
        <v>263</v>
      </c>
      <c r="M2089" s="45" t="s">
        <v>259</v>
      </c>
      <c r="N2089" s="45" t="s">
        <v>167</v>
      </c>
      <c r="O2089" s="47" t="n">
        <v>46299.2007407407</v>
      </c>
      <c r="P2089" s="47" t="n">
        <v>46299.20125</v>
      </c>
    </row>
    <row r="2090" customFormat="false" ht="15" hidden="false" customHeight="false" outlineLevel="0" collapsed="false">
      <c r="A2090" s="45" t="n">
        <v>2294</v>
      </c>
      <c r="B2090" s="46" t="n">
        <v>46299</v>
      </c>
      <c r="C2090" s="45" t="s">
        <v>141</v>
      </c>
      <c r="D2090" s="45" t="s">
        <v>142</v>
      </c>
      <c r="E2090" s="45" t="s">
        <v>224</v>
      </c>
      <c r="F2090" s="45" t="s">
        <v>4162</v>
      </c>
      <c r="G2090" s="46" t="n">
        <v>46262</v>
      </c>
      <c r="H2090" s="45" t="s">
        <v>168</v>
      </c>
      <c r="I2090" s="45" t="s">
        <v>191</v>
      </c>
      <c r="J2090" s="45" t="s">
        <v>4161</v>
      </c>
      <c r="K2090" s="45" t="n">
        <v>0.9</v>
      </c>
      <c r="L2090" s="45" t="s">
        <v>263</v>
      </c>
      <c r="M2090" s="45" t="s">
        <v>259</v>
      </c>
      <c r="N2090" s="45" t="s">
        <v>2559</v>
      </c>
      <c r="O2090" s="47" t="n">
        <v>46299.2013425926</v>
      </c>
      <c r="P2090" s="47" t="n">
        <v>46299.2019791667</v>
      </c>
    </row>
    <row r="2091" customFormat="false" ht="15" hidden="false" customHeight="false" outlineLevel="0" collapsed="false">
      <c r="A2091" s="45" t="n">
        <v>2295</v>
      </c>
      <c r="B2091" s="46" t="n">
        <v>46301</v>
      </c>
      <c r="C2091" s="45" t="s">
        <v>151</v>
      </c>
      <c r="D2091" s="45" t="s">
        <v>152</v>
      </c>
      <c r="E2091" s="45" t="s">
        <v>4163</v>
      </c>
      <c r="F2091" s="45" t="s">
        <v>4164</v>
      </c>
      <c r="G2091" s="46" t="n">
        <v>46297</v>
      </c>
      <c r="H2091" s="45" t="s">
        <v>168</v>
      </c>
      <c r="I2091" s="45" t="s">
        <v>191</v>
      </c>
      <c r="J2091" s="45" t="s">
        <v>4165</v>
      </c>
      <c r="K2091" s="45" t="n">
        <v>45.5</v>
      </c>
      <c r="L2091" s="45" t="s">
        <v>263</v>
      </c>
      <c r="M2091" s="45" t="s">
        <v>259</v>
      </c>
      <c r="N2091" s="45" t="s">
        <v>2559</v>
      </c>
      <c r="O2091" s="47" t="n">
        <v>46301.0116203704</v>
      </c>
      <c r="P2091" s="47" t="n">
        <v>46301.0432060185</v>
      </c>
    </row>
    <row r="2092" customFormat="false" ht="15" hidden="false" customHeight="false" outlineLevel="0" collapsed="false">
      <c r="A2092" s="45" t="n">
        <v>2296</v>
      </c>
      <c r="B2092" s="46" t="n">
        <v>46301</v>
      </c>
      <c r="C2092" s="45" t="s">
        <v>151</v>
      </c>
      <c r="D2092" s="45" t="s">
        <v>152</v>
      </c>
      <c r="E2092" s="45" t="s">
        <v>4163</v>
      </c>
      <c r="F2092" s="45" t="s">
        <v>4166</v>
      </c>
      <c r="G2092" s="46" t="n">
        <v>46296</v>
      </c>
      <c r="H2092" s="45" t="s">
        <v>167</v>
      </c>
      <c r="I2092" s="45" t="s">
        <v>176</v>
      </c>
      <c r="J2092" s="45" t="s">
        <v>4167</v>
      </c>
      <c r="K2092" s="45" t="n">
        <v>11.8</v>
      </c>
      <c r="L2092" s="45" t="s">
        <v>263</v>
      </c>
      <c r="M2092" s="45" t="s">
        <v>259</v>
      </c>
      <c r="N2092" s="45" t="s">
        <v>167</v>
      </c>
      <c r="O2092" s="47" t="n">
        <v>46301.0432407407</v>
      </c>
      <c r="P2092" s="47" t="n">
        <v>46301.0514583333</v>
      </c>
    </row>
    <row r="2093" customFormat="false" ht="15" hidden="false" customHeight="false" outlineLevel="0" collapsed="false">
      <c r="A2093" s="45" t="n">
        <v>2299</v>
      </c>
      <c r="B2093" s="46" t="n">
        <v>46301</v>
      </c>
      <c r="C2093" s="45" t="s">
        <v>151</v>
      </c>
      <c r="D2093" s="45" t="s">
        <v>152</v>
      </c>
      <c r="E2093" s="45" t="s">
        <v>4163</v>
      </c>
      <c r="F2093" s="45" t="s">
        <v>4168</v>
      </c>
      <c r="G2093" s="46" t="n">
        <v>46296</v>
      </c>
      <c r="H2093" s="45" t="s">
        <v>168</v>
      </c>
      <c r="I2093" s="45" t="s">
        <v>193</v>
      </c>
      <c r="J2093" s="45" t="s">
        <v>4169</v>
      </c>
      <c r="K2093" s="45" t="n">
        <v>117.8</v>
      </c>
      <c r="L2093" s="45" t="s">
        <v>263</v>
      </c>
      <c r="M2093" s="45" t="s">
        <v>259</v>
      </c>
      <c r="N2093" s="45" t="s">
        <v>2559</v>
      </c>
      <c r="O2093" s="47" t="n">
        <v>46301.0521643519</v>
      </c>
      <c r="P2093" s="47" t="n">
        <v>46301.1339583333</v>
      </c>
    </row>
    <row r="2094" customFormat="false" ht="15" hidden="false" customHeight="false" outlineLevel="0" collapsed="false">
      <c r="A2094" s="45" t="n">
        <v>2297</v>
      </c>
      <c r="B2094" s="46" t="n">
        <v>46301</v>
      </c>
      <c r="C2094" s="45" t="s">
        <v>147</v>
      </c>
      <c r="D2094" s="45" t="s">
        <v>148</v>
      </c>
      <c r="E2094" s="45" t="s">
        <v>4000</v>
      </c>
      <c r="F2094" s="45" t="s">
        <v>4001</v>
      </c>
      <c r="G2094" s="46" t="n">
        <v>46317</v>
      </c>
      <c r="H2094" s="45" t="s">
        <v>168</v>
      </c>
      <c r="I2094" s="45" t="s">
        <v>191</v>
      </c>
      <c r="J2094" s="45" t="s">
        <v>4170</v>
      </c>
      <c r="K2094" s="45" t="n">
        <v>5</v>
      </c>
      <c r="L2094" s="45" t="s">
        <v>259</v>
      </c>
      <c r="M2094" s="45" t="s">
        <v>259</v>
      </c>
      <c r="N2094" s="45" t="s">
        <v>2559</v>
      </c>
      <c r="O2094" s="47" t="n">
        <v>46301.1267361111</v>
      </c>
      <c r="P2094" s="47" t="n">
        <v>46301.1301967593</v>
      </c>
    </row>
    <row r="2095" customFormat="false" ht="15" hidden="false" customHeight="false" outlineLevel="0" collapsed="false">
      <c r="A2095" s="45" t="n">
        <v>2298</v>
      </c>
      <c r="B2095" s="46" t="n">
        <v>46301</v>
      </c>
      <c r="C2095" s="45" t="s">
        <v>147</v>
      </c>
      <c r="D2095" s="45" t="s">
        <v>148</v>
      </c>
      <c r="E2095" s="45" t="s">
        <v>4002</v>
      </c>
      <c r="F2095" s="45" t="s">
        <v>4003</v>
      </c>
      <c r="G2095" s="46" t="n">
        <v>46287</v>
      </c>
      <c r="H2095" s="45" t="s">
        <v>168</v>
      </c>
      <c r="I2095" s="45" t="s">
        <v>191</v>
      </c>
      <c r="J2095" s="45" t="s">
        <v>4171</v>
      </c>
      <c r="K2095" s="45" t="n">
        <v>3.8</v>
      </c>
      <c r="L2095" s="45" t="s">
        <v>259</v>
      </c>
      <c r="M2095" s="45" t="s">
        <v>259</v>
      </c>
      <c r="N2095" s="45" t="s">
        <v>2559</v>
      </c>
      <c r="O2095" s="47" t="n">
        <v>46301.1311342593</v>
      </c>
      <c r="P2095" s="47" t="n">
        <v>46301.1337384259</v>
      </c>
    </row>
    <row r="2096" customFormat="false" ht="15" hidden="false" customHeight="false" outlineLevel="0" collapsed="false">
      <c r="A2096" s="45" t="n">
        <v>2300</v>
      </c>
      <c r="B2096" s="46" t="n">
        <v>46301</v>
      </c>
      <c r="C2096" s="45" t="s">
        <v>147</v>
      </c>
      <c r="D2096" s="45" t="s">
        <v>148</v>
      </c>
      <c r="E2096" s="45" t="s">
        <v>4002</v>
      </c>
      <c r="F2096" s="45" t="s">
        <v>4004</v>
      </c>
      <c r="G2096" s="46" t="n">
        <v>46288</v>
      </c>
      <c r="H2096" s="45" t="s">
        <v>169</v>
      </c>
      <c r="I2096" s="45"/>
      <c r="J2096" s="45"/>
      <c r="K2096" s="45" t="n">
        <v>1.5</v>
      </c>
      <c r="L2096" s="45" t="s">
        <v>259</v>
      </c>
      <c r="M2096" s="45" t="s">
        <v>259</v>
      </c>
      <c r="N2096" s="45" t="s">
        <v>169</v>
      </c>
      <c r="O2096" s="47" t="n">
        <v>46301.1337615741</v>
      </c>
      <c r="P2096" s="47" t="n">
        <v>46301.1348032407</v>
      </c>
    </row>
    <row r="2097" customFormat="false" ht="15" hidden="false" customHeight="false" outlineLevel="0" collapsed="false">
      <c r="A2097" s="45" t="n">
        <v>2301</v>
      </c>
      <c r="B2097" s="46" t="n">
        <v>46301</v>
      </c>
      <c r="C2097" s="45" t="s">
        <v>147</v>
      </c>
      <c r="D2097" s="45" t="s">
        <v>148</v>
      </c>
      <c r="E2097" s="45" t="s">
        <v>3722</v>
      </c>
      <c r="F2097" s="45" t="s">
        <v>4005</v>
      </c>
      <c r="G2097" s="46" t="n">
        <v>46288</v>
      </c>
      <c r="H2097" s="45" t="s">
        <v>57</v>
      </c>
      <c r="I2097" s="45" t="s">
        <v>202</v>
      </c>
      <c r="J2097" s="45" t="s">
        <v>4172</v>
      </c>
      <c r="K2097" s="45" t="n">
        <v>2.9</v>
      </c>
      <c r="L2097" s="45" t="s">
        <v>259</v>
      </c>
      <c r="M2097" s="45" t="s">
        <v>259</v>
      </c>
      <c r="N2097" s="45" t="s">
        <v>57</v>
      </c>
      <c r="O2097" s="47" t="n">
        <v>46301.139375</v>
      </c>
      <c r="P2097" s="47" t="n">
        <v>46301.141400463</v>
      </c>
    </row>
    <row r="2098" customFormat="false" ht="15" hidden="false" customHeight="false" outlineLevel="0" collapsed="false">
      <c r="A2098" s="45" t="n">
        <v>2302</v>
      </c>
      <c r="B2098" s="46" t="n">
        <v>46301</v>
      </c>
      <c r="C2098" s="45" t="s">
        <v>147</v>
      </c>
      <c r="D2098" s="45" t="s">
        <v>148</v>
      </c>
      <c r="E2098" s="45" t="s">
        <v>3883</v>
      </c>
      <c r="F2098" s="45" t="s">
        <v>4173</v>
      </c>
      <c r="G2098" s="46" t="n">
        <v>46289</v>
      </c>
      <c r="H2098" s="45" t="s">
        <v>57</v>
      </c>
      <c r="I2098" s="45" t="s">
        <v>203</v>
      </c>
      <c r="J2098" s="45" t="s">
        <v>4174</v>
      </c>
      <c r="K2098" s="45" t="n">
        <v>1.1</v>
      </c>
      <c r="L2098" s="45" t="s">
        <v>263</v>
      </c>
      <c r="M2098" s="45" t="s">
        <v>259</v>
      </c>
      <c r="N2098" s="45" t="s">
        <v>57</v>
      </c>
      <c r="O2098" s="47" t="n">
        <v>46301.1445717593</v>
      </c>
      <c r="P2098" s="47" t="n">
        <v>46301.1453240741</v>
      </c>
    </row>
    <row r="2099" customFormat="false" ht="15" hidden="false" customHeight="false" outlineLevel="0" collapsed="false">
      <c r="A2099" s="45" t="n">
        <v>2303</v>
      </c>
      <c r="B2099" s="46" t="n">
        <v>46301</v>
      </c>
      <c r="C2099" s="45" t="s">
        <v>147</v>
      </c>
      <c r="D2099" s="45" t="s">
        <v>148</v>
      </c>
      <c r="E2099" s="45" t="s">
        <v>3724</v>
      </c>
      <c r="F2099" s="45" t="s">
        <v>4175</v>
      </c>
      <c r="G2099" s="46" t="n">
        <v>46290</v>
      </c>
      <c r="H2099" s="45" t="s">
        <v>168</v>
      </c>
      <c r="I2099" s="45" t="s">
        <v>197</v>
      </c>
      <c r="J2099" s="45" t="s">
        <v>4176</v>
      </c>
      <c r="K2099" s="45" t="n">
        <v>6.4</v>
      </c>
      <c r="L2099" s="45" t="s">
        <v>263</v>
      </c>
      <c r="M2099" s="45" t="s">
        <v>259</v>
      </c>
      <c r="N2099" s="45" t="s">
        <v>2559</v>
      </c>
      <c r="O2099" s="47" t="n">
        <v>46301.1462037037</v>
      </c>
      <c r="P2099" s="47" t="n">
        <v>46301.150625</v>
      </c>
    </row>
    <row r="2100" customFormat="false" ht="15" hidden="false" customHeight="false" outlineLevel="0" collapsed="false">
      <c r="A2100" s="45" t="n">
        <v>2304</v>
      </c>
      <c r="B2100" s="46" t="n">
        <v>46301</v>
      </c>
      <c r="C2100" s="45" t="s">
        <v>135</v>
      </c>
      <c r="D2100" s="45" t="s">
        <v>136</v>
      </c>
      <c r="E2100" s="45" t="s">
        <v>236</v>
      </c>
      <c r="F2100" s="45" t="s">
        <v>4177</v>
      </c>
      <c r="G2100" s="46" t="n">
        <v>46299</v>
      </c>
      <c r="H2100" s="45" t="s">
        <v>168</v>
      </c>
      <c r="I2100" s="45" t="s">
        <v>193</v>
      </c>
      <c r="J2100" s="45" t="s">
        <v>4178</v>
      </c>
      <c r="K2100" s="45" t="n">
        <v>0.5</v>
      </c>
      <c r="L2100" s="45" t="s">
        <v>263</v>
      </c>
      <c r="M2100" s="45" t="s">
        <v>259</v>
      </c>
      <c r="N2100" s="45" t="s">
        <v>2559</v>
      </c>
      <c r="O2100" s="47" t="n">
        <v>46301.1506365741</v>
      </c>
      <c r="P2100" s="47" t="n">
        <v>46301.1509606482</v>
      </c>
    </row>
    <row r="2101" customFormat="false" ht="15" hidden="false" customHeight="false" outlineLevel="0" collapsed="false">
      <c r="A2101" s="45" t="n">
        <v>2309</v>
      </c>
      <c r="B2101" s="46" t="n">
        <v>46301</v>
      </c>
      <c r="C2101" s="45" t="s">
        <v>135</v>
      </c>
      <c r="D2101" s="45" t="s">
        <v>136</v>
      </c>
      <c r="E2101" s="45" t="s">
        <v>236</v>
      </c>
      <c r="F2101" s="45" t="s">
        <v>4179</v>
      </c>
      <c r="G2101" s="46" t="n">
        <v>46293</v>
      </c>
      <c r="H2101" s="45" t="s">
        <v>169</v>
      </c>
      <c r="I2101" s="45"/>
      <c r="J2101" s="45"/>
      <c r="K2101" s="45" t="n">
        <v>22.2</v>
      </c>
      <c r="L2101" s="45" t="s">
        <v>263</v>
      </c>
      <c r="M2101" s="45" t="s">
        <v>259</v>
      </c>
      <c r="N2101" s="45" t="s">
        <v>169</v>
      </c>
      <c r="O2101" s="47" t="n">
        <v>46301.1515972222</v>
      </c>
      <c r="P2101" s="47" t="n">
        <v>46301.1669907407</v>
      </c>
    </row>
    <row r="2102" customFormat="false" ht="15" hidden="false" customHeight="false" outlineLevel="0" collapsed="false">
      <c r="A2102" s="45" t="n">
        <v>2305</v>
      </c>
      <c r="B2102" s="46" t="n">
        <v>46301</v>
      </c>
      <c r="C2102" s="45" t="s">
        <v>147</v>
      </c>
      <c r="D2102" s="45" t="s">
        <v>148</v>
      </c>
      <c r="E2102" s="45" t="s">
        <v>3724</v>
      </c>
      <c r="F2102" s="45" t="s">
        <v>4180</v>
      </c>
      <c r="G2102" s="46" t="n">
        <v>46290</v>
      </c>
      <c r="H2102" s="45" t="s">
        <v>167</v>
      </c>
      <c r="I2102" s="45" t="s">
        <v>178</v>
      </c>
      <c r="J2102" s="45" t="s">
        <v>4181</v>
      </c>
      <c r="K2102" s="45" t="n">
        <v>1.5</v>
      </c>
      <c r="L2102" s="45" t="s">
        <v>263</v>
      </c>
      <c r="M2102" s="45" t="s">
        <v>259</v>
      </c>
      <c r="N2102" s="45" t="s">
        <v>167</v>
      </c>
      <c r="O2102" s="47" t="n">
        <v>46301.1519560185</v>
      </c>
      <c r="P2102" s="47" t="n">
        <v>46301.152974537</v>
      </c>
    </row>
    <row r="2103" customFormat="false" ht="15" hidden="false" customHeight="false" outlineLevel="0" collapsed="false">
      <c r="A2103" s="45" t="n">
        <v>2306</v>
      </c>
      <c r="B2103" s="46" t="n">
        <v>46301</v>
      </c>
      <c r="C2103" s="45" t="s">
        <v>147</v>
      </c>
      <c r="D2103" s="45" t="s">
        <v>148</v>
      </c>
      <c r="E2103" s="45" t="s">
        <v>4182</v>
      </c>
      <c r="F2103" s="45" t="s">
        <v>4183</v>
      </c>
      <c r="G2103" s="46" t="n">
        <v>46290</v>
      </c>
      <c r="H2103" s="45" t="s">
        <v>169</v>
      </c>
      <c r="I2103" s="45"/>
      <c r="J2103" s="45"/>
      <c r="K2103" s="45" t="n">
        <v>7.1</v>
      </c>
      <c r="L2103" s="45" t="s">
        <v>263</v>
      </c>
      <c r="M2103" s="45" t="s">
        <v>259</v>
      </c>
      <c r="N2103" s="45" t="s">
        <v>169</v>
      </c>
      <c r="O2103" s="47" t="n">
        <v>46301.1530555556</v>
      </c>
      <c r="P2103" s="47" t="n">
        <v>46301.1579976852</v>
      </c>
    </row>
    <row r="2104" customFormat="false" ht="15" hidden="false" customHeight="false" outlineLevel="0" collapsed="false">
      <c r="A2104" s="45" t="n">
        <v>2327</v>
      </c>
      <c r="B2104" s="46" t="n">
        <v>46301</v>
      </c>
      <c r="C2104" s="45" t="s">
        <v>151</v>
      </c>
      <c r="D2104" s="45" t="s">
        <v>152</v>
      </c>
      <c r="E2104" s="45" t="s">
        <v>4163</v>
      </c>
      <c r="F2104" s="45" t="s">
        <v>79</v>
      </c>
      <c r="G2104" s="46" t="n">
        <v>46294</v>
      </c>
      <c r="H2104" s="45" t="s">
        <v>168</v>
      </c>
      <c r="I2104" s="45" t="s">
        <v>193</v>
      </c>
      <c r="J2104" s="45" t="s">
        <v>4184</v>
      </c>
      <c r="K2104" s="45" t="n">
        <v>107.4</v>
      </c>
      <c r="L2104" s="45" t="s">
        <v>263</v>
      </c>
      <c r="M2104" s="45" t="s">
        <v>259</v>
      </c>
      <c r="N2104" s="45" t="s">
        <v>2559</v>
      </c>
      <c r="O2104" s="47" t="n">
        <v>46301.1538425926</v>
      </c>
      <c r="P2104" s="47" t="n">
        <v>46301.2284259259</v>
      </c>
    </row>
    <row r="2105" customFormat="false" ht="15" hidden="false" customHeight="false" outlineLevel="0" collapsed="false">
      <c r="A2105" s="45" t="n">
        <v>2307</v>
      </c>
      <c r="B2105" s="46" t="n">
        <v>46301</v>
      </c>
      <c r="C2105" s="45" t="s">
        <v>147</v>
      </c>
      <c r="D2105" s="45" t="s">
        <v>148</v>
      </c>
      <c r="E2105" s="45" t="s">
        <v>3722</v>
      </c>
      <c r="F2105" s="45" t="s">
        <v>4185</v>
      </c>
      <c r="G2105" s="46" t="n">
        <v>46290</v>
      </c>
      <c r="H2105" s="45" t="s">
        <v>168</v>
      </c>
      <c r="I2105" s="45" t="s">
        <v>196</v>
      </c>
      <c r="J2105" s="45" t="s">
        <v>4186</v>
      </c>
      <c r="K2105" s="45" t="n">
        <v>1.5</v>
      </c>
      <c r="L2105" s="45" t="s">
        <v>263</v>
      </c>
      <c r="M2105" s="45" t="s">
        <v>259</v>
      </c>
      <c r="N2105" s="45" t="s">
        <v>2559</v>
      </c>
      <c r="O2105" s="47" t="n">
        <v>46301.1599189815</v>
      </c>
      <c r="P2105" s="47" t="n">
        <v>46301.1609490741</v>
      </c>
    </row>
    <row r="2106" customFormat="false" ht="15" hidden="false" customHeight="false" outlineLevel="0" collapsed="false">
      <c r="A2106" s="45" t="n">
        <v>2308</v>
      </c>
      <c r="B2106" s="46" t="n">
        <v>46301</v>
      </c>
      <c r="C2106" s="45" t="s">
        <v>147</v>
      </c>
      <c r="D2106" s="45" t="s">
        <v>148</v>
      </c>
      <c r="E2106" s="45" t="s">
        <v>4024</v>
      </c>
      <c r="F2106" s="45" t="s">
        <v>4187</v>
      </c>
      <c r="G2106" s="46" t="n">
        <v>46290</v>
      </c>
      <c r="H2106" s="45" t="s">
        <v>169</v>
      </c>
      <c r="I2106" s="45"/>
      <c r="J2106" s="45"/>
      <c r="K2106" s="45" t="n">
        <v>3.8</v>
      </c>
      <c r="L2106" s="45" t="s">
        <v>263</v>
      </c>
      <c r="M2106" s="45" t="s">
        <v>259</v>
      </c>
      <c r="N2106" s="45" t="s">
        <v>169</v>
      </c>
      <c r="O2106" s="47" t="n">
        <v>46301.1609953704</v>
      </c>
      <c r="P2106" s="47" t="n">
        <v>46301.163599537</v>
      </c>
    </row>
    <row r="2107" customFormat="false" ht="15" hidden="false" customHeight="false" outlineLevel="0" collapsed="false">
      <c r="A2107" s="45" t="n">
        <v>2310</v>
      </c>
      <c r="B2107" s="46" t="n">
        <v>46301</v>
      </c>
      <c r="C2107" s="45" t="s">
        <v>147</v>
      </c>
      <c r="D2107" s="45" t="s">
        <v>148</v>
      </c>
      <c r="E2107" s="45" t="s">
        <v>3722</v>
      </c>
      <c r="F2107" s="45" t="s">
        <v>4188</v>
      </c>
      <c r="G2107" s="46" t="n">
        <v>46291</v>
      </c>
      <c r="H2107" s="45" t="s">
        <v>168</v>
      </c>
      <c r="I2107" s="45" t="s">
        <v>191</v>
      </c>
      <c r="J2107" s="45" t="s">
        <v>4189</v>
      </c>
      <c r="K2107" s="45" t="n">
        <v>2.9</v>
      </c>
      <c r="L2107" s="45" t="s">
        <v>263</v>
      </c>
      <c r="M2107" s="45" t="s">
        <v>259</v>
      </c>
      <c r="N2107" s="45" t="s">
        <v>2559</v>
      </c>
      <c r="O2107" s="47" t="n">
        <v>46301.1649768519</v>
      </c>
      <c r="P2107" s="47" t="n">
        <v>46301.1669907407</v>
      </c>
    </row>
    <row r="2108" customFormat="false" ht="15" hidden="false" customHeight="false" outlineLevel="0" collapsed="false">
      <c r="A2108" s="45" t="n">
        <v>2311</v>
      </c>
      <c r="B2108" s="46" t="n">
        <v>46301</v>
      </c>
      <c r="C2108" s="45" t="s">
        <v>147</v>
      </c>
      <c r="D2108" s="45" t="s">
        <v>148</v>
      </c>
      <c r="E2108" s="45" t="s">
        <v>4190</v>
      </c>
      <c r="F2108" s="45" t="s">
        <v>4190</v>
      </c>
      <c r="G2108" s="46" t="n">
        <v>46291</v>
      </c>
      <c r="H2108" s="45" t="s">
        <v>168</v>
      </c>
      <c r="I2108" s="45" t="s">
        <v>191</v>
      </c>
      <c r="J2108" s="45" t="s">
        <v>4191</v>
      </c>
      <c r="K2108" s="45" t="n">
        <v>4.2</v>
      </c>
      <c r="L2108" s="45" t="s">
        <v>263</v>
      </c>
      <c r="M2108" s="45" t="s">
        <v>263</v>
      </c>
      <c r="N2108" s="45" t="s">
        <v>2559</v>
      </c>
      <c r="O2108" s="47" t="n">
        <v>46301.1671527778</v>
      </c>
      <c r="P2108" s="47" t="n">
        <v>46301.1701041667</v>
      </c>
    </row>
    <row r="2109" customFormat="false" ht="15" hidden="false" customHeight="false" outlineLevel="0" collapsed="false">
      <c r="A2109" s="45" t="n">
        <v>2319</v>
      </c>
      <c r="B2109" s="46" t="n">
        <v>46301</v>
      </c>
      <c r="C2109" s="45" t="s">
        <v>135</v>
      </c>
      <c r="D2109" s="45" t="s">
        <v>136</v>
      </c>
      <c r="E2109" s="45" t="s">
        <v>236</v>
      </c>
      <c r="F2109" s="45" t="s">
        <v>4192</v>
      </c>
      <c r="G2109" s="46" t="n">
        <v>46292</v>
      </c>
      <c r="H2109" s="45" t="s">
        <v>168</v>
      </c>
      <c r="I2109" s="45" t="s">
        <v>191</v>
      </c>
      <c r="J2109" s="45" t="s">
        <v>4193</v>
      </c>
      <c r="K2109" s="45" t="n">
        <v>48.2</v>
      </c>
      <c r="L2109" s="45" t="s">
        <v>263</v>
      </c>
      <c r="M2109" s="45" t="s">
        <v>259</v>
      </c>
      <c r="N2109" s="45" t="s">
        <v>2559</v>
      </c>
      <c r="O2109" s="47" t="n">
        <v>46301.1673148148</v>
      </c>
      <c r="P2109" s="47" t="n">
        <v>46301.2008101852</v>
      </c>
    </row>
    <row r="2110" customFormat="false" ht="15" hidden="false" customHeight="false" outlineLevel="0" collapsed="false">
      <c r="A2110" s="45" t="n">
        <v>2312</v>
      </c>
      <c r="B2110" s="46" t="n">
        <v>46301</v>
      </c>
      <c r="C2110" s="45" t="s">
        <v>147</v>
      </c>
      <c r="D2110" s="45" t="s">
        <v>148</v>
      </c>
      <c r="E2110" s="45" t="s">
        <v>4194</v>
      </c>
      <c r="F2110" s="45" t="s">
        <v>4195</v>
      </c>
      <c r="G2110" s="46" t="n">
        <v>46291</v>
      </c>
      <c r="H2110" s="45" t="s">
        <v>168</v>
      </c>
      <c r="I2110" s="45" t="s">
        <v>197</v>
      </c>
      <c r="J2110" s="45" t="s">
        <v>4196</v>
      </c>
      <c r="K2110" s="45" t="n">
        <v>0.8</v>
      </c>
      <c r="L2110" s="45" t="s">
        <v>263</v>
      </c>
      <c r="M2110" s="45" t="s">
        <v>259</v>
      </c>
      <c r="N2110" s="45" t="s">
        <v>2559</v>
      </c>
      <c r="O2110" s="47" t="n">
        <v>46301.1757407407</v>
      </c>
      <c r="P2110" s="47" t="n">
        <v>46301.1763078704</v>
      </c>
    </row>
    <row r="2111" customFormat="false" ht="15" hidden="false" customHeight="false" outlineLevel="0" collapsed="false">
      <c r="A2111" s="45" t="n">
        <v>2313</v>
      </c>
      <c r="B2111" s="46" t="n">
        <v>46301</v>
      </c>
      <c r="C2111" s="45" t="s">
        <v>147</v>
      </c>
      <c r="D2111" s="45" t="s">
        <v>148</v>
      </c>
      <c r="E2111" s="45" t="s">
        <v>3722</v>
      </c>
      <c r="F2111" s="45" t="s">
        <v>4197</v>
      </c>
      <c r="G2111" s="46" t="n">
        <v>46322</v>
      </c>
      <c r="H2111" s="45" t="s">
        <v>167</v>
      </c>
      <c r="I2111" s="45" t="s">
        <v>180</v>
      </c>
      <c r="J2111" s="45" t="s">
        <v>4198</v>
      </c>
      <c r="K2111" s="45" t="n">
        <v>1.8</v>
      </c>
      <c r="L2111" s="45" t="s">
        <v>263</v>
      </c>
      <c r="M2111" s="45" t="s">
        <v>259</v>
      </c>
      <c r="N2111" s="45" t="s">
        <v>167</v>
      </c>
      <c r="O2111" s="47" t="n">
        <v>46301.1922916667</v>
      </c>
      <c r="P2111" s="47" t="n">
        <v>46301.1935416667</v>
      </c>
    </row>
    <row r="2112" customFormat="false" ht="15" hidden="false" customHeight="false" outlineLevel="0" collapsed="false">
      <c r="A2112" s="45" t="n">
        <v>2314</v>
      </c>
      <c r="B2112" s="46" t="n">
        <v>46301</v>
      </c>
      <c r="C2112" s="45" t="s">
        <v>133</v>
      </c>
      <c r="D2112" s="45" t="s">
        <v>134</v>
      </c>
      <c r="E2112" s="45" t="s">
        <v>3525</v>
      </c>
      <c r="F2112" s="45" t="s">
        <v>4199</v>
      </c>
      <c r="G2112" s="46" t="n">
        <v>46292</v>
      </c>
      <c r="H2112" s="45" t="s">
        <v>167</v>
      </c>
      <c r="I2112" s="45" t="s">
        <v>179</v>
      </c>
      <c r="J2112" s="45" t="s">
        <v>4200</v>
      </c>
      <c r="K2112" s="45" t="n">
        <v>0.5</v>
      </c>
      <c r="L2112" s="45" t="s">
        <v>263</v>
      </c>
      <c r="M2112" s="45" t="s">
        <v>259</v>
      </c>
      <c r="N2112" s="45" t="s">
        <v>167</v>
      </c>
      <c r="O2112" s="47" t="n">
        <v>46301.1937268519</v>
      </c>
      <c r="P2112" s="47" t="n">
        <v>46301.1940393519</v>
      </c>
    </row>
    <row r="2113" customFormat="false" ht="15" hidden="false" customHeight="false" outlineLevel="0" collapsed="false">
      <c r="A2113" s="45" t="n">
        <v>2316</v>
      </c>
      <c r="B2113" s="46" t="n">
        <v>46301</v>
      </c>
      <c r="C2113" s="45" t="s">
        <v>133</v>
      </c>
      <c r="D2113" s="45" t="s">
        <v>134</v>
      </c>
      <c r="E2113" s="45" t="s">
        <v>4061</v>
      </c>
      <c r="F2113" s="45" t="s">
        <v>4201</v>
      </c>
      <c r="G2113" s="46" t="n">
        <v>46299</v>
      </c>
      <c r="H2113" s="45" t="s">
        <v>169</v>
      </c>
      <c r="I2113" s="45"/>
      <c r="J2113" s="45"/>
      <c r="K2113" s="45" t="n">
        <v>2.8</v>
      </c>
      <c r="L2113" s="45" t="s">
        <v>263</v>
      </c>
      <c r="M2113" s="45" t="s">
        <v>259</v>
      </c>
      <c r="N2113" s="45" t="s">
        <v>169</v>
      </c>
      <c r="O2113" s="47" t="n">
        <v>46301.1940509259</v>
      </c>
      <c r="P2113" s="47" t="n">
        <v>46301.1959953704</v>
      </c>
    </row>
    <row r="2114" customFormat="false" ht="15" hidden="false" customHeight="false" outlineLevel="0" collapsed="false">
      <c r="A2114" s="45" t="n">
        <v>2315</v>
      </c>
      <c r="B2114" s="46" t="n">
        <v>46301</v>
      </c>
      <c r="C2114" s="45" t="s">
        <v>147</v>
      </c>
      <c r="D2114" s="45" t="s">
        <v>148</v>
      </c>
      <c r="E2114" s="45" t="s">
        <v>3765</v>
      </c>
      <c r="F2114" s="45" t="s">
        <v>4006</v>
      </c>
      <c r="G2114" s="46" t="n">
        <v>46288</v>
      </c>
      <c r="H2114" s="45" t="s">
        <v>168</v>
      </c>
      <c r="I2114" s="45" t="s">
        <v>191</v>
      </c>
      <c r="J2114" s="45" t="s">
        <v>4202</v>
      </c>
      <c r="K2114" s="45" t="n">
        <v>1.4</v>
      </c>
      <c r="L2114" s="45" t="s">
        <v>259</v>
      </c>
      <c r="M2114" s="45" t="s">
        <v>259</v>
      </c>
      <c r="N2114" s="45" t="s">
        <v>2559</v>
      </c>
      <c r="O2114" s="47" t="n">
        <v>46301.1941550926</v>
      </c>
      <c r="P2114" s="47" t="n">
        <v>46301.1951041667</v>
      </c>
    </row>
    <row r="2115" customFormat="false" ht="15" hidden="false" customHeight="false" outlineLevel="0" collapsed="false">
      <c r="A2115" s="45" t="n">
        <v>2317</v>
      </c>
      <c r="B2115" s="46" t="n">
        <v>46301</v>
      </c>
      <c r="C2115" s="45" t="s">
        <v>133</v>
      </c>
      <c r="D2115" s="45" t="s">
        <v>134</v>
      </c>
      <c r="E2115" s="45" t="s">
        <v>4055</v>
      </c>
      <c r="F2115" s="45" t="s">
        <v>4203</v>
      </c>
      <c r="G2115" s="46" t="n">
        <v>46299</v>
      </c>
      <c r="H2115" s="45" t="s">
        <v>167</v>
      </c>
      <c r="I2115" s="45" t="s">
        <v>176</v>
      </c>
      <c r="J2115" s="45" t="s">
        <v>4204</v>
      </c>
      <c r="K2115" s="45" t="n">
        <v>0.5</v>
      </c>
      <c r="L2115" s="45" t="s">
        <v>263</v>
      </c>
      <c r="M2115" s="45" t="s">
        <v>259</v>
      </c>
      <c r="N2115" s="45" t="s">
        <v>167</v>
      </c>
      <c r="O2115" s="47" t="n">
        <v>46301.197650463</v>
      </c>
      <c r="P2115" s="47" t="n">
        <v>46301.1980092593</v>
      </c>
    </row>
    <row r="2116" customFormat="false" ht="15" hidden="false" customHeight="false" outlineLevel="0" collapsed="false">
      <c r="A2116" s="45" t="n">
        <v>2318</v>
      </c>
      <c r="B2116" s="46" t="n">
        <v>46301</v>
      </c>
      <c r="C2116" s="45" t="s">
        <v>133</v>
      </c>
      <c r="D2116" s="45" t="s">
        <v>134</v>
      </c>
      <c r="E2116" s="45" t="s">
        <v>4061</v>
      </c>
      <c r="F2116" s="45" t="s">
        <v>4205</v>
      </c>
      <c r="G2116" s="46" t="n">
        <v>46298</v>
      </c>
      <c r="H2116" s="45" t="s">
        <v>167</v>
      </c>
      <c r="I2116" s="45" t="s">
        <v>176</v>
      </c>
      <c r="J2116" s="45" t="s">
        <v>4206</v>
      </c>
      <c r="K2116" s="45" t="n">
        <v>0.5</v>
      </c>
      <c r="L2116" s="45" t="s">
        <v>263</v>
      </c>
      <c r="M2116" s="45" t="s">
        <v>259</v>
      </c>
      <c r="N2116" s="45" t="s">
        <v>167</v>
      </c>
      <c r="O2116" s="47" t="n">
        <v>46301.200150463</v>
      </c>
      <c r="P2116" s="47" t="n">
        <v>46301.200474537</v>
      </c>
    </row>
    <row r="2117" customFormat="false" ht="15" hidden="false" customHeight="false" outlineLevel="0" collapsed="false">
      <c r="A2117" s="45" t="n">
        <v>2320</v>
      </c>
      <c r="B2117" s="46" t="n">
        <v>46301</v>
      </c>
      <c r="C2117" s="45" t="s">
        <v>135</v>
      </c>
      <c r="D2117" s="45" t="s">
        <v>136</v>
      </c>
      <c r="E2117" s="45" t="s">
        <v>236</v>
      </c>
      <c r="F2117" s="45" t="s">
        <v>4207</v>
      </c>
      <c r="G2117" s="46" t="n">
        <v>46291</v>
      </c>
      <c r="H2117" s="45" t="s">
        <v>168</v>
      </c>
      <c r="I2117" s="45" t="s">
        <v>191</v>
      </c>
      <c r="J2117" s="45" t="s">
        <v>4208</v>
      </c>
      <c r="K2117" s="45" t="n">
        <v>2.8</v>
      </c>
      <c r="L2117" s="45" t="s">
        <v>263</v>
      </c>
      <c r="M2117" s="45" t="s">
        <v>259</v>
      </c>
      <c r="N2117" s="45" t="s">
        <v>2559</v>
      </c>
      <c r="O2117" s="47" t="n">
        <v>46301.2008449074</v>
      </c>
      <c r="P2117" s="47" t="n">
        <v>46301.2027662037</v>
      </c>
    </row>
    <row r="2118" customFormat="false" ht="15" hidden="false" customHeight="false" outlineLevel="0" collapsed="false">
      <c r="A2118" s="45" t="n">
        <v>2321</v>
      </c>
      <c r="B2118" s="46" t="n">
        <v>46301</v>
      </c>
      <c r="C2118" s="45" t="s">
        <v>133</v>
      </c>
      <c r="D2118" s="45" t="s">
        <v>134</v>
      </c>
      <c r="E2118" s="45" t="s">
        <v>1933</v>
      </c>
      <c r="F2118" s="45" t="s">
        <v>4209</v>
      </c>
      <c r="G2118" s="46" t="n">
        <v>46290</v>
      </c>
      <c r="H2118" s="45" t="s">
        <v>167</v>
      </c>
      <c r="I2118" s="45" t="s">
        <v>179</v>
      </c>
      <c r="J2118" s="45" t="s">
        <v>4210</v>
      </c>
      <c r="K2118" s="45" t="n">
        <v>13.1</v>
      </c>
      <c r="L2118" s="45" t="s">
        <v>263</v>
      </c>
      <c r="M2118" s="45" t="s">
        <v>259</v>
      </c>
      <c r="N2118" s="45" t="s">
        <v>167</v>
      </c>
      <c r="O2118" s="47" t="n">
        <v>46301.2019791667</v>
      </c>
      <c r="P2118" s="47" t="n">
        <v>46301.2110763889</v>
      </c>
    </row>
    <row r="2119" customFormat="false" ht="15" hidden="false" customHeight="false" outlineLevel="0" collapsed="false">
      <c r="A2119" s="45" t="n">
        <v>2323</v>
      </c>
      <c r="B2119" s="46" t="n">
        <v>46301</v>
      </c>
      <c r="C2119" s="45" t="s">
        <v>147</v>
      </c>
      <c r="D2119" s="45" t="s">
        <v>148</v>
      </c>
      <c r="E2119" s="45" t="s">
        <v>4000</v>
      </c>
      <c r="F2119" s="45" t="s">
        <v>4013</v>
      </c>
      <c r="G2119" s="46" t="n">
        <v>46289</v>
      </c>
      <c r="H2119" s="45" t="s">
        <v>168</v>
      </c>
      <c r="I2119" s="45" t="s">
        <v>197</v>
      </c>
      <c r="J2119" s="45" t="s">
        <v>4211</v>
      </c>
      <c r="K2119" s="45" t="n">
        <v>19.4</v>
      </c>
      <c r="L2119" s="45" t="s">
        <v>259</v>
      </c>
      <c r="M2119" s="45" t="s">
        <v>259</v>
      </c>
      <c r="N2119" s="45" t="s">
        <v>2559</v>
      </c>
      <c r="O2119" s="47" t="n">
        <v>46301.2050694445</v>
      </c>
      <c r="P2119" s="47" t="n">
        <v>46301.2185069445</v>
      </c>
    </row>
    <row r="2120" customFormat="false" ht="15" hidden="false" customHeight="false" outlineLevel="0" collapsed="false">
      <c r="A2120" s="45" t="n">
        <v>2322</v>
      </c>
      <c r="B2120" s="46" t="n">
        <v>46301</v>
      </c>
      <c r="C2120" s="45" t="s">
        <v>133</v>
      </c>
      <c r="D2120" s="45" t="s">
        <v>134</v>
      </c>
      <c r="E2120" s="45" t="s">
        <v>3781</v>
      </c>
      <c r="F2120" s="45" t="s">
        <v>4212</v>
      </c>
      <c r="G2120" s="46" t="n">
        <v>46290</v>
      </c>
      <c r="H2120" s="45" t="s">
        <v>168</v>
      </c>
      <c r="I2120" s="45" t="s">
        <v>194</v>
      </c>
      <c r="J2120" s="45" t="s">
        <v>4213</v>
      </c>
      <c r="K2120" s="45" t="n">
        <v>0.6</v>
      </c>
      <c r="L2120" s="45" t="s">
        <v>263</v>
      </c>
      <c r="M2120" s="45" t="s">
        <v>259</v>
      </c>
      <c r="N2120" s="45" t="s">
        <v>2559</v>
      </c>
      <c r="O2120" s="47" t="n">
        <v>46301.212349537</v>
      </c>
      <c r="P2120" s="47" t="n">
        <v>46301.2127314815</v>
      </c>
    </row>
    <row r="2121" customFormat="false" ht="15" hidden="false" customHeight="false" outlineLevel="0" collapsed="false">
      <c r="A2121" s="45" t="n">
        <v>2324</v>
      </c>
      <c r="B2121" s="46" t="n">
        <v>46301</v>
      </c>
      <c r="C2121" s="45" t="s">
        <v>147</v>
      </c>
      <c r="D2121" s="45" t="s">
        <v>148</v>
      </c>
      <c r="E2121" s="45" t="s">
        <v>3722</v>
      </c>
      <c r="F2121" s="45" t="s">
        <v>4016</v>
      </c>
      <c r="G2121" s="46" t="n">
        <v>46289</v>
      </c>
      <c r="H2121" s="45" t="s">
        <v>168</v>
      </c>
      <c r="I2121" s="45" t="s">
        <v>191</v>
      </c>
      <c r="J2121" s="45" t="s">
        <v>4214</v>
      </c>
      <c r="K2121" s="45" t="n">
        <v>4.6</v>
      </c>
      <c r="L2121" s="45" t="s">
        <v>259</v>
      </c>
      <c r="M2121" s="45" t="s">
        <v>259</v>
      </c>
      <c r="N2121" s="45" t="s">
        <v>2559</v>
      </c>
      <c r="O2121" s="47" t="n">
        <v>46301.2185648148</v>
      </c>
      <c r="P2121" s="47" t="n">
        <v>46301.2217476852</v>
      </c>
    </row>
    <row r="2122" customFormat="false" ht="15" hidden="false" customHeight="false" outlineLevel="0" collapsed="false">
      <c r="A2122" s="45" t="n">
        <v>2325</v>
      </c>
      <c r="B2122" s="46" t="n">
        <v>46301</v>
      </c>
      <c r="C2122" s="45" t="s">
        <v>147</v>
      </c>
      <c r="D2122" s="45" t="s">
        <v>148</v>
      </c>
      <c r="E2122" s="45" t="s">
        <v>4024</v>
      </c>
      <c r="F2122" s="45" t="s">
        <v>4025</v>
      </c>
      <c r="G2122" s="46" t="n">
        <v>46290</v>
      </c>
      <c r="H2122" s="45" t="s">
        <v>168</v>
      </c>
      <c r="I2122" s="45" t="s">
        <v>194</v>
      </c>
      <c r="J2122" s="45" t="s">
        <v>4215</v>
      </c>
      <c r="K2122" s="45" t="n">
        <v>1</v>
      </c>
      <c r="L2122" s="45" t="s">
        <v>259</v>
      </c>
      <c r="M2122" s="45" t="s">
        <v>259</v>
      </c>
      <c r="N2122" s="45" t="s">
        <v>2559</v>
      </c>
      <c r="O2122" s="47" t="n">
        <v>46301.2230092593</v>
      </c>
      <c r="P2122" s="47" t="n">
        <v>46301.2237152778</v>
      </c>
    </row>
    <row r="2123" customFormat="false" ht="15" hidden="false" customHeight="false" outlineLevel="0" collapsed="false">
      <c r="A2123" s="45" t="n">
        <v>2326</v>
      </c>
      <c r="B2123" s="46" t="n">
        <v>46301</v>
      </c>
      <c r="C2123" s="45" t="s">
        <v>147</v>
      </c>
      <c r="D2123" s="45" t="s">
        <v>148</v>
      </c>
      <c r="E2123" s="45" t="s">
        <v>4002</v>
      </c>
      <c r="F2123" s="45" t="s">
        <v>4216</v>
      </c>
      <c r="G2123" s="46" t="n">
        <v>46291</v>
      </c>
      <c r="H2123" s="45" t="s">
        <v>57</v>
      </c>
      <c r="I2123" s="45" t="s">
        <v>201</v>
      </c>
      <c r="J2123" s="45" t="s">
        <v>4217</v>
      </c>
      <c r="K2123" s="45" t="n">
        <v>0.8</v>
      </c>
      <c r="L2123" s="45" t="s">
        <v>263</v>
      </c>
      <c r="M2123" s="45" t="s">
        <v>259</v>
      </c>
      <c r="N2123" s="45" t="s">
        <v>57</v>
      </c>
      <c r="O2123" s="47" t="n">
        <v>46301.224224537</v>
      </c>
      <c r="P2123" s="47" t="n">
        <v>46301.2247453704</v>
      </c>
    </row>
    <row r="2124" customFormat="false" ht="15" hidden="false" customHeight="false" outlineLevel="0" collapsed="false">
      <c r="A2124" s="45" t="n">
        <v>2331</v>
      </c>
      <c r="B2124" s="46" t="n">
        <v>46301</v>
      </c>
      <c r="C2124" s="45" t="s">
        <v>147</v>
      </c>
      <c r="D2124" s="45" t="s">
        <v>148</v>
      </c>
      <c r="E2124" s="45" t="s">
        <v>3724</v>
      </c>
      <c r="F2124" s="45" t="s">
        <v>4218</v>
      </c>
      <c r="G2124" s="46" t="n">
        <v>46298</v>
      </c>
      <c r="H2124" s="45" t="s">
        <v>167</v>
      </c>
      <c r="I2124" s="45" t="s">
        <v>176</v>
      </c>
      <c r="J2124" s="45" t="s">
        <v>4219</v>
      </c>
      <c r="K2124" s="45" t="n">
        <v>17.7</v>
      </c>
      <c r="L2124" s="45" t="s">
        <v>263</v>
      </c>
      <c r="M2124" s="45" t="s">
        <v>259</v>
      </c>
      <c r="N2124" s="45" t="s">
        <v>167</v>
      </c>
      <c r="O2124" s="47" t="n">
        <v>46301.2247800926</v>
      </c>
      <c r="P2124" s="47" t="n">
        <v>46301.2370833333</v>
      </c>
    </row>
    <row r="2125" customFormat="false" ht="15" hidden="false" customHeight="false" outlineLevel="0" collapsed="false">
      <c r="A2125" s="45" t="n">
        <v>2335</v>
      </c>
      <c r="B2125" s="46" t="n">
        <v>46301</v>
      </c>
      <c r="C2125" s="45" t="s">
        <v>133</v>
      </c>
      <c r="D2125" s="45" t="s">
        <v>134</v>
      </c>
      <c r="E2125" s="45" t="s">
        <v>2465</v>
      </c>
      <c r="F2125" s="45" t="s">
        <v>4220</v>
      </c>
      <c r="G2125" s="46" t="n">
        <v>46297</v>
      </c>
      <c r="H2125" s="45" t="s">
        <v>167</v>
      </c>
      <c r="I2125" s="45" t="s">
        <v>179</v>
      </c>
      <c r="J2125" s="45" t="s">
        <v>4221</v>
      </c>
      <c r="K2125" s="45" t="n">
        <v>31.4</v>
      </c>
      <c r="L2125" s="45" t="s">
        <v>263</v>
      </c>
      <c r="M2125" s="45" t="s">
        <v>259</v>
      </c>
      <c r="N2125" s="45" t="s">
        <v>167</v>
      </c>
      <c r="O2125" s="47" t="n">
        <v>46301.2270138889</v>
      </c>
      <c r="P2125" s="47" t="n">
        <v>46301.2488425926</v>
      </c>
    </row>
    <row r="2126" customFormat="false" ht="15" hidden="false" customHeight="false" outlineLevel="0" collapsed="false">
      <c r="A2126" s="45" t="n">
        <v>2328</v>
      </c>
      <c r="B2126" s="46" t="n">
        <v>46301</v>
      </c>
      <c r="C2126" s="45" t="s">
        <v>135</v>
      </c>
      <c r="D2126" s="45" t="s">
        <v>136</v>
      </c>
      <c r="E2126" s="45" t="s">
        <v>236</v>
      </c>
      <c r="F2126" s="45" t="s">
        <v>4222</v>
      </c>
      <c r="G2126" s="46" t="n">
        <v>46289</v>
      </c>
      <c r="H2126" s="45" t="s">
        <v>57</v>
      </c>
      <c r="I2126" s="45" t="s">
        <v>200</v>
      </c>
      <c r="J2126" s="45" t="s">
        <v>4223</v>
      </c>
      <c r="K2126" s="45" t="n">
        <v>1.7</v>
      </c>
      <c r="L2126" s="45" t="s">
        <v>263</v>
      </c>
      <c r="M2126" s="45" t="s">
        <v>259</v>
      </c>
      <c r="N2126" s="45" t="s">
        <v>57</v>
      </c>
      <c r="O2126" s="47" t="n">
        <v>46301.2275578704</v>
      </c>
      <c r="P2126" s="47" t="n">
        <v>46301.2287268519</v>
      </c>
    </row>
    <row r="2127" customFormat="false" ht="15" hidden="false" customHeight="false" outlineLevel="0" collapsed="false">
      <c r="A2127" s="45" t="n">
        <v>2330</v>
      </c>
      <c r="B2127" s="46" t="n">
        <v>46301</v>
      </c>
      <c r="C2127" s="45" t="s">
        <v>151</v>
      </c>
      <c r="D2127" s="45" t="s">
        <v>152</v>
      </c>
      <c r="E2127" s="45" t="s">
        <v>4163</v>
      </c>
      <c r="F2127" s="45" t="s">
        <v>4224</v>
      </c>
      <c r="G2127" s="46" t="n">
        <v>46293</v>
      </c>
      <c r="H2127" s="45" t="s">
        <v>167</v>
      </c>
      <c r="I2127" s="45" t="s">
        <v>176</v>
      </c>
      <c r="J2127" s="45" t="s">
        <v>4225</v>
      </c>
      <c r="K2127" s="45" t="n">
        <v>9.1</v>
      </c>
      <c r="L2127" s="45" t="s">
        <v>263</v>
      </c>
      <c r="M2127" s="45" t="s">
        <v>259</v>
      </c>
      <c r="N2127" s="45" t="s">
        <v>167</v>
      </c>
      <c r="O2127" s="47" t="n">
        <v>46301.2284606482</v>
      </c>
      <c r="P2127" s="47" t="n">
        <v>46301.2347916667</v>
      </c>
    </row>
    <row r="2128" customFormat="false" ht="15" hidden="false" customHeight="false" outlineLevel="0" collapsed="false">
      <c r="A2128" s="45" t="n">
        <v>2329</v>
      </c>
      <c r="B2128" s="46" t="n">
        <v>46301</v>
      </c>
      <c r="C2128" s="45" t="s">
        <v>135</v>
      </c>
      <c r="D2128" s="45" t="s">
        <v>136</v>
      </c>
      <c r="E2128" s="45" t="s">
        <v>4226</v>
      </c>
      <c r="F2128" s="45" t="s">
        <v>4227</v>
      </c>
      <c r="G2128" s="46" t="n">
        <v>46293</v>
      </c>
      <c r="H2128" s="45" t="s">
        <v>169</v>
      </c>
      <c r="I2128" s="45"/>
      <c r="J2128" s="45"/>
      <c r="K2128" s="45" t="n">
        <v>0.4</v>
      </c>
      <c r="L2128" s="45" t="s">
        <v>263</v>
      </c>
      <c r="M2128" s="45" t="s">
        <v>259</v>
      </c>
      <c r="N2128" s="45" t="s">
        <v>169</v>
      </c>
      <c r="O2128" s="47" t="n">
        <v>46301.2342013889</v>
      </c>
      <c r="P2128" s="47" t="n">
        <v>46301.2345023148</v>
      </c>
    </row>
    <row r="2129" customFormat="false" ht="15" hidden="false" customHeight="false" outlineLevel="0" collapsed="false">
      <c r="A2129" s="45" t="n">
        <v>2341</v>
      </c>
      <c r="B2129" s="46" t="n">
        <v>46301</v>
      </c>
      <c r="C2129" s="45" t="s">
        <v>151</v>
      </c>
      <c r="D2129" s="45" t="s">
        <v>152</v>
      </c>
      <c r="E2129" s="45" t="s">
        <v>4228</v>
      </c>
      <c r="F2129" s="45" t="s">
        <v>4229</v>
      </c>
      <c r="G2129" s="46" t="n">
        <v>46299</v>
      </c>
      <c r="H2129" s="45" t="s">
        <v>167</v>
      </c>
      <c r="I2129" s="45" t="s">
        <v>178</v>
      </c>
      <c r="J2129" s="45" t="s">
        <v>4230</v>
      </c>
      <c r="K2129" s="45" t="n">
        <v>63.8</v>
      </c>
      <c r="L2129" s="45" t="s">
        <v>263</v>
      </c>
      <c r="M2129" s="45" t="s">
        <v>259</v>
      </c>
      <c r="N2129" s="45" t="s">
        <v>167</v>
      </c>
      <c r="O2129" s="47" t="n">
        <v>46301.2348148148</v>
      </c>
      <c r="P2129" s="47" t="n">
        <v>46301.2790856482</v>
      </c>
    </row>
    <row r="2130" customFormat="false" ht="15" hidden="false" customHeight="false" outlineLevel="0" collapsed="false">
      <c r="A2130" s="45" t="n">
        <v>2332</v>
      </c>
      <c r="B2130" s="46" t="n">
        <v>46301</v>
      </c>
      <c r="C2130" s="45" t="s">
        <v>147</v>
      </c>
      <c r="D2130" s="45" t="s">
        <v>148</v>
      </c>
      <c r="E2130" s="45" t="s">
        <v>4231</v>
      </c>
      <c r="F2130" s="45" t="s">
        <v>4232</v>
      </c>
      <c r="G2130" s="46" t="n">
        <v>46299</v>
      </c>
      <c r="H2130" s="45" t="s">
        <v>168</v>
      </c>
      <c r="I2130" s="45" t="s">
        <v>191</v>
      </c>
      <c r="J2130" s="45" t="s">
        <v>4233</v>
      </c>
      <c r="K2130" s="45" t="n">
        <v>1.3</v>
      </c>
      <c r="L2130" s="45" t="s">
        <v>263</v>
      </c>
      <c r="M2130" s="45" t="s">
        <v>259</v>
      </c>
      <c r="N2130" s="45" t="s">
        <v>2559</v>
      </c>
      <c r="O2130" s="47" t="n">
        <v>46301.239375</v>
      </c>
      <c r="P2130" s="47" t="n">
        <v>46301.2402546296</v>
      </c>
    </row>
    <row r="2131" customFormat="false" ht="15" hidden="false" customHeight="false" outlineLevel="0" collapsed="false">
      <c r="A2131" s="45" t="n">
        <v>2333</v>
      </c>
      <c r="B2131" s="46" t="n">
        <v>46301</v>
      </c>
      <c r="C2131" s="45" t="s">
        <v>147</v>
      </c>
      <c r="D2131" s="45" t="s">
        <v>148</v>
      </c>
      <c r="E2131" s="45" t="s">
        <v>3722</v>
      </c>
      <c r="F2131" s="45" t="s">
        <v>4234</v>
      </c>
      <c r="G2131" s="46" t="n">
        <v>46299</v>
      </c>
      <c r="H2131" s="45" t="s">
        <v>168</v>
      </c>
      <c r="I2131" s="45" t="s">
        <v>192</v>
      </c>
      <c r="J2131" s="45" t="s">
        <v>4235</v>
      </c>
      <c r="K2131" s="45" t="n">
        <v>0.8</v>
      </c>
      <c r="L2131" s="45" t="s">
        <v>263</v>
      </c>
      <c r="M2131" s="45" t="s">
        <v>259</v>
      </c>
      <c r="N2131" s="45" t="s">
        <v>2559</v>
      </c>
      <c r="O2131" s="47" t="n">
        <v>46301.2408449074</v>
      </c>
      <c r="P2131" s="47" t="n">
        <v>46301.2413888889</v>
      </c>
    </row>
    <row r="2132" customFormat="false" ht="15" hidden="false" customHeight="false" outlineLevel="0" collapsed="false">
      <c r="A2132" s="45" t="n">
        <v>2334</v>
      </c>
      <c r="B2132" s="46" t="n">
        <v>46301</v>
      </c>
      <c r="C2132" s="45" t="s">
        <v>147</v>
      </c>
      <c r="D2132" s="45" t="s">
        <v>148</v>
      </c>
      <c r="E2132" s="45" t="s">
        <v>4034</v>
      </c>
      <c r="F2132" s="45" t="s">
        <v>4236</v>
      </c>
      <c r="G2132" s="46" t="n">
        <v>46298</v>
      </c>
      <c r="H2132" s="45" t="s">
        <v>168</v>
      </c>
      <c r="I2132" s="45" t="s">
        <v>191</v>
      </c>
      <c r="J2132" s="45" t="s">
        <v>4237</v>
      </c>
      <c r="K2132" s="45" t="n">
        <v>2.9</v>
      </c>
      <c r="L2132" s="45" t="s">
        <v>263</v>
      </c>
      <c r="M2132" s="45" t="s">
        <v>259</v>
      </c>
      <c r="N2132" s="45" t="s">
        <v>2559</v>
      </c>
      <c r="O2132" s="47" t="n">
        <v>46301.2427430556</v>
      </c>
      <c r="P2132" s="47" t="n">
        <v>46301.2447800926</v>
      </c>
    </row>
    <row r="2133" customFormat="false" ht="15" hidden="false" customHeight="false" outlineLevel="0" collapsed="false">
      <c r="A2133" s="45" t="n">
        <v>2336</v>
      </c>
      <c r="B2133" s="46" t="n">
        <v>46301</v>
      </c>
      <c r="C2133" s="45" t="s">
        <v>133</v>
      </c>
      <c r="D2133" s="45" t="s">
        <v>134</v>
      </c>
      <c r="E2133" s="45" t="s">
        <v>2462</v>
      </c>
      <c r="F2133" s="45" t="s">
        <v>4238</v>
      </c>
      <c r="G2133" s="46" t="n">
        <v>46298</v>
      </c>
      <c r="H2133" s="45" t="s">
        <v>167</v>
      </c>
      <c r="I2133" s="45" t="s">
        <v>179</v>
      </c>
      <c r="J2133" s="45" t="s">
        <v>4239</v>
      </c>
      <c r="K2133" s="45" t="n">
        <v>13.2</v>
      </c>
      <c r="L2133" s="45" t="s">
        <v>263</v>
      </c>
      <c r="M2133" s="45" t="s">
        <v>259</v>
      </c>
      <c r="N2133" s="45" t="s">
        <v>167</v>
      </c>
      <c r="O2133" s="47" t="n">
        <v>46301.2488888889</v>
      </c>
      <c r="P2133" s="47" t="n">
        <v>46301.2580439815</v>
      </c>
    </row>
    <row r="2134" customFormat="false" ht="15" hidden="false" customHeight="false" outlineLevel="0" collapsed="false">
      <c r="A2134" s="45" t="n">
        <v>2337</v>
      </c>
      <c r="B2134" s="46" t="n">
        <v>46301</v>
      </c>
      <c r="C2134" s="45" t="s">
        <v>135</v>
      </c>
      <c r="D2134" s="45" t="s">
        <v>136</v>
      </c>
      <c r="E2134" s="45" t="s">
        <v>4226</v>
      </c>
      <c r="F2134" s="45" t="s">
        <v>4240</v>
      </c>
      <c r="G2134" s="46" t="n">
        <v>46290</v>
      </c>
      <c r="H2134" s="45" t="s">
        <v>167</v>
      </c>
      <c r="I2134" s="45" t="s">
        <v>177</v>
      </c>
      <c r="J2134" s="45" t="s">
        <v>4241</v>
      </c>
      <c r="K2134" s="45" t="n">
        <v>6.9</v>
      </c>
      <c r="L2134" s="45" t="s">
        <v>263</v>
      </c>
      <c r="M2134" s="45" t="s">
        <v>259</v>
      </c>
      <c r="N2134" s="45" t="s">
        <v>167</v>
      </c>
      <c r="O2134" s="47" t="n">
        <v>46301.254224537</v>
      </c>
      <c r="P2134" s="47" t="n">
        <v>46301.2590162037</v>
      </c>
    </row>
    <row r="2135" customFormat="false" ht="15" hidden="false" customHeight="false" outlineLevel="0" collapsed="false">
      <c r="A2135" s="45" t="n">
        <v>2338</v>
      </c>
      <c r="B2135" s="46" t="n">
        <v>46301</v>
      </c>
      <c r="C2135" s="45" t="s">
        <v>139</v>
      </c>
      <c r="D2135" s="45" t="s">
        <v>140</v>
      </c>
      <c r="E2135" s="45" t="s">
        <v>237</v>
      </c>
      <c r="F2135" s="45" t="s">
        <v>4242</v>
      </c>
      <c r="G2135" s="46" t="n">
        <v>46289</v>
      </c>
      <c r="H2135" s="45" t="s">
        <v>167</v>
      </c>
      <c r="I2135" s="45" t="s">
        <v>178</v>
      </c>
      <c r="J2135" s="45" t="s">
        <v>4243</v>
      </c>
      <c r="K2135" s="45" t="n">
        <v>0.1</v>
      </c>
      <c r="L2135" s="45" t="s">
        <v>263</v>
      </c>
      <c r="M2135" s="45" t="s">
        <v>259</v>
      </c>
      <c r="N2135" s="45" t="s">
        <v>167</v>
      </c>
      <c r="O2135" s="47" t="n">
        <v>46301.2618865741</v>
      </c>
      <c r="P2135" s="47" t="n">
        <v>46301.2619212963</v>
      </c>
    </row>
    <row r="2136" customFormat="false" ht="15" hidden="false" customHeight="false" outlineLevel="0" collapsed="false">
      <c r="A2136" s="45" t="n">
        <v>2339</v>
      </c>
      <c r="B2136" s="46" t="n">
        <v>46301</v>
      </c>
      <c r="C2136" s="45" t="s">
        <v>135</v>
      </c>
      <c r="D2136" s="45" t="s">
        <v>136</v>
      </c>
      <c r="E2136" s="45" t="s">
        <v>4226</v>
      </c>
      <c r="F2136" s="45" t="s">
        <v>4244</v>
      </c>
      <c r="G2136" s="46" t="n">
        <v>46290</v>
      </c>
      <c r="H2136" s="45" t="s">
        <v>167</v>
      </c>
      <c r="I2136" s="45" t="s">
        <v>176</v>
      </c>
      <c r="J2136" s="45" t="s">
        <v>4245</v>
      </c>
      <c r="K2136" s="45" t="n">
        <v>3</v>
      </c>
      <c r="L2136" s="45" t="s">
        <v>259</v>
      </c>
      <c r="M2136" s="45" t="s">
        <v>259</v>
      </c>
      <c r="N2136" s="45" t="s">
        <v>167</v>
      </c>
      <c r="O2136" s="47" t="n">
        <v>46301.2653819445</v>
      </c>
      <c r="P2136" s="47" t="n">
        <v>46301.2674537037</v>
      </c>
    </row>
    <row r="2137" customFormat="false" ht="15" hidden="false" customHeight="false" outlineLevel="0" collapsed="false">
      <c r="A2137" s="45" t="n">
        <v>2340</v>
      </c>
      <c r="B2137" s="46" t="n">
        <v>46301</v>
      </c>
      <c r="C2137" s="45" t="s">
        <v>135</v>
      </c>
      <c r="D2137" s="45" t="s">
        <v>136</v>
      </c>
      <c r="E2137" s="45" t="s">
        <v>4226</v>
      </c>
      <c r="F2137" s="45" t="s">
        <v>4244</v>
      </c>
      <c r="G2137" s="46" t="n">
        <v>46320</v>
      </c>
      <c r="H2137" s="45" t="s">
        <v>167</v>
      </c>
      <c r="I2137" s="45" t="s">
        <v>180</v>
      </c>
      <c r="J2137" s="45" t="s">
        <v>4246</v>
      </c>
      <c r="K2137" s="45" t="n">
        <v>5.8</v>
      </c>
      <c r="L2137" s="45" t="s">
        <v>259</v>
      </c>
      <c r="M2137" s="45" t="s">
        <v>259</v>
      </c>
      <c r="N2137" s="45" t="s">
        <v>167</v>
      </c>
      <c r="O2137" s="47" t="n">
        <v>46301.2675</v>
      </c>
      <c r="P2137" s="47" t="n">
        <v>46301.2715046296</v>
      </c>
    </row>
    <row r="2138" customFormat="false" ht="15" hidden="false" customHeight="false" outlineLevel="0" collapsed="false">
      <c r="A2138" s="45" t="n">
        <v>2348</v>
      </c>
      <c r="B2138" s="46" t="n">
        <v>46301</v>
      </c>
      <c r="C2138" s="45" t="s">
        <v>135</v>
      </c>
      <c r="D2138" s="45" t="s">
        <v>136</v>
      </c>
      <c r="E2138" s="45" t="s">
        <v>3411</v>
      </c>
      <c r="F2138" s="45" t="s">
        <v>4247</v>
      </c>
      <c r="G2138" s="46" t="n">
        <v>46298</v>
      </c>
      <c r="H2138" s="45" t="s">
        <v>167</v>
      </c>
      <c r="I2138" s="45" t="s">
        <v>180</v>
      </c>
      <c r="J2138" s="45" t="s">
        <v>4248</v>
      </c>
      <c r="K2138" s="45" t="n">
        <v>39.1</v>
      </c>
      <c r="L2138" s="45" t="s">
        <v>263</v>
      </c>
      <c r="M2138" s="45" t="s">
        <v>259</v>
      </c>
      <c r="N2138" s="45" t="s">
        <v>167</v>
      </c>
      <c r="O2138" s="47" t="n">
        <v>46301.2715393519</v>
      </c>
      <c r="P2138" s="47" t="n">
        <v>46301.2987152778</v>
      </c>
    </row>
    <row r="2139" customFormat="false" ht="15" hidden="false" customHeight="false" outlineLevel="0" collapsed="false">
      <c r="A2139" s="45" t="n">
        <v>2342</v>
      </c>
      <c r="B2139" s="46" t="n">
        <v>46301</v>
      </c>
      <c r="C2139" s="45" t="s">
        <v>151</v>
      </c>
      <c r="D2139" s="45" t="s">
        <v>152</v>
      </c>
      <c r="E2139" s="45" t="s">
        <v>4249</v>
      </c>
      <c r="F2139" s="45" t="s">
        <v>85</v>
      </c>
      <c r="G2139" s="46" t="n">
        <v>46298</v>
      </c>
      <c r="H2139" s="45" t="s">
        <v>57</v>
      </c>
      <c r="I2139" s="45" t="s">
        <v>200</v>
      </c>
      <c r="J2139" s="45" t="s">
        <v>4250</v>
      </c>
      <c r="K2139" s="45" t="n">
        <v>6.7</v>
      </c>
      <c r="L2139" s="45" t="s">
        <v>263</v>
      </c>
      <c r="M2139" s="45" t="s">
        <v>263</v>
      </c>
      <c r="N2139" s="45" t="s">
        <v>57</v>
      </c>
      <c r="O2139" s="47" t="n">
        <v>46301.2791435185</v>
      </c>
      <c r="P2139" s="47" t="n">
        <v>46301.2837962963</v>
      </c>
    </row>
    <row r="2140" customFormat="false" ht="15" hidden="false" customHeight="false" outlineLevel="0" collapsed="false">
      <c r="A2140" s="45" t="n">
        <v>2343</v>
      </c>
      <c r="B2140" s="46" t="n">
        <v>46301</v>
      </c>
      <c r="C2140" s="45" t="s">
        <v>139</v>
      </c>
      <c r="D2140" s="45" t="s">
        <v>140</v>
      </c>
      <c r="E2140" s="45" t="s">
        <v>4073</v>
      </c>
      <c r="F2140" s="45" t="s">
        <v>4251</v>
      </c>
      <c r="G2140" s="46" t="n">
        <v>46289</v>
      </c>
      <c r="H2140" s="45" t="s">
        <v>167</v>
      </c>
      <c r="I2140" s="45" t="s">
        <v>176</v>
      </c>
      <c r="J2140" s="45" t="s">
        <v>4252</v>
      </c>
      <c r="K2140" s="45" t="n">
        <v>0.9</v>
      </c>
      <c r="L2140" s="45" t="s">
        <v>263</v>
      </c>
      <c r="M2140" s="45" t="s">
        <v>259</v>
      </c>
      <c r="N2140" s="45" t="s">
        <v>167</v>
      </c>
      <c r="O2140" s="47" t="n">
        <v>46301.2836574074</v>
      </c>
      <c r="P2140" s="47" t="n">
        <v>46301.2843171296</v>
      </c>
    </row>
    <row r="2141" customFormat="false" ht="15" hidden="false" customHeight="false" outlineLevel="0" collapsed="false">
      <c r="A2141" s="45" t="n">
        <v>2344</v>
      </c>
      <c r="B2141" s="46" t="n">
        <v>46301</v>
      </c>
      <c r="C2141" s="45" t="s">
        <v>151</v>
      </c>
      <c r="D2141" s="45" t="s">
        <v>152</v>
      </c>
      <c r="E2141" s="45" t="s">
        <v>4228</v>
      </c>
      <c r="F2141" s="45" t="s">
        <v>4253</v>
      </c>
      <c r="G2141" s="46" t="n">
        <v>46293</v>
      </c>
      <c r="H2141" s="45" t="s">
        <v>57</v>
      </c>
      <c r="I2141" s="45" t="s">
        <v>201</v>
      </c>
      <c r="J2141" s="45" t="s">
        <v>4254</v>
      </c>
      <c r="K2141" s="45" t="n">
        <v>3.5</v>
      </c>
      <c r="L2141" s="45" t="s">
        <v>263</v>
      </c>
      <c r="M2141" s="45" t="s">
        <v>259</v>
      </c>
      <c r="N2141" s="45" t="s">
        <v>57</v>
      </c>
      <c r="O2141" s="47" t="n">
        <v>46301.2838194444</v>
      </c>
      <c r="P2141" s="47" t="n">
        <v>46301.2862384259</v>
      </c>
    </row>
    <row r="2142" customFormat="false" ht="15" hidden="false" customHeight="false" outlineLevel="0" collapsed="false">
      <c r="A2142" s="45" t="n">
        <v>2346</v>
      </c>
      <c r="B2142" s="46" t="n">
        <v>46301</v>
      </c>
      <c r="C2142" s="45" t="s">
        <v>139</v>
      </c>
      <c r="D2142" s="45" t="s">
        <v>140</v>
      </c>
      <c r="E2142" s="45" t="s">
        <v>221</v>
      </c>
      <c r="F2142" s="45" t="s">
        <v>4255</v>
      </c>
      <c r="G2142" s="46" t="n">
        <v>46289</v>
      </c>
      <c r="H2142" s="45" t="s">
        <v>167</v>
      </c>
      <c r="I2142" s="45" t="s">
        <v>177</v>
      </c>
      <c r="J2142" s="45" t="s">
        <v>4256</v>
      </c>
      <c r="K2142" s="45" t="n">
        <v>10</v>
      </c>
      <c r="L2142" s="45" t="s">
        <v>259</v>
      </c>
      <c r="M2142" s="45" t="s">
        <v>259</v>
      </c>
      <c r="N2142" s="45" t="s">
        <v>167</v>
      </c>
      <c r="O2142" s="47" t="n">
        <v>46301.2844907407</v>
      </c>
      <c r="P2142" s="47" t="n">
        <v>46301.2914351852</v>
      </c>
    </row>
    <row r="2143" customFormat="false" ht="15" hidden="false" customHeight="false" outlineLevel="0" collapsed="false">
      <c r="A2143" s="45" t="n">
        <v>2345</v>
      </c>
      <c r="B2143" s="46" t="n">
        <v>46301</v>
      </c>
      <c r="C2143" s="45" t="s">
        <v>151</v>
      </c>
      <c r="D2143" s="45" t="s">
        <v>152</v>
      </c>
      <c r="E2143" s="45" t="s">
        <v>4228</v>
      </c>
      <c r="F2143" s="45" t="s">
        <v>4257</v>
      </c>
      <c r="G2143" s="46" t="n">
        <v>46292</v>
      </c>
      <c r="H2143" s="45" t="s">
        <v>57</v>
      </c>
      <c r="I2143" s="45" t="s">
        <v>201</v>
      </c>
      <c r="J2143" s="45" t="s">
        <v>4258</v>
      </c>
      <c r="K2143" s="45" t="n">
        <v>3.5</v>
      </c>
      <c r="L2143" s="45" t="s">
        <v>263</v>
      </c>
      <c r="M2143" s="45" t="s">
        <v>259</v>
      </c>
      <c r="N2143" s="45" t="s">
        <v>57</v>
      </c>
      <c r="O2143" s="47" t="n">
        <v>46301.286412037</v>
      </c>
      <c r="P2143" s="47" t="n">
        <v>46301.2888078704</v>
      </c>
    </row>
    <row r="2144" customFormat="false" ht="15" hidden="false" customHeight="false" outlineLevel="0" collapsed="false">
      <c r="A2144" s="45" t="n">
        <v>2349</v>
      </c>
      <c r="B2144" s="46" t="n">
        <v>46301</v>
      </c>
      <c r="C2144" s="45" t="s">
        <v>151</v>
      </c>
      <c r="D2144" s="45" t="s">
        <v>152</v>
      </c>
      <c r="E2144" s="45" t="s">
        <v>4259</v>
      </c>
      <c r="F2144" s="45" t="s">
        <v>4260</v>
      </c>
      <c r="G2144" s="46" t="n">
        <v>46293</v>
      </c>
      <c r="H2144" s="45" t="s">
        <v>167</v>
      </c>
      <c r="I2144" s="45" t="s">
        <v>179</v>
      </c>
      <c r="J2144" s="45" t="s">
        <v>4261</v>
      </c>
      <c r="K2144" s="45" t="n">
        <v>31.4</v>
      </c>
      <c r="L2144" s="45" t="s">
        <v>263</v>
      </c>
      <c r="M2144" s="45" t="s">
        <v>259</v>
      </c>
      <c r="N2144" s="45" t="s">
        <v>167</v>
      </c>
      <c r="O2144" s="47" t="n">
        <v>46301.2888310185</v>
      </c>
      <c r="P2144" s="47" t="n">
        <v>46301.310625</v>
      </c>
    </row>
    <row r="2145" customFormat="false" ht="15" hidden="false" customHeight="false" outlineLevel="0" collapsed="false">
      <c r="A2145" s="45" t="n">
        <v>2347</v>
      </c>
      <c r="B2145" s="46" t="n">
        <v>46301</v>
      </c>
      <c r="C2145" s="45" t="s">
        <v>139</v>
      </c>
      <c r="D2145" s="45" t="s">
        <v>140</v>
      </c>
      <c r="E2145" s="45" t="s">
        <v>221</v>
      </c>
      <c r="F2145" s="45" t="s">
        <v>4255</v>
      </c>
      <c r="G2145" s="46" t="n">
        <v>46289</v>
      </c>
      <c r="H2145" s="45" t="s">
        <v>167</v>
      </c>
      <c r="I2145" s="45" t="s">
        <v>177</v>
      </c>
      <c r="J2145" s="45" t="s">
        <v>4262</v>
      </c>
      <c r="K2145" s="45" t="n">
        <v>1.9</v>
      </c>
      <c r="L2145" s="45" t="s">
        <v>259</v>
      </c>
      <c r="M2145" s="45" t="s">
        <v>259</v>
      </c>
      <c r="N2145" s="45" t="s">
        <v>167</v>
      </c>
      <c r="O2145" s="47" t="n">
        <v>46301.291712963</v>
      </c>
      <c r="P2145" s="47" t="n">
        <v>46301.2930439815</v>
      </c>
    </row>
    <row r="2146" customFormat="false" ht="15" hidden="false" customHeight="false" outlineLevel="0" collapsed="false">
      <c r="A2146" s="45" t="n">
        <v>2350</v>
      </c>
      <c r="B2146" s="46" t="n">
        <v>46301</v>
      </c>
      <c r="C2146" s="45" t="s">
        <v>135</v>
      </c>
      <c r="D2146" s="45" t="s">
        <v>136</v>
      </c>
      <c r="E2146" s="45" t="s">
        <v>3411</v>
      </c>
      <c r="F2146" s="45" t="s">
        <v>4263</v>
      </c>
      <c r="G2146" s="46" t="n">
        <v>46291</v>
      </c>
      <c r="H2146" s="45" t="s">
        <v>167</v>
      </c>
      <c r="I2146" s="45" t="s">
        <v>180</v>
      </c>
      <c r="J2146" s="45" t="s">
        <v>4264</v>
      </c>
      <c r="K2146" s="45" t="n">
        <v>17.2</v>
      </c>
      <c r="L2146" s="45" t="s">
        <v>263</v>
      </c>
      <c r="M2146" s="45" t="s">
        <v>259</v>
      </c>
      <c r="N2146" s="45" t="s">
        <v>167</v>
      </c>
      <c r="O2146" s="47" t="n">
        <v>46301.3027777778</v>
      </c>
      <c r="P2146" s="47" t="n">
        <v>46301.3147453704</v>
      </c>
    </row>
    <row r="2147" customFormat="false" ht="15" hidden="false" customHeight="false" outlineLevel="0" collapsed="false">
      <c r="A2147" s="45" t="n">
        <v>2352</v>
      </c>
      <c r="B2147" s="46" t="n">
        <v>46301</v>
      </c>
      <c r="C2147" s="45" t="s">
        <v>151</v>
      </c>
      <c r="D2147" s="45" t="s">
        <v>152</v>
      </c>
      <c r="E2147" s="45" t="s">
        <v>4265</v>
      </c>
      <c r="F2147" s="45" t="s">
        <v>4266</v>
      </c>
      <c r="G2147" s="46" t="n">
        <v>46292</v>
      </c>
      <c r="H2147" s="45" t="s">
        <v>57</v>
      </c>
      <c r="I2147" s="45" t="s">
        <v>200</v>
      </c>
      <c r="J2147" s="45" t="s">
        <v>4267</v>
      </c>
      <c r="K2147" s="45" t="n">
        <v>23.3</v>
      </c>
      <c r="L2147" s="45" t="s">
        <v>263</v>
      </c>
      <c r="M2147" s="45" t="s">
        <v>259</v>
      </c>
      <c r="N2147" s="45" t="s">
        <v>57</v>
      </c>
      <c r="O2147" s="47" t="n">
        <v>46301.3106365741</v>
      </c>
      <c r="P2147" s="47" t="n">
        <v>46301.3267939815</v>
      </c>
    </row>
    <row r="2148" customFormat="false" ht="15" hidden="false" customHeight="false" outlineLevel="0" collapsed="false">
      <c r="A2148" s="45" t="n">
        <v>2351</v>
      </c>
      <c r="B2148" s="46" t="n">
        <v>46301</v>
      </c>
      <c r="C2148" s="45" t="s">
        <v>135</v>
      </c>
      <c r="D2148" s="45" t="s">
        <v>136</v>
      </c>
      <c r="E2148" s="45" t="s">
        <v>3411</v>
      </c>
      <c r="F2148" s="45" t="s">
        <v>4268</v>
      </c>
      <c r="G2148" s="46" t="n">
        <v>46294</v>
      </c>
      <c r="H2148" s="45" t="s">
        <v>167</v>
      </c>
      <c r="I2148" s="45" t="s">
        <v>176</v>
      </c>
      <c r="J2148" s="45" t="s">
        <v>4269</v>
      </c>
      <c r="K2148" s="45" t="n">
        <v>2.9</v>
      </c>
      <c r="L2148" s="45" t="s">
        <v>263</v>
      </c>
      <c r="M2148" s="45" t="s">
        <v>259</v>
      </c>
      <c r="N2148" s="45" t="s">
        <v>167</v>
      </c>
      <c r="O2148" s="47" t="n">
        <v>46301.3174305556</v>
      </c>
      <c r="P2148" s="47" t="n">
        <v>46301.3194097222</v>
      </c>
    </row>
    <row r="2149" customFormat="false" ht="15" hidden="false" customHeight="false" outlineLevel="0" collapsed="false">
      <c r="A2149" s="45" t="n">
        <v>2360</v>
      </c>
      <c r="B2149" s="46" t="n">
        <v>46301</v>
      </c>
      <c r="C2149" s="45" t="s">
        <v>151</v>
      </c>
      <c r="D2149" s="45" t="s">
        <v>152</v>
      </c>
      <c r="E2149" s="45" t="s">
        <v>4270</v>
      </c>
      <c r="F2149" s="45" t="s">
        <v>4271</v>
      </c>
      <c r="G2149" s="46" t="n">
        <v>46296</v>
      </c>
      <c r="H2149" s="45" t="s">
        <v>168</v>
      </c>
      <c r="I2149" s="45" t="s">
        <v>196</v>
      </c>
      <c r="J2149" s="45" t="s">
        <v>4272</v>
      </c>
      <c r="K2149" s="45" t="n">
        <v>27.9</v>
      </c>
      <c r="L2149" s="45" t="s">
        <v>263</v>
      </c>
      <c r="M2149" s="45" t="s">
        <v>259</v>
      </c>
      <c r="N2149" s="45" t="s">
        <v>2559</v>
      </c>
      <c r="O2149" s="47" t="n">
        <v>46301.3272800926</v>
      </c>
      <c r="P2149" s="47" t="n">
        <v>46301.3466319444</v>
      </c>
    </row>
    <row r="2150" customFormat="false" ht="15" hidden="false" customHeight="false" outlineLevel="0" collapsed="false">
      <c r="A2150" s="45" t="n">
        <v>2353</v>
      </c>
      <c r="B2150" s="46" t="n">
        <v>46301</v>
      </c>
      <c r="C2150" s="45" t="s">
        <v>135</v>
      </c>
      <c r="D2150" s="45" t="s">
        <v>136</v>
      </c>
      <c r="E2150" s="45" t="s">
        <v>3411</v>
      </c>
      <c r="F2150" s="45" t="s">
        <v>4273</v>
      </c>
      <c r="G2150" s="46" t="n">
        <v>46324</v>
      </c>
      <c r="H2150" s="45" t="s">
        <v>168</v>
      </c>
      <c r="I2150" s="45" t="s">
        <v>193</v>
      </c>
      <c r="J2150" s="45" t="s">
        <v>4274</v>
      </c>
      <c r="K2150" s="45" t="n">
        <v>0.5</v>
      </c>
      <c r="L2150" s="45" t="s">
        <v>263</v>
      </c>
      <c r="M2150" s="45" t="s">
        <v>259</v>
      </c>
      <c r="N2150" s="45" t="s">
        <v>2559</v>
      </c>
      <c r="O2150" s="47" t="n">
        <v>46301.3301157407</v>
      </c>
      <c r="P2150" s="47" t="n">
        <v>46301.3304861111</v>
      </c>
    </row>
    <row r="2151" customFormat="false" ht="15" hidden="false" customHeight="false" outlineLevel="0" collapsed="false">
      <c r="A2151" s="45" t="n">
        <v>2354</v>
      </c>
      <c r="B2151" s="46" t="n">
        <v>46301</v>
      </c>
      <c r="C2151" s="45" t="s">
        <v>135</v>
      </c>
      <c r="D2151" s="45" t="s">
        <v>136</v>
      </c>
      <c r="E2151" s="45" t="s">
        <v>3411</v>
      </c>
      <c r="F2151" s="45" t="s">
        <v>4275</v>
      </c>
      <c r="G2151" s="46" t="n">
        <v>46288</v>
      </c>
      <c r="H2151" s="45" t="s">
        <v>167</v>
      </c>
      <c r="I2151" s="45" t="s">
        <v>177</v>
      </c>
      <c r="J2151" s="45" t="s">
        <v>4276</v>
      </c>
      <c r="K2151" s="45" t="n">
        <v>1.1</v>
      </c>
      <c r="L2151" s="45" t="s">
        <v>263</v>
      </c>
      <c r="M2151" s="45" t="s">
        <v>259</v>
      </c>
      <c r="N2151" s="45" t="s">
        <v>167</v>
      </c>
      <c r="O2151" s="47" t="n">
        <v>46301.3335648148</v>
      </c>
      <c r="P2151" s="47" t="n">
        <v>46301.3343287037</v>
      </c>
    </row>
    <row r="2152" customFormat="false" ht="15" hidden="false" customHeight="false" outlineLevel="0" collapsed="false">
      <c r="A2152" s="45" t="n">
        <v>2355</v>
      </c>
      <c r="B2152" s="46" t="n">
        <v>46301</v>
      </c>
      <c r="C2152" s="45" t="s">
        <v>135</v>
      </c>
      <c r="D2152" s="45" t="s">
        <v>136</v>
      </c>
      <c r="E2152" s="45" t="s">
        <v>3411</v>
      </c>
      <c r="F2152" s="45" t="s">
        <v>4277</v>
      </c>
      <c r="G2152" s="46" t="n">
        <v>46288</v>
      </c>
      <c r="H2152" s="45" t="s">
        <v>167</v>
      </c>
      <c r="I2152" s="45" t="s">
        <v>180</v>
      </c>
      <c r="J2152" s="45" t="s">
        <v>4278</v>
      </c>
      <c r="K2152" s="45" t="n">
        <v>4.8</v>
      </c>
      <c r="L2152" s="45" t="s">
        <v>263</v>
      </c>
      <c r="M2152" s="45" t="s">
        <v>259</v>
      </c>
      <c r="N2152" s="45" t="s">
        <v>167</v>
      </c>
      <c r="O2152" s="47" t="n">
        <v>46301.3351273148</v>
      </c>
      <c r="P2152" s="47" t="n">
        <v>46301.3384259259</v>
      </c>
    </row>
    <row r="2153" customFormat="false" ht="15" hidden="false" customHeight="false" outlineLevel="0" collapsed="false">
      <c r="A2153" s="45" t="n">
        <v>2356</v>
      </c>
      <c r="B2153" s="46" t="n">
        <v>46301</v>
      </c>
      <c r="C2153" s="45" t="s">
        <v>139</v>
      </c>
      <c r="D2153" s="45" t="s">
        <v>140</v>
      </c>
      <c r="E2153" s="45" t="s">
        <v>4279</v>
      </c>
      <c r="F2153" s="45" t="s">
        <v>4280</v>
      </c>
      <c r="G2153" s="46" t="n">
        <v>46290</v>
      </c>
      <c r="H2153" s="45" t="s">
        <v>167</v>
      </c>
      <c r="I2153" s="45" t="s">
        <v>177</v>
      </c>
      <c r="J2153" s="45" t="s">
        <v>4281</v>
      </c>
      <c r="K2153" s="45" t="n">
        <v>1.8</v>
      </c>
      <c r="L2153" s="45" t="s">
        <v>263</v>
      </c>
      <c r="M2153" s="45" t="s">
        <v>259</v>
      </c>
      <c r="N2153" s="45" t="s">
        <v>167</v>
      </c>
      <c r="O2153" s="47" t="n">
        <v>46301.3376736111</v>
      </c>
      <c r="P2153" s="47" t="n">
        <v>46301.3388888889</v>
      </c>
    </row>
    <row r="2154" customFormat="false" ht="15" hidden="false" customHeight="false" outlineLevel="0" collapsed="false">
      <c r="A2154" s="45" t="n">
        <v>2357</v>
      </c>
      <c r="B2154" s="46" t="n">
        <v>46301</v>
      </c>
      <c r="C2154" s="45" t="s">
        <v>135</v>
      </c>
      <c r="D2154" s="45" t="s">
        <v>136</v>
      </c>
      <c r="E2154" s="45" t="s">
        <v>4282</v>
      </c>
      <c r="F2154" s="45" t="s">
        <v>4283</v>
      </c>
      <c r="G2154" s="46" t="n">
        <v>46291</v>
      </c>
      <c r="H2154" s="45" t="s">
        <v>169</v>
      </c>
      <c r="I2154" s="45"/>
      <c r="J2154" s="45"/>
      <c r="K2154" s="45" t="n">
        <v>0.3</v>
      </c>
      <c r="L2154" s="45" t="s">
        <v>263</v>
      </c>
      <c r="M2154" s="45" t="s">
        <v>259</v>
      </c>
      <c r="N2154" s="45" t="s">
        <v>169</v>
      </c>
      <c r="O2154" s="47" t="n">
        <v>46301.3394444444</v>
      </c>
      <c r="P2154" s="47" t="n">
        <v>46301.3396527778</v>
      </c>
    </row>
    <row r="2155" customFormat="false" ht="15" hidden="false" customHeight="false" outlineLevel="0" collapsed="false">
      <c r="A2155" s="45" t="n">
        <v>2358</v>
      </c>
      <c r="B2155" s="46" t="n">
        <v>46301</v>
      </c>
      <c r="C2155" s="45" t="s">
        <v>135</v>
      </c>
      <c r="D2155" s="45" t="s">
        <v>136</v>
      </c>
      <c r="E2155" s="45" t="s">
        <v>4282</v>
      </c>
      <c r="F2155" s="45" t="s">
        <v>4284</v>
      </c>
      <c r="G2155" s="46" t="n">
        <v>46288</v>
      </c>
      <c r="H2155" s="45" t="s">
        <v>167</v>
      </c>
      <c r="I2155" s="45" t="s">
        <v>180</v>
      </c>
      <c r="J2155" s="45" t="s">
        <v>4285</v>
      </c>
      <c r="K2155" s="45" t="n">
        <v>5.9</v>
      </c>
      <c r="L2155" s="45" t="s">
        <v>263</v>
      </c>
      <c r="M2155" s="45" t="s">
        <v>259</v>
      </c>
      <c r="N2155" s="45" t="s">
        <v>167</v>
      </c>
      <c r="O2155" s="47" t="n">
        <v>46301.3399421296</v>
      </c>
      <c r="P2155" s="47" t="n">
        <v>46301.3440393519</v>
      </c>
    </row>
    <row r="2156" customFormat="false" ht="15" hidden="false" customHeight="false" outlineLevel="0" collapsed="false">
      <c r="A2156" s="45" t="n">
        <v>2359</v>
      </c>
      <c r="B2156" s="46" t="n">
        <v>46301</v>
      </c>
      <c r="C2156" s="45" t="s">
        <v>139</v>
      </c>
      <c r="D2156" s="45" t="s">
        <v>140</v>
      </c>
      <c r="E2156" s="45" t="s">
        <v>4279</v>
      </c>
      <c r="F2156" s="45" t="s">
        <v>4286</v>
      </c>
      <c r="G2156" s="46" t="n">
        <v>46290</v>
      </c>
      <c r="H2156" s="45" t="s">
        <v>167</v>
      </c>
      <c r="I2156" s="45" t="s">
        <v>176</v>
      </c>
      <c r="J2156" s="45" t="s">
        <v>4287</v>
      </c>
      <c r="K2156" s="45" t="n">
        <v>3.8</v>
      </c>
      <c r="L2156" s="45" t="s">
        <v>263</v>
      </c>
      <c r="M2156" s="45" t="s">
        <v>259</v>
      </c>
      <c r="N2156" s="45" t="s">
        <v>167</v>
      </c>
      <c r="O2156" s="47" t="n">
        <v>46301.3426041667</v>
      </c>
      <c r="P2156" s="47" t="n">
        <v>46301.3452430556</v>
      </c>
    </row>
    <row r="2157" customFormat="false" ht="15" hidden="false" customHeight="false" outlineLevel="0" collapsed="false">
      <c r="A2157" s="45" t="n">
        <v>2363</v>
      </c>
      <c r="B2157" s="46" t="n">
        <v>46301</v>
      </c>
      <c r="C2157" s="45" t="s">
        <v>151</v>
      </c>
      <c r="D2157" s="45" t="s">
        <v>152</v>
      </c>
      <c r="E2157" s="45" t="s">
        <v>4270</v>
      </c>
      <c r="F2157" s="45" t="s">
        <v>4288</v>
      </c>
      <c r="G2157" s="46" t="n">
        <v>46295</v>
      </c>
      <c r="H2157" s="45" t="s">
        <v>167</v>
      </c>
      <c r="I2157" s="45" t="s">
        <v>176</v>
      </c>
      <c r="J2157" s="45" t="s">
        <v>4289</v>
      </c>
      <c r="K2157" s="45" t="n">
        <v>8</v>
      </c>
      <c r="L2157" s="45" t="s">
        <v>263</v>
      </c>
      <c r="M2157" s="45" t="s">
        <v>259</v>
      </c>
      <c r="N2157" s="45" t="s">
        <v>167</v>
      </c>
      <c r="O2157" s="47" t="n">
        <v>46301.3466666667</v>
      </c>
      <c r="P2157" s="47" t="n">
        <v>46301.3522453704</v>
      </c>
    </row>
    <row r="2158" customFormat="false" ht="15" hidden="false" customHeight="false" outlineLevel="0" collapsed="false">
      <c r="A2158" s="45" t="n">
        <v>2361</v>
      </c>
      <c r="B2158" s="46" t="n">
        <v>46301</v>
      </c>
      <c r="C2158" s="45" t="s">
        <v>139</v>
      </c>
      <c r="D2158" s="45" t="s">
        <v>140</v>
      </c>
      <c r="E2158" s="45" t="s">
        <v>4290</v>
      </c>
      <c r="F2158" s="45" t="s">
        <v>4291</v>
      </c>
      <c r="G2158" s="46" t="n">
        <v>46290</v>
      </c>
      <c r="H2158" s="45" t="s">
        <v>169</v>
      </c>
      <c r="I2158" s="45"/>
      <c r="J2158" s="45"/>
      <c r="K2158" s="45" t="n">
        <v>3.5</v>
      </c>
      <c r="L2158" s="45" t="s">
        <v>263</v>
      </c>
      <c r="M2158" s="45" t="s">
        <v>259</v>
      </c>
      <c r="N2158" s="45" t="s">
        <v>169</v>
      </c>
      <c r="O2158" s="47" t="n">
        <v>46301.3469097222</v>
      </c>
      <c r="P2158" s="47" t="n">
        <v>46301.3493055556</v>
      </c>
    </row>
    <row r="2159" customFormat="false" ht="15" hidden="false" customHeight="false" outlineLevel="0" collapsed="false">
      <c r="A2159" s="45" t="n">
        <v>2362</v>
      </c>
      <c r="B2159" s="46" t="n">
        <v>46301</v>
      </c>
      <c r="C2159" s="45" t="s">
        <v>139</v>
      </c>
      <c r="D2159" s="45" t="s">
        <v>140</v>
      </c>
      <c r="E2159" s="45" t="s">
        <v>2652</v>
      </c>
      <c r="F2159" s="45" t="s">
        <v>4292</v>
      </c>
      <c r="G2159" s="46" t="n">
        <v>46291</v>
      </c>
      <c r="H2159" s="45" t="s">
        <v>167</v>
      </c>
      <c r="I2159" s="45" t="s">
        <v>180</v>
      </c>
      <c r="J2159" s="45" t="s">
        <v>4293</v>
      </c>
      <c r="K2159" s="45" t="n">
        <v>0.6</v>
      </c>
      <c r="L2159" s="45" t="s">
        <v>263</v>
      </c>
      <c r="M2159" s="45" t="s">
        <v>259</v>
      </c>
      <c r="N2159" s="45" t="s">
        <v>167</v>
      </c>
      <c r="O2159" s="47" t="n">
        <v>46301.3497569444</v>
      </c>
      <c r="P2159" s="47" t="n">
        <v>46301.350162037</v>
      </c>
    </row>
    <row r="2160" customFormat="false" ht="15" hidden="false" customHeight="false" outlineLevel="0" collapsed="false">
      <c r="A2160" s="45" t="n">
        <v>2365</v>
      </c>
      <c r="B2160" s="46" t="n">
        <v>46301</v>
      </c>
      <c r="C2160" s="45" t="s">
        <v>135</v>
      </c>
      <c r="D2160" s="45" t="s">
        <v>136</v>
      </c>
      <c r="E2160" s="45" t="s">
        <v>219</v>
      </c>
      <c r="F2160" s="45" t="s">
        <v>4294</v>
      </c>
      <c r="G2160" s="46" t="n">
        <v>46295</v>
      </c>
      <c r="H2160" s="45" t="s">
        <v>57</v>
      </c>
      <c r="I2160" s="45" t="s">
        <v>200</v>
      </c>
      <c r="J2160" s="45" t="s">
        <v>4295</v>
      </c>
      <c r="K2160" s="45" t="n">
        <v>1</v>
      </c>
      <c r="L2160" s="45" t="s">
        <v>263</v>
      </c>
      <c r="M2160" s="45" t="s">
        <v>259</v>
      </c>
      <c r="N2160" s="45" t="s">
        <v>57</v>
      </c>
      <c r="O2160" s="47" t="n">
        <v>46301.354224537</v>
      </c>
      <c r="P2160" s="47" t="n">
        <v>46301.3549074074</v>
      </c>
    </row>
    <row r="2161" customFormat="false" ht="15" hidden="false" customHeight="false" outlineLevel="0" collapsed="false">
      <c r="A2161" s="45" t="n">
        <v>2364</v>
      </c>
      <c r="B2161" s="46" t="n">
        <v>46301</v>
      </c>
      <c r="C2161" s="45" t="s">
        <v>139</v>
      </c>
      <c r="D2161" s="45" t="s">
        <v>140</v>
      </c>
      <c r="E2161" s="45" t="s">
        <v>2666</v>
      </c>
      <c r="F2161" s="45" t="s">
        <v>4296</v>
      </c>
      <c r="G2161" s="46" t="n">
        <v>46291</v>
      </c>
      <c r="H2161" s="45" t="s">
        <v>167</v>
      </c>
      <c r="I2161" s="45" t="s">
        <v>180</v>
      </c>
      <c r="J2161" s="45" t="s">
        <v>4297</v>
      </c>
      <c r="K2161" s="45" t="n">
        <v>0.4</v>
      </c>
      <c r="L2161" s="45" t="s">
        <v>263</v>
      </c>
      <c r="M2161" s="45" t="s">
        <v>259</v>
      </c>
      <c r="N2161" s="45" t="s">
        <v>167</v>
      </c>
      <c r="O2161" s="47" t="n">
        <v>46301.3542476852</v>
      </c>
      <c r="P2161" s="47" t="n">
        <v>46301.3545486111</v>
      </c>
    </row>
    <row r="2162" customFormat="false" ht="15" hidden="false" customHeight="false" outlineLevel="0" collapsed="false">
      <c r="A2162" s="45" t="n">
        <v>2366</v>
      </c>
      <c r="B2162" s="46" t="n">
        <v>46301</v>
      </c>
      <c r="C2162" s="45" t="s">
        <v>139</v>
      </c>
      <c r="D2162" s="45" t="s">
        <v>140</v>
      </c>
      <c r="E2162" s="45" t="s">
        <v>233</v>
      </c>
      <c r="F2162" s="45" t="s">
        <v>4064</v>
      </c>
      <c r="G2162" s="46" t="n">
        <v>46292</v>
      </c>
      <c r="H2162" s="45" t="s">
        <v>167</v>
      </c>
      <c r="I2162" s="45" t="s">
        <v>180</v>
      </c>
      <c r="J2162" s="45" t="s">
        <v>4298</v>
      </c>
      <c r="K2162" s="45" t="n">
        <v>0.4</v>
      </c>
      <c r="L2162" s="45" t="s">
        <v>259</v>
      </c>
      <c r="M2162" s="45" t="s">
        <v>259</v>
      </c>
      <c r="N2162" s="45" t="s">
        <v>167</v>
      </c>
      <c r="O2162" s="47" t="n">
        <v>46301.3550810185</v>
      </c>
      <c r="P2162" s="47" t="n">
        <v>46301.3553356482</v>
      </c>
    </row>
    <row r="2163" customFormat="false" ht="15" hidden="false" customHeight="false" outlineLevel="0" collapsed="false">
      <c r="A2163" s="45" t="n">
        <v>2367</v>
      </c>
      <c r="B2163" s="46" t="n">
        <v>46301</v>
      </c>
      <c r="C2163" s="45" t="s">
        <v>135</v>
      </c>
      <c r="D2163" s="45" t="s">
        <v>136</v>
      </c>
      <c r="E2163" s="45" t="s">
        <v>219</v>
      </c>
      <c r="F2163" s="45" t="s">
        <v>4299</v>
      </c>
      <c r="G2163" s="46" t="n">
        <v>46294</v>
      </c>
      <c r="H2163" s="45" t="s">
        <v>167</v>
      </c>
      <c r="I2163" s="45" t="s">
        <v>180</v>
      </c>
      <c r="J2163" s="45" t="s">
        <v>4300</v>
      </c>
      <c r="K2163" s="45" t="n">
        <v>3</v>
      </c>
      <c r="L2163" s="45" t="s">
        <v>263</v>
      </c>
      <c r="M2163" s="45" t="s">
        <v>259</v>
      </c>
      <c r="N2163" s="45" t="s">
        <v>167</v>
      </c>
      <c r="O2163" s="47" t="n">
        <v>46301.3557175926</v>
      </c>
      <c r="P2163" s="47" t="n">
        <v>46301.3578240741</v>
      </c>
    </row>
    <row r="2164" customFormat="false" ht="15" hidden="false" customHeight="false" outlineLevel="0" collapsed="false">
      <c r="A2164" s="45" t="n">
        <v>2372</v>
      </c>
      <c r="B2164" s="46" t="n">
        <v>46301</v>
      </c>
      <c r="C2164" s="45" t="s">
        <v>139</v>
      </c>
      <c r="D2164" s="45" t="s">
        <v>140</v>
      </c>
      <c r="E2164" s="45" t="s">
        <v>4279</v>
      </c>
      <c r="F2164" s="45" t="s">
        <v>4301</v>
      </c>
      <c r="G2164" s="46" t="n">
        <v>46292</v>
      </c>
      <c r="H2164" s="45" t="s">
        <v>167</v>
      </c>
      <c r="I2164" s="45" t="s">
        <v>178</v>
      </c>
      <c r="J2164" s="45" t="s">
        <v>4302</v>
      </c>
      <c r="K2164" s="45" t="n">
        <v>16.4</v>
      </c>
      <c r="L2164" s="45" t="s">
        <v>263</v>
      </c>
      <c r="M2164" s="45" t="s">
        <v>259</v>
      </c>
      <c r="N2164" s="45" t="s">
        <v>167</v>
      </c>
      <c r="O2164" s="47" t="n">
        <v>46301.3562731482</v>
      </c>
      <c r="P2164" s="47" t="n">
        <v>46301.3676967593</v>
      </c>
    </row>
    <row r="2165" customFormat="false" ht="15" hidden="false" customHeight="false" outlineLevel="0" collapsed="false">
      <c r="A2165" s="45" t="n">
        <v>2368</v>
      </c>
      <c r="B2165" s="46" t="n">
        <v>46301</v>
      </c>
      <c r="C2165" s="45" t="s">
        <v>135</v>
      </c>
      <c r="D2165" s="45" t="s">
        <v>136</v>
      </c>
      <c r="E2165" s="45" t="s">
        <v>219</v>
      </c>
      <c r="F2165" s="45" t="s">
        <v>4303</v>
      </c>
      <c r="G2165" s="46" t="n">
        <v>46298</v>
      </c>
      <c r="H2165" s="45" t="s">
        <v>167</v>
      </c>
      <c r="I2165" s="45" t="s">
        <v>180</v>
      </c>
      <c r="J2165" s="45" t="s">
        <v>4304</v>
      </c>
      <c r="K2165" s="45" t="n">
        <v>1.9</v>
      </c>
      <c r="L2165" s="45" t="s">
        <v>263</v>
      </c>
      <c r="M2165" s="45" t="s">
        <v>259</v>
      </c>
      <c r="N2165" s="45" t="s">
        <v>167</v>
      </c>
      <c r="O2165" s="47" t="n">
        <v>46301.3579050926</v>
      </c>
      <c r="P2165" s="47" t="n">
        <v>46301.359224537</v>
      </c>
    </row>
    <row r="2166" customFormat="false" ht="15" hidden="false" customHeight="false" outlineLevel="0" collapsed="false">
      <c r="A2166" s="45" t="n">
        <v>2369</v>
      </c>
      <c r="B2166" s="46" t="n">
        <v>46301</v>
      </c>
      <c r="C2166" s="45" t="s">
        <v>135</v>
      </c>
      <c r="D2166" s="45" t="s">
        <v>136</v>
      </c>
      <c r="E2166" s="45" t="s">
        <v>219</v>
      </c>
      <c r="F2166" s="45" t="s">
        <v>4305</v>
      </c>
      <c r="G2166" s="46" t="n">
        <v>46298</v>
      </c>
      <c r="H2166" s="45" t="s">
        <v>167</v>
      </c>
      <c r="I2166" s="45" t="s">
        <v>180</v>
      </c>
      <c r="J2166" s="45" t="s">
        <v>4306</v>
      </c>
      <c r="K2166" s="45" t="n">
        <v>1.6</v>
      </c>
      <c r="L2166" s="45" t="s">
        <v>263</v>
      </c>
      <c r="M2166" s="45" t="s">
        <v>259</v>
      </c>
      <c r="N2166" s="45" t="s">
        <v>167</v>
      </c>
      <c r="O2166" s="47" t="n">
        <v>46301.3593287037</v>
      </c>
      <c r="P2166" s="47" t="n">
        <v>46301.360474537</v>
      </c>
    </row>
    <row r="2167" customFormat="false" ht="15" hidden="false" customHeight="false" outlineLevel="0" collapsed="false">
      <c r="A2167" s="45" t="n">
        <v>2370</v>
      </c>
      <c r="B2167" s="46" t="n">
        <v>46301</v>
      </c>
      <c r="C2167" s="45" t="s">
        <v>135</v>
      </c>
      <c r="D2167" s="45" t="s">
        <v>136</v>
      </c>
      <c r="E2167" s="45" t="s">
        <v>218</v>
      </c>
      <c r="F2167" s="45" t="s">
        <v>4307</v>
      </c>
      <c r="G2167" s="46" t="n">
        <v>46294</v>
      </c>
      <c r="H2167" s="45" t="s">
        <v>169</v>
      </c>
      <c r="I2167" s="45"/>
      <c r="J2167" s="45"/>
      <c r="K2167" s="45" t="n">
        <v>0.2</v>
      </c>
      <c r="L2167" s="45" t="s">
        <v>263</v>
      </c>
      <c r="M2167" s="45" t="s">
        <v>259</v>
      </c>
      <c r="N2167" s="45" t="s">
        <v>169</v>
      </c>
      <c r="O2167" s="47" t="n">
        <v>46301.3615740741</v>
      </c>
      <c r="P2167" s="47" t="n">
        <v>46301.3617013889</v>
      </c>
    </row>
    <row r="2168" customFormat="false" ht="15" hidden="false" customHeight="false" outlineLevel="0" collapsed="false">
      <c r="A2168" s="45" t="n">
        <v>2371</v>
      </c>
      <c r="B2168" s="46" t="n">
        <v>46301</v>
      </c>
      <c r="C2168" s="45" t="s">
        <v>135</v>
      </c>
      <c r="D2168" s="45" t="s">
        <v>136</v>
      </c>
      <c r="E2168" s="45" t="s">
        <v>218</v>
      </c>
      <c r="F2168" s="45" t="s">
        <v>4308</v>
      </c>
      <c r="G2168" s="46" t="n">
        <v>46287</v>
      </c>
      <c r="H2168" s="45" t="s">
        <v>57</v>
      </c>
      <c r="I2168" s="45" t="s">
        <v>200</v>
      </c>
      <c r="J2168" s="45" t="s">
        <v>4309</v>
      </c>
      <c r="K2168" s="45" t="n">
        <v>4</v>
      </c>
      <c r="L2168" s="45" t="s">
        <v>263</v>
      </c>
      <c r="M2168" s="45" t="s">
        <v>259</v>
      </c>
      <c r="N2168" s="45" t="s">
        <v>57</v>
      </c>
      <c r="O2168" s="47" t="n">
        <v>46301.361875</v>
      </c>
      <c r="P2168" s="47" t="n">
        <v>46301.3646180556</v>
      </c>
    </row>
    <row r="2169" customFormat="false" ht="15" hidden="false" customHeight="false" outlineLevel="0" collapsed="false">
      <c r="A2169" s="45" t="n">
        <v>2373</v>
      </c>
      <c r="B2169" s="46" t="n">
        <v>46301</v>
      </c>
      <c r="C2169" s="45" t="s">
        <v>139</v>
      </c>
      <c r="D2169" s="45" t="s">
        <v>140</v>
      </c>
      <c r="E2169" s="45" t="s">
        <v>221</v>
      </c>
      <c r="F2169" s="45" t="s">
        <v>4310</v>
      </c>
      <c r="G2169" s="46" t="n">
        <v>46291</v>
      </c>
      <c r="H2169" s="45" t="s">
        <v>167</v>
      </c>
      <c r="I2169" s="45" t="s">
        <v>179</v>
      </c>
      <c r="J2169" s="45" t="s">
        <v>4311</v>
      </c>
      <c r="K2169" s="45" t="n">
        <v>1.7</v>
      </c>
      <c r="L2169" s="45" t="s">
        <v>263</v>
      </c>
      <c r="M2169" s="45" t="s">
        <v>259</v>
      </c>
      <c r="N2169" s="45" t="s">
        <v>167</v>
      </c>
      <c r="O2169" s="47" t="n">
        <v>46301.3708101852</v>
      </c>
      <c r="P2169" s="47" t="n">
        <v>46301.3720023148</v>
      </c>
    </row>
    <row r="2170" customFormat="false" ht="15" hidden="false" customHeight="false" outlineLevel="0" collapsed="false">
      <c r="A2170" s="45" t="n">
        <v>2374</v>
      </c>
      <c r="B2170" s="46" t="n">
        <v>46301</v>
      </c>
      <c r="C2170" s="45" t="s">
        <v>135</v>
      </c>
      <c r="D2170" s="45" t="s">
        <v>136</v>
      </c>
      <c r="E2170" s="45" t="s">
        <v>218</v>
      </c>
      <c r="F2170" s="45" t="s">
        <v>4312</v>
      </c>
      <c r="G2170" s="46" t="n">
        <v>46322</v>
      </c>
      <c r="H2170" s="45" t="s">
        <v>167</v>
      </c>
      <c r="I2170" s="45" t="s">
        <v>177</v>
      </c>
      <c r="J2170" s="45" t="s">
        <v>4313</v>
      </c>
      <c r="K2170" s="45" t="n">
        <v>1.1</v>
      </c>
      <c r="L2170" s="45" t="s">
        <v>263</v>
      </c>
      <c r="M2170" s="45" t="s">
        <v>259</v>
      </c>
      <c r="N2170" s="45" t="s">
        <v>167</v>
      </c>
      <c r="O2170" s="47" t="n">
        <v>46301.3728703704</v>
      </c>
      <c r="P2170" s="47" t="n">
        <v>46301.3736111111</v>
      </c>
    </row>
    <row r="2171" customFormat="false" ht="15" hidden="false" customHeight="false" outlineLevel="0" collapsed="false">
      <c r="A2171" s="45" t="n">
        <v>2375</v>
      </c>
      <c r="B2171" s="46" t="n">
        <v>46301</v>
      </c>
      <c r="C2171" s="45" t="s">
        <v>135</v>
      </c>
      <c r="D2171" s="45" t="s">
        <v>136</v>
      </c>
      <c r="E2171" s="45" t="s">
        <v>218</v>
      </c>
      <c r="F2171" s="45" t="s">
        <v>4314</v>
      </c>
      <c r="G2171" s="46" t="n">
        <v>46287</v>
      </c>
      <c r="H2171" s="45" t="s">
        <v>168</v>
      </c>
      <c r="I2171" s="45" t="s">
        <v>191</v>
      </c>
      <c r="J2171" s="45" t="s">
        <v>4315</v>
      </c>
      <c r="K2171" s="45" t="n">
        <v>0.8</v>
      </c>
      <c r="L2171" s="45" t="s">
        <v>263</v>
      </c>
      <c r="M2171" s="45" t="s">
        <v>259</v>
      </c>
      <c r="N2171" s="45" t="s">
        <v>2559</v>
      </c>
      <c r="O2171" s="47" t="n">
        <v>46301.3744907407</v>
      </c>
      <c r="P2171" s="47" t="n">
        <v>46301.3750462963</v>
      </c>
    </row>
    <row r="2172" customFormat="false" ht="15" hidden="false" customHeight="false" outlineLevel="0" collapsed="false">
      <c r="A2172" s="45" t="n">
        <v>2376</v>
      </c>
      <c r="B2172" s="46" t="n">
        <v>46301</v>
      </c>
      <c r="C2172" s="45" t="s">
        <v>131</v>
      </c>
      <c r="D2172" s="45" t="s">
        <v>132</v>
      </c>
      <c r="E2172" s="45" t="s">
        <v>3984</v>
      </c>
      <c r="F2172" s="45" t="s">
        <v>4316</v>
      </c>
      <c r="G2172" s="46" t="n">
        <v>46271</v>
      </c>
      <c r="H2172" s="45" t="s">
        <v>167</v>
      </c>
      <c r="I2172" s="45" t="s">
        <v>180</v>
      </c>
      <c r="J2172" s="45" t="s">
        <v>4317</v>
      </c>
      <c r="K2172" s="45" t="n">
        <v>12.5</v>
      </c>
      <c r="L2172" s="45" t="s">
        <v>263</v>
      </c>
      <c r="M2172" s="45" t="s">
        <v>259</v>
      </c>
      <c r="N2172" s="45" t="s">
        <v>167</v>
      </c>
      <c r="O2172" s="47" t="n">
        <v>46301.7785300926</v>
      </c>
      <c r="P2172" s="47" t="n">
        <v>46301.7872106481</v>
      </c>
    </row>
    <row r="2173" customFormat="false" ht="15" hidden="false" customHeight="false" outlineLevel="0" collapsed="false">
      <c r="A2173" s="45" t="n">
        <v>2377</v>
      </c>
      <c r="B2173" s="46" t="n">
        <v>46301</v>
      </c>
      <c r="C2173" s="45" t="s">
        <v>147</v>
      </c>
      <c r="D2173" s="45" t="s">
        <v>148</v>
      </c>
      <c r="E2173" s="45" t="s">
        <v>3722</v>
      </c>
      <c r="F2173" s="45" t="s">
        <v>4318</v>
      </c>
      <c r="G2173" s="46" t="n">
        <v>46299</v>
      </c>
      <c r="H2173" s="45" t="s">
        <v>168</v>
      </c>
      <c r="I2173" s="45" t="s">
        <v>193</v>
      </c>
      <c r="J2173" s="45" t="s">
        <v>4319</v>
      </c>
      <c r="K2173" s="45" t="n">
        <v>6.9</v>
      </c>
      <c r="L2173" s="45" t="s">
        <v>263</v>
      </c>
      <c r="M2173" s="45" t="s">
        <v>259</v>
      </c>
      <c r="N2173" s="45" t="s">
        <v>2559</v>
      </c>
      <c r="O2173" s="47" t="n">
        <v>46301.9578125</v>
      </c>
      <c r="P2173" s="47" t="n">
        <v>46301.9626273148</v>
      </c>
    </row>
    <row r="2174" customFormat="false" ht="15" hidden="false" customHeight="false" outlineLevel="0" collapsed="false">
      <c r="A2174" s="45" t="n">
        <v>2378</v>
      </c>
      <c r="B2174" s="46" t="n">
        <v>46301</v>
      </c>
      <c r="C2174" s="45" t="s">
        <v>147</v>
      </c>
      <c r="D2174" s="45" t="s">
        <v>148</v>
      </c>
      <c r="E2174" s="45" t="s">
        <v>4000</v>
      </c>
      <c r="F2174" s="45" t="s">
        <v>4320</v>
      </c>
      <c r="G2174" s="46" t="n">
        <v>46299</v>
      </c>
      <c r="H2174" s="45" t="s">
        <v>168</v>
      </c>
      <c r="I2174" s="45" t="s">
        <v>193</v>
      </c>
      <c r="J2174" s="45" t="s">
        <v>4321</v>
      </c>
      <c r="K2174" s="45" t="n">
        <v>1.2</v>
      </c>
      <c r="L2174" s="45" t="s">
        <v>263</v>
      </c>
      <c r="M2174" s="45" t="s">
        <v>259</v>
      </c>
      <c r="N2174" s="45" t="s">
        <v>2559</v>
      </c>
      <c r="O2174" s="47" t="n">
        <v>46301.9634953704</v>
      </c>
      <c r="P2174" s="47" t="n">
        <v>46301.9643518519</v>
      </c>
    </row>
    <row r="2175" customFormat="false" ht="15" hidden="false" customHeight="false" outlineLevel="0" collapsed="false">
      <c r="A2175" s="45" t="n">
        <v>2380</v>
      </c>
      <c r="B2175" s="46" t="n">
        <v>46302</v>
      </c>
      <c r="C2175" s="45" t="s">
        <v>131</v>
      </c>
      <c r="D2175" s="45" t="s">
        <v>132</v>
      </c>
      <c r="E2175" s="45" t="s">
        <v>2226</v>
      </c>
      <c r="F2175" s="45" t="s">
        <v>4322</v>
      </c>
      <c r="G2175" s="46" t="n">
        <v>46299</v>
      </c>
      <c r="H2175" s="45" t="s">
        <v>168</v>
      </c>
      <c r="I2175" s="45" t="s">
        <v>191</v>
      </c>
      <c r="J2175" s="45" t="s">
        <v>4323</v>
      </c>
      <c r="K2175" s="45" t="n">
        <v>0.9</v>
      </c>
      <c r="L2175" s="45" t="s">
        <v>263</v>
      </c>
      <c r="M2175" s="45" t="s">
        <v>259</v>
      </c>
      <c r="N2175" s="45" t="s">
        <v>2559</v>
      </c>
      <c r="O2175" s="47" t="n">
        <v>46302.0200115741</v>
      </c>
      <c r="P2175" s="47" t="n">
        <v>46302.0206365741</v>
      </c>
    </row>
    <row r="2176" customFormat="false" ht="15" hidden="false" customHeight="false" outlineLevel="0" collapsed="false">
      <c r="A2176" s="45" t="n">
        <v>2381</v>
      </c>
      <c r="B2176" s="46" t="n">
        <v>46302</v>
      </c>
      <c r="C2176" s="45" t="s">
        <v>131</v>
      </c>
      <c r="D2176" s="45" t="s">
        <v>132</v>
      </c>
      <c r="E2176" s="45" t="s">
        <v>242</v>
      </c>
      <c r="F2176" s="45" t="s">
        <v>4324</v>
      </c>
      <c r="G2176" s="46" t="n">
        <v>46298</v>
      </c>
      <c r="H2176" s="45" t="s">
        <v>57</v>
      </c>
      <c r="I2176" s="45" t="s">
        <v>201</v>
      </c>
      <c r="J2176" s="45" t="s">
        <v>4325</v>
      </c>
      <c r="K2176" s="45" t="n">
        <v>1.8</v>
      </c>
      <c r="L2176" s="45" t="s">
        <v>263</v>
      </c>
      <c r="M2176" s="45" t="s">
        <v>259</v>
      </c>
      <c r="N2176" s="45" t="s">
        <v>57</v>
      </c>
      <c r="O2176" s="47" t="n">
        <v>46302.0209606482</v>
      </c>
      <c r="P2176" s="47" t="n">
        <v>46302.0221875</v>
      </c>
    </row>
    <row r="2177" customFormat="false" ht="15" hidden="false" customHeight="false" outlineLevel="0" collapsed="false">
      <c r="A2177" s="45" t="n">
        <v>2382</v>
      </c>
      <c r="B2177" s="46" t="n">
        <v>46302</v>
      </c>
      <c r="C2177" s="45" t="s">
        <v>131</v>
      </c>
      <c r="D2177" s="45" t="s">
        <v>132</v>
      </c>
      <c r="E2177" s="45" t="s">
        <v>240</v>
      </c>
      <c r="F2177" s="45" t="s">
        <v>4326</v>
      </c>
      <c r="G2177" s="46" t="n">
        <v>46299</v>
      </c>
      <c r="H2177" s="45" t="s">
        <v>167</v>
      </c>
      <c r="I2177" s="45" t="s">
        <v>176</v>
      </c>
      <c r="J2177" s="45" t="s">
        <v>4327</v>
      </c>
      <c r="K2177" s="45" t="n">
        <v>0.9</v>
      </c>
      <c r="L2177" s="45" t="s">
        <v>263</v>
      </c>
      <c r="M2177" s="45" t="s">
        <v>259</v>
      </c>
      <c r="N2177" s="45" t="s">
        <v>167</v>
      </c>
      <c r="O2177" s="47" t="n">
        <v>46302.0345833333</v>
      </c>
      <c r="P2177" s="47" t="n">
        <v>46302.0352199074</v>
      </c>
    </row>
    <row r="2178" customFormat="false" ht="15" hidden="false" customHeight="false" outlineLevel="0" collapsed="false">
      <c r="A2178" s="45" t="n">
        <v>2383</v>
      </c>
      <c r="B2178" s="46" t="n">
        <v>46302</v>
      </c>
      <c r="C2178" s="45" t="s">
        <v>131</v>
      </c>
      <c r="D2178" s="45" t="s">
        <v>132</v>
      </c>
      <c r="E2178" s="45" t="s">
        <v>3943</v>
      </c>
      <c r="F2178" s="45" t="s">
        <v>4328</v>
      </c>
      <c r="G2178" s="46" t="n">
        <v>46298</v>
      </c>
      <c r="H2178" s="45" t="s">
        <v>167</v>
      </c>
      <c r="I2178" s="45" t="s">
        <v>186</v>
      </c>
      <c r="J2178" s="45" t="s">
        <v>4329</v>
      </c>
      <c r="K2178" s="45" t="n">
        <v>1.6</v>
      </c>
      <c r="L2178" s="45" t="s">
        <v>263</v>
      </c>
      <c r="M2178" s="45" t="s">
        <v>259</v>
      </c>
      <c r="N2178" s="45" t="s">
        <v>167</v>
      </c>
      <c r="O2178" s="47" t="n">
        <v>46302.0355092593</v>
      </c>
      <c r="P2178" s="47" t="n">
        <v>46302.0366550926</v>
      </c>
    </row>
    <row r="2179" customFormat="false" ht="15" hidden="false" customHeight="false" outlineLevel="0" collapsed="false">
      <c r="A2179" s="45" t="n">
        <v>2384</v>
      </c>
      <c r="B2179" s="46" t="n">
        <v>46302</v>
      </c>
      <c r="C2179" s="45" t="s">
        <v>131</v>
      </c>
      <c r="D2179" s="45" t="s">
        <v>132</v>
      </c>
      <c r="E2179" s="45" t="s">
        <v>3544</v>
      </c>
      <c r="F2179" s="45" t="s">
        <v>4330</v>
      </c>
      <c r="G2179" s="46" t="n">
        <v>46298</v>
      </c>
      <c r="H2179" s="45" t="s">
        <v>167</v>
      </c>
      <c r="I2179" s="45" t="s">
        <v>176</v>
      </c>
      <c r="J2179" s="45" t="s">
        <v>4331</v>
      </c>
      <c r="K2179" s="45" t="n">
        <v>2</v>
      </c>
      <c r="L2179" s="45" t="s">
        <v>263</v>
      </c>
      <c r="M2179" s="45" t="s">
        <v>259</v>
      </c>
      <c r="N2179" s="45" t="s">
        <v>167</v>
      </c>
      <c r="O2179" s="47" t="n">
        <v>46302.0373148148</v>
      </c>
      <c r="P2179" s="47" t="n">
        <v>46302.0387152778</v>
      </c>
    </row>
    <row r="2180" customFormat="false" ht="15" hidden="false" customHeight="false" outlineLevel="0" collapsed="false">
      <c r="A2180" s="45" t="n">
        <v>2385</v>
      </c>
      <c r="B2180" s="46" t="n">
        <v>46302</v>
      </c>
      <c r="C2180" s="45" t="s">
        <v>131</v>
      </c>
      <c r="D2180" s="45" t="s">
        <v>132</v>
      </c>
      <c r="E2180" s="45" t="s">
        <v>3539</v>
      </c>
      <c r="F2180" s="45" t="s">
        <v>4332</v>
      </c>
      <c r="G2180" s="46" t="n">
        <v>46298</v>
      </c>
      <c r="H2180" s="45" t="s">
        <v>170</v>
      </c>
      <c r="I2180" s="45" t="s">
        <v>206</v>
      </c>
      <c r="J2180" s="45" t="s">
        <v>4333</v>
      </c>
      <c r="K2180" s="45" t="n">
        <v>0.9</v>
      </c>
      <c r="L2180" s="45" t="s">
        <v>263</v>
      </c>
      <c r="M2180" s="45" t="s">
        <v>259</v>
      </c>
      <c r="N2180" s="45" t="s">
        <v>2649</v>
      </c>
      <c r="O2180" s="47" t="n">
        <v>46302.040162037</v>
      </c>
      <c r="P2180" s="47" t="n">
        <v>46302.0407638889</v>
      </c>
    </row>
    <row r="2181" customFormat="false" ht="15" hidden="false" customHeight="false" outlineLevel="0" collapsed="false">
      <c r="A2181" s="45" t="n">
        <v>2386</v>
      </c>
      <c r="B2181" s="46" t="n">
        <v>46302</v>
      </c>
      <c r="C2181" s="45" t="s">
        <v>131</v>
      </c>
      <c r="D2181" s="45" t="s">
        <v>132</v>
      </c>
      <c r="E2181" s="45" t="s">
        <v>4334</v>
      </c>
      <c r="F2181" s="45" t="s">
        <v>4335</v>
      </c>
      <c r="G2181" s="46" t="n">
        <v>46297</v>
      </c>
      <c r="H2181" s="45" t="s">
        <v>57</v>
      </c>
      <c r="I2181" s="45" t="s">
        <v>201</v>
      </c>
      <c r="J2181" s="45" t="s">
        <v>1429</v>
      </c>
      <c r="K2181" s="45" t="n">
        <v>1.1</v>
      </c>
      <c r="L2181" s="45" t="s">
        <v>263</v>
      </c>
      <c r="M2181" s="45" t="s">
        <v>259</v>
      </c>
      <c r="N2181" s="45" t="s">
        <v>57</v>
      </c>
      <c r="O2181" s="47" t="n">
        <v>46302.0423148148</v>
      </c>
      <c r="P2181" s="47" t="n">
        <v>46302.0431134259</v>
      </c>
    </row>
    <row r="2182" customFormat="false" ht="15" hidden="false" customHeight="false" outlineLevel="0" collapsed="false">
      <c r="A2182" s="45" t="n">
        <v>2387</v>
      </c>
      <c r="B2182" s="46" t="n">
        <v>46302</v>
      </c>
      <c r="C2182" s="45" t="s">
        <v>131</v>
      </c>
      <c r="D2182" s="45" t="s">
        <v>132</v>
      </c>
      <c r="E2182" s="45" t="s">
        <v>2127</v>
      </c>
      <c r="F2182" s="45" t="s">
        <v>4336</v>
      </c>
      <c r="G2182" s="46" t="n">
        <v>46297</v>
      </c>
      <c r="H2182" s="45" t="s">
        <v>167</v>
      </c>
      <c r="I2182" s="45" t="s">
        <v>183</v>
      </c>
      <c r="J2182" s="45" t="s">
        <v>4337</v>
      </c>
      <c r="K2182" s="45" t="n">
        <v>1.4</v>
      </c>
      <c r="L2182" s="45" t="s">
        <v>263</v>
      </c>
      <c r="M2182" s="45" t="s">
        <v>259</v>
      </c>
      <c r="N2182" s="45" t="s">
        <v>167</v>
      </c>
      <c r="O2182" s="47" t="n">
        <v>46302.0433796296</v>
      </c>
      <c r="P2182" s="47" t="n">
        <v>46302.0443518519</v>
      </c>
    </row>
    <row r="2183" customFormat="false" ht="15" hidden="false" customHeight="false" outlineLevel="0" collapsed="false">
      <c r="A2183" s="45" t="n">
        <v>2388</v>
      </c>
      <c r="B2183" s="46" t="n">
        <v>46302</v>
      </c>
      <c r="C2183" s="45" t="s">
        <v>131</v>
      </c>
      <c r="D2183" s="45" t="s">
        <v>132</v>
      </c>
      <c r="E2183" s="45" t="s">
        <v>3544</v>
      </c>
      <c r="F2183" s="45" t="s">
        <v>4078</v>
      </c>
      <c r="G2183" s="46" t="n">
        <v>46296</v>
      </c>
      <c r="H2183" s="45" t="s">
        <v>167</v>
      </c>
      <c r="I2183" s="45" t="s">
        <v>186</v>
      </c>
      <c r="J2183" s="45" t="s">
        <v>4338</v>
      </c>
      <c r="K2183" s="45" t="n">
        <v>1.3</v>
      </c>
      <c r="L2183" s="45" t="s">
        <v>259</v>
      </c>
      <c r="M2183" s="45" t="s">
        <v>259</v>
      </c>
      <c r="N2183" s="45" t="s">
        <v>167</v>
      </c>
      <c r="O2183" s="47" t="n">
        <v>46302.0453356481</v>
      </c>
      <c r="P2183" s="47" t="n">
        <v>46302.0462152778</v>
      </c>
    </row>
    <row r="2184" customFormat="false" ht="15" hidden="false" customHeight="false" outlineLevel="0" collapsed="false">
      <c r="A2184" s="45" t="n">
        <v>2389</v>
      </c>
      <c r="B2184" s="46" t="n">
        <v>46302</v>
      </c>
      <c r="C2184" s="45" t="s">
        <v>131</v>
      </c>
      <c r="D2184" s="45" t="s">
        <v>132</v>
      </c>
      <c r="E2184" s="45" t="s">
        <v>3943</v>
      </c>
      <c r="F2184" s="45" t="s">
        <v>4080</v>
      </c>
      <c r="G2184" s="46" t="n">
        <v>46296</v>
      </c>
      <c r="H2184" s="45" t="s">
        <v>167</v>
      </c>
      <c r="I2184" s="45" t="s">
        <v>176</v>
      </c>
      <c r="J2184" s="45" t="s">
        <v>4339</v>
      </c>
      <c r="K2184" s="45" t="n">
        <v>1</v>
      </c>
      <c r="L2184" s="45" t="s">
        <v>259</v>
      </c>
      <c r="M2184" s="45" t="s">
        <v>259</v>
      </c>
      <c r="N2184" s="45" t="s">
        <v>167</v>
      </c>
      <c r="O2184" s="47" t="n">
        <v>46302.0465509259</v>
      </c>
      <c r="P2184" s="47" t="n">
        <v>46302.0472222222</v>
      </c>
    </row>
    <row r="2185" customFormat="false" ht="15" hidden="false" customHeight="false" outlineLevel="0" collapsed="false">
      <c r="A2185" s="45" t="n">
        <v>2390</v>
      </c>
      <c r="B2185" s="46" t="n">
        <v>46302</v>
      </c>
      <c r="C2185" s="45" t="s">
        <v>131</v>
      </c>
      <c r="D2185" s="45" t="s">
        <v>132</v>
      </c>
      <c r="E2185" s="45" t="s">
        <v>2226</v>
      </c>
      <c r="F2185" s="45" t="s">
        <v>4082</v>
      </c>
      <c r="G2185" s="46" t="n">
        <v>46295</v>
      </c>
      <c r="H2185" s="45" t="s">
        <v>168</v>
      </c>
      <c r="I2185" s="45" t="s">
        <v>191</v>
      </c>
      <c r="J2185" s="45" t="s">
        <v>4340</v>
      </c>
      <c r="K2185" s="45" t="n">
        <v>1.2</v>
      </c>
      <c r="L2185" s="45" t="s">
        <v>259</v>
      </c>
      <c r="M2185" s="45" t="s">
        <v>259</v>
      </c>
      <c r="N2185" s="45" t="s">
        <v>2559</v>
      </c>
      <c r="O2185" s="47" t="n">
        <v>46302.0475578704</v>
      </c>
      <c r="P2185" s="47" t="n">
        <v>46302.0483912037</v>
      </c>
    </row>
    <row r="2186" customFormat="false" ht="15" hidden="false" customHeight="false" outlineLevel="0" collapsed="false">
      <c r="A2186" s="45" t="n">
        <v>2391</v>
      </c>
      <c r="B2186" s="46" t="n">
        <v>46302</v>
      </c>
      <c r="C2186" s="45" t="s">
        <v>131</v>
      </c>
      <c r="D2186" s="45" t="s">
        <v>132</v>
      </c>
      <c r="E2186" s="45" t="s">
        <v>3536</v>
      </c>
      <c r="F2186" s="45" t="s">
        <v>4341</v>
      </c>
      <c r="G2186" s="46" t="n">
        <v>46295</v>
      </c>
      <c r="H2186" s="45" t="s">
        <v>57</v>
      </c>
      <c r="I2186" s="45" t="s">
        <v>201</v>
      </c>
      <c r="J2186" s="45" t="s">
        <v>4342</v>
      </c>
      <c r="K2186" s="45" t="n">
        <v>0.8</v>
      </c>
      <c r="L2186" s="45" t="s">
        <v>263</v>
      </c>
      <c r="M2186" s="45" t="s">
        <v>259</v>
      </c>
      <c r="N2186" s="45" t="s">
        <v>57</v>
      </c>
      <c r="O2186" s="47" t="n">
        <v>46302.0487847222</v>
      </c>
      <c r="P2186" s="47" t="n">
        <v>46302.0493171296</v>
      </c>
    </row>
    <row r="2187" customFormat="false" ht="15" hidden="false" customHeight="false" outlineLevel="0" collapsed="false">
      <c r="A2187" s="45" t="n">
        <v>2413</v>
      </c>
      <c r="B2187" s="46" t="n">
        <v>46302</v>
      </c>
      <c r="C2187" s="45" t="s">
        <v>139</v>
      </c>
      <c r="D2187" s="45" t="s">
        <v>140</v>
      </c>
      <c r="E2187" s="45" t="s">
        <v>233</v>
      </c>
      <c r="F2187" s="45" t="s">
        <v>4343</v>
      </c>
      <c r="G2187" s="46" t="n">
        <v>46292</v>
      </c>
      <c r="H2187" s="45" t="s">
        <v>167</v>
      </c>
      <c r="I2187" s="45" t="s">
        <v>176</v>
      </c>
      <c r="J2187" s="45" t="s">
        <v>4344</v>
      </c>
      <c r="K2187" s="45" t="n">
        <v>76.4</v>
      </c>
      <c r="L2187" s="45" t="s">
        <v>263</v>
      </c>
      <c r="M2187" s="45" t="s">
        <v>259</v>
      </c>
      <c r="N2187" s="45" t="s">
        <v>167</v>
      </c>
      <c r="O2187" s="47" t="n">
        <v>46302.0521875</v>
      </c>
      <c r="P2187" s="47" t="n">
        <v>46302.1052199074</v>
      </c>
    </row>
    <row r="2188" customFormat="false" ht="15" hidden="false" customHeight="false" outlineLevel="0" collapsed="false">
      <c r="A2188" s="45" t="n">
        <v>2392</v>
      </c>
      <c r="B2188" s="46" t="n">
        <v>46302</v>
      </c>
      <c r="C2188" s="45" t="s">
        <v>147</v>
      </c>
      <c r="D2188" s="45" t="s">
        <v>148</v>
      </c>
      <c r="E2188" s="45" t="s">
        <v>3765</v>
      </c>
      <c r="F2188" s="45" t="s">
        <v>4345</v>
      </c>
      <c r="G2188" s="46" t="n">
        <v>46299</v>
      </c>
      <c r="H2188" s="45" t="s">
        <v>167</v>
      </c>
      <c r="I2188" s="45" t="s">
        <v>185</v>
      </c>
      <c r="J2188" s="45" t="s">
        <v>4346</v>
      </c>
      <c r="K2188" s="45" t="n">
        <v>1.7</v>
      </c>
      <c r="L2188" s="45" t="s">
        <v>263</v>
      </c>
      <c r="M2188" s="45" t="s">
        <v>259</v>
      </c>
      <c r="N2188" s="45" t="s">
        <v>167</v>
      </c>
      <c r="O2188" s="47" t="n">
        <v>46302.0524884259</v>
      </c>
      <c r="P2188" s="47" t="n">
        <v>46302.0536574074</v>
      </c>
    </row>
    <row r="2189" customFormat="false" ht="15" hidden="false" customHeight="false" outlineLevel="0" collapsed="false">
      <c r="A2189" s="45" t="n">
        <v>2406</v>
      </c>
      <c r="B2189" s="46" t="n">
        <v>46302</v>
      </c>
      <c r="C2189" s="45" t="s">
        <v>147</v>
      </c>
      <c r="D2189" s="45" t="s">
        <v>148</v>
      </c>
      <c r="E2189" s="45" t="s">
        <v>3883</v>
      </c>
      <c r="F2189" s="45" t="s">
        <v>4347</v>
      </c>
      <c r="G2189" s="46" t="n">
        <v>46301</v>
      </c>
      <c r="H2189" s="45" t="s">
        <v>167</v>
      </c>
      <c r="I2189" s="45" t="s">
        <v>176</v>
      </c>
      <c r="J2189" s="45" t="s">
        <v>4348</v>
      </c>
      <c r="K2189" s="45" t="n">
        <v>49.9</v>
      </c>
      <c r="L2189" s="45" t="s">
        <v>263</v>
      </c>
      <c r="M2189" s="45" t="s">
        <v>259</v>
      </c>
      <c r="N2189" s="45" t="s">
        <v>167</v>
      </c>
      <c r="O2189" s="47" t="n">
        <v>46302.0538078704</v>
      </c>
      <c r="P2189" s="47" t="n">
        <v>46302.0884837963</v>
      </c>
    </row>
    <row r="2190" customFormat="false" ht="15" hidden="false" customHeight="false" outlineLevel="0" collapsed="false">
      <c r="A2190" s="45" t="n">
        <v>2393</v>
      </c>
      <c r="B2190" s="46" t="n">
        <v>46302</v>
      </c>
      <c r="C2190" s="45" t="s">
        <v>131</v>
      </c>
      <c r="D2190" s="45" t="s">
        <v>132</v>
      </c>
      <c r="E2190" s="45" t="s">
        <v>2226</v>
      </c>
      <c r="F2190" s="45" t="s">
        <v>4349</v>
      </c>
      <c r="G2190" s="46" t="n">
        <v>46295</v>
      </c>
      <c r="H2190" s="45" t="s">
        <v>167</v>
      </c>
      <c r="I2190" s="45" t="s">
        <v>180</v>
      </c>
      <c r="J2190" s="45" t="s">
        <v>4350</v>
      </c>
      <c r="K2190" s="45" t="n">
        <v>1.7</v>
      </c>
      <c r="L2190" s="45" t="s">
        <v>263</v>
      </c>
      <c r="M2190" s="45" t="s">
        <v>259</v>
      </c>
      <c r="N2190" s="45" t="s">
        <v>167</v>
      </c>
      <c r="O2190" s="47" t="n">
        <v>46302.0651967593</v>
      </c>
      <c r="P2190" s="47" t="n">
        <v>46302.066400463</v>
      </c>
    </row>
    <row r="2191" customFormat="false" ht="15" hidden="false" customHeight="false" outlineLevel="0" collapsed="false">
      <c r="A2191" s="45" t="n">
        <v>2394</v>
      </c>
      <c r="B2191" s="46" t="n">
        <v>46302</v>
      </c>
      <c r="C2191" s="45" t="s">
        <v>131</v>
      </c>
      <c r="D2191" s="45" t="s">
        <v>132</v>
      </c>
      <c r="E2191" s="45" t="s">
        <v>3544</v>
      </c>
      <c r="F2191" s="45" t="s">
        <v>4351</v>
      </c>
      <c r="G2191" s="46" t="n">
        <v>46295</v>
      </c>
      <c r="H2191" s="45" t="s">
        <v>167</v>
      </c>
      <c r="I2191" s="45" t="s">
        <v>176</v>
      </c>
      <c r="J2191" s="45" t="s">
        <v>4352</v>
      </c>
      <c r="K2191" s="45" t="n">
        <v>2.8</v>
      </c>
      <c r="L2191" s="45" t="s">
        <v>263</v>
      </c>
      <c r="M2191" s="45" t="s">
        <v>259</v>
      </c>
      <c r="N2191" s="45" t="s">
        <v>167</v>
      </c>
      <c r="O2191" s="47" t="n">
        <v>46302.0668634259</v>
      </c>
      <c r="P2191" s="47" t="n">
        <v>46302.0687962963</v>
      </c>
    </row>
    <row r="2192" customFormat="false" ht="15" hidden="false" customHeight="false" outlineLevel="0" collapsed="false">
      <c r="A2192" s="45" t="n">
        <v>2395</v>
      </c>
      <c r="B2192" s="46" t="n">
        <v>46302</v>
      </c>
      <c r="C2192" s="45" t="s">
        <v>131</v>
      </c>
      <c r="D2192" s="45" t="s">
        <v>132</v>
      </c>
      <c r="E2192" s="45" t="s">
        <v>222</v>
      </c>
      <c r="F2192" s="45" t="s">
        <v>4353</v>
      </c>
      <c r="G2192" s="46" t="n">
        <v>46295</v>
      </c>
      <c r="H2192" s="45" t="s">
        <v>167</v>
      </c>
      <c r="I2192" s="45" t="s">
        <v>176</v>
      </c>
      <c r="J2192" s="45" t="s">
        <v>4354</v>
      </c>
      <c r="K2192" s="45" t="n">
        <v>2.7</v>
      </c>
      <c r="L2192" s="45" t="s">
        <v>263</v>
      </c>
      <c r="M2192" s="45" t="s">
        <v>259</v>
      </c>
      <c r="N2192" s="45" t="s">
        <v>167</v>
      </c>
      <c r="O2192" s="47" t="n">
        <v>46302.0690856482</v>
      </c>
      <c r="P2192" s="47" t="n">
        <v>46302.0709606482</v>
      </c>
    </row>
    <row r="2193" customFormat="false" ht="15" hidden="false" customHeight="false" outlineLevel="0" collapsed="false">
      <c r="A2193" s="45" t="n">
        <v>2396</v>
      </c>
      <c r="B2193" s="46" t="n">
        <v>46302</v>
      </c>
      <c r="C2193" s="45" t="s">
        <v>131</v>
      </c>
      <c r="D2193" s="45" t="s">
        <v>132</v>
      </c>
      <c r="E2193" s="45" t="s">
        <v>3544</v>
      </c>
      <c r="F2193" s="45" t="s">
        <v>4050</v>
      </c>
      <c r="G2193" s="46" t="n">
        <v>46294</v>
      </c>
      <c r="H2193" s="45" t="s">
        <v>167</v>
      </c>
      <c r="I2193" s="45" t="s">
        <v>186</v>
      </c>
      <c r="J2193" s="45" t="s">
        <v>4355</v>
      </c>
      <c r="K2193" s="45" t="n">
        <v>0.9</v>
      </c>
      <c r="L2193" s="45" t="s">
        <v>259</v>
      </c>
      <c r="M2193" s="45" t="s">
        <v>259</v>
      </c>
      <c r="N2193" s="45" t="s">
        <v>167</v>
      </c>
      <c r="O2193" s="47" t="n">
        <v>46302.071400463</v>
      </c>
      <c r="P2193" s="47" t="n">
        <v>46302.0720138889</v>
      </c>
    </row>
    <row r="2194" customFormat="false" ht="15" hidden="false" customHeight="false" outlineLevel="0" collapsed="false">
      <c r="A2194" s="45" t="n">
        <v>2397</v>
      </c>
      <c r="B2194" s="46" t="n">
        <v>46302</v>
      </c>
      <c r="C2194" s="45" t="s">
        <v>131</v>
      </c>
      <c r="D2194" s="45" t="s">
        <v>132</v>
      </c>
      <c r="E2194" s="45" t="s">
        <v>2226</v>
      </c>
      <c r="F2194" s="45" t="s">
        <v>4053</v>
      </c>
      <c r="G2194" s="46" t="n">
        <v>46294</v>
      </c>
      <c r="H2194" s="45" t="s">
        <v>167</v>
      </c>
      <c r="I2194" s="45" t="s">
        <v>176</v>
      </c>
      <c r="J2194" s="45" t="s">
        <v>4356</v>
      </c>
      <c r="K2194" s="45" t="n">
        <v>1.8</v>
      </c>
      <c r="L2194" s="45" t="s">
        <v>259</v>
      </c>
      <c r="M2194" s="45" t="s">
        <v>259</v>
      </c>
      <c r="N2194" s="45" t="s">
        <v>167</v>
      </c>
      <c r="O2194" s="47" t="n">
        <v>46302.0730439815</v>
      </c>
      <c r="P2194" s="47" t="n">
        <v>46302.0742939815</v>
      </c>
    </row>
    <row r="2195" customFormat="false" ht="15" hidden="false" customHeight="false" outlineLevel="0" collapsed="false">
      <c r="A2195" s="45" t="n">
        <v>2398</v>
      </c>
      <c r="B2195" s="46" t="n">
        <v>46302</v>
      </c>
      <c r="C2195" s="45" t="s">
        <v>131</v>
      </c>
      <c r="D2195" s="45" t="s">
        <v>132</v>
      </c>
      <c r="E2195" s="45" t="s">
        <v>3539</v>
      </c>
      <c r="F2195" s="45" t="s">
        <v>4357</v>
      </c>
      <c r="G2195" s="46" t="n">
        <v>46293</v>
      </c>
      <c r="H2195" s="45" t="s">
        <v>168</v>
      </c>
      <c r="I2195" s="45" t="s">
        <v>194</v>
      </c>
      <c r="J2195" s="45" t="s">
        <v>4358</v>
      </c>
      <c r="K2195" s="45" t="n">
        <v>3.5</v>
      </c>
      <c r="L2195" s="45" t="s">
        <v>263</v>
      </c>
      <c r="M2195" s="45" t="s">
        <v>259</v>
      </c>
      <c r="N2195" s="45" t="s">
        <v>2559</v>
      </c>
      <c r="O2195" s="47" t="n">
        <v>46302.0760416667</v>
      </c>
      <c r="P2195" s="47" t="n">
        <v>46302.0784490741</v>
      </c>
    </row>
    <row r="2196" customFormat="false" ht="15" hidden="false" customHeight="false" outlineLevel="0" collapsed="false">
      <c r="A2196" s="45" t="n">
        <v>2399</v>
      </c>
      <c r="B2196" s="46" t="n">
        <v>46302</v>
      </c>
      <c r="C2196" s="45" t="s">
        <v>131</v>
      </c>
      <c r="D2196" s="45" t="s">
        <v>132</v>
      </c>
      <c r="E2196" s="45" t="s">
        <v>3943</v>
      </c>
      <c r="F2196" s="45" t="s">
        <v>4359</v>
      </c>
      <c r="G2196" s="46" t="n">
        <v>46292</v>
      </c>
      <c r="H2196" s="45" t="s">
        <v>167</v>
      </c>
      <c r="I2196" s="45" t="s">
        <v>186</v>
      </c>
      <c r="J2196" s="45" t="s">
        <v>4360</v>
      </c>
      <c r="K2196" s="45" t="n">
        <v>1.7</v>
      </c>
      <c r="L2196" s="45" t="s">
        <v>263</v>
      </c>
      <c r="M2196" s="45" t="s">
        <v>259</v>
      </c>
      <c r="N2196" s="45" t="s">
        <v>167</v>
      </c>
      <c r="O2196" s="47" t="n">
        <v>46302.0787962963</v>
      </c>
      <c r="P2196" s="47" t="n">
        <v>46302.0799537037</v>
      </c>
    </row>
    <row r="2197" customFormat="false" ht="15" hidden="false" customHeight="false" outlineLevel="0" collapsed="false">
      <c r="A2197" s="45" t="n">
        <v>2400</v>
      </c>
      <c r="B2197" s="46" t="n">
        <v>46302</v>
      </c>
      <c r="C2197" s="45" t="s">
        <v>131</v>
      </c>
      <c r="D2197" s="45" t="s">
        <v>132</v>
      </c>
      <c r="E2197" s="45" t="s">
        <v>4361</v>
      </c>
      <c r="F2197" s="45" t="s">
        <v>4362</v>
      </c>
      <c r="G2197" s="46" t="n">
        <v>46292</v>
      </c>
      <c r="H2197" s="45" t="s">
        <v>167</v>
      </c>
      <c r="I2197" s="45" t="s">
        <v>180</v>
      </c>
      <c r="J2197" s="45" t="s">
        <v>4363</v>
      </c>
      <c r="K2197" s="45" t="n">
        <v>1.2</v>
      </c>
      <c r="L2197" s="45" t="s">
        <v>263</v>
      </c>
      <c r="M2197" s="45" t="s">
        <v>263</v>
      </c>
      <c r="N2197" s="45" t="s">
        <v>167</v>
      </c>
      <c r="O2197" s="47" t="n">
        <v>46302.0801851852</v>
      </c>
      <c r="P2197" s="47" t="n">
        <v>46302.0810300926</v>
      </c>
    </row>
    <row r="2198" customFormat="false" ht="15" hidden="false" customHeight="false" outlineLevel="0" collapsed="false">
      <c r="A2198" s="45" t="n">
        <v>2401</v>
      </c>
      <c r="B2198" s="46" t="n">
        <v>46302</v>
      </c>
      <c r="C2198" s="45" t="s">
        <v>131</v>
      </c>
      <c r="D2198" s="45" t="s">
        <v>132</v>
      </c>
      <c r="E2198" s="45" t="s">
        <v>3660</v>
      </c>
      <c r="F2198" s="45" t="s">
        <v>4364</v>
      </c>
      <c r="G2198" s="46" t="n">
        <v>46292</v>
      </c>
      <c r="H2198" s="45" t="s">
        <v>167</v>
      </c>
      <c r="I2198" s="45" t="s">
        <v>180</v>
      </c>
      <c r="J2198" s="45" t="s">
        <v>4365</v>
      </c>
      <c r="K2198" s="45" t="n">
        <v>0.7</v>
      </c>
      <c r="L2198" s="45" t="s">
        <v>263</v>
      </c>
      <c r="M2198" s="45" t="s">
        <v>259</v>
      </c>
      <c r="N2198" s="45" t="s">
        <v>167</v>
      </c>
      <c r="O2198" s="47" t="n">
        <v>46302.0813773148</v>
      </c>
      <c r="P2198" s="47" t="n">
        <v>46302.0818865741</v>
      </c>
    </row>
    <row r="2199" customFormat="false" ht="15" hidden="false" customHeight="false" outlineLevel="0" collapsed="false">
      <c r="A2199" s="45" t="n">
        <v>2402</v>
      </c>
      <c r="B2199" s="46" t="n">
        <v>46302</v>
      </c>
      <c r="C2199" s="45" t="s">
        <v>131</v>
      </c>
      <c r="D2199" s="45" t="s">
        <v>132</v>
      </c>
      <c r="E2199" s="45" t="s">
        <v>3544</v>
      </c>
      <c r="F2199" s="45" t="s">
        <v>4366</v>
      </c>
      <c r="G2199" s="46" t="n">
        <v>46291</v>
      </c>
      <c r="H2199" s="45" t="s">
        <v>167</v>
      </c>
      <c r="I2199" s="45" t="s">
        <v>181</v>
      </c>
      <c r="J2199" s="45" t="s">
        <v>4367</v>
      </c>
      <c r="K2199" s="45" t="n">
        <v>1.3</v>
      </c>
      <c r="L2199" s="45" t="s">
        <v>263</v>
      </c>
      <c r="M2199" s="45" t="s">
        <v>259</v>
      </c>
      <c r="N2199" s="45" t="s">
        <v>167</v>
      </c>
      <c r="O2199" s="47" t="n">
        <v>46302.0825578704</v>
      </c>
      <c r="P2199" s="47" t="n">
        <v>46302.0834490741</v>
      </c>
    </row>
    <row r="2200" customFormat="false" ht="15" hidden="false" customHeight="false" outlineLevel="0" collapsed="false">
      <c r="A2200" s="45" t="n">
        <v>2403</v>
      </c>
      <c r="B2200" s="46" t="n">
        <v>46302</v>
      </c>
      <c r="C2200" s="45" t="s">
        <v>131</v>
      </c>
      <c r="D2200" s="45" t="s">
        <v>132</v>
      </c>
      <c r="E2200" s="45" t="s">
        <v>3943</v>
      </c>
      <c r="F2200" s="45" t="s">
        <v>4368</v>
      </c>
      <c r="G2200" s="46" t="n">
        <v>46291</v>
      </c>
      <c r="H2200" s="45" t="s">
        <v>167</v>
      </c>
      <c r="I2200" s="45" t="s">
        <v>176</v>
      </c>
      <c r="J2200" s="45" t="s">
        <v>4369</v>
      </c>
      <c r="K2200" s="45" t="n">
        <v>1.3</v>
      </c>
      <c r="L2200" s="45" t="s">
        <v>263</v>
      </c>
      <c r="M2200" s="45" t="s">
        <v>259</v>
      </c>
      <c r="N2200" s="45" t="s">
        <v>167</v>
      </c>
      <c r="O2200" s="47" t="n">
        <v>46302.0836342593</v>
      </c>
      <c r="P2200" s="47" t="n">
        <v>46302.0845601852</v>
      </c>
    </row>
    <row r="2201" customFormat="false" ht="15" hidden="false" customHeight="false" outlineLevel="0" collapsed="false">
      <c r="A2201" s="45" t="n">
        <v>2404</v>
      </c>
      <c r="B2201" s="46" t="n">
        <v>46302</v>
      </c>
      <c r="C2201" s="45" t="s">
        <v>131</v>
      </c>
      <c r="D2201" s="45" t="s">
        <v>132</v>
      </c>
      <c r="E2201" s="45" t="s">
        <v>3885</v>
      </c>
      <c r="F2201" s="45" t="s">
        <v>4370</v>
      </c>
      <c r="G2201" s="46" t="n">
        <v>46291</v>
      </c>
      <c r="H2201" s="45" t="s">
        <v>167</v>
      </c>
      <c r="I2201" s="45" t="s">
        <v>176</v>
      </c>
      <c r="J2201" s="45" t="s">
        <v>4371</v>
      </c>
      <c r="K2201" s="45" t="n">
        <v>1.5</v>
      </c>
      <c r="L2201" s="45" t="s">
        <v>263</v>
      </c>
      <c r="M2201" s="45" t="s">
        <v>259</v>
      </c>
      <c r="N2201" s="45" t="s">
        <v>167</v>
      </c>
      <c r="O2201" s="47" t="n">
        <v>46302.0859722222</v>
      </c>
      <c r="P2201" s="47" t="n">
        <v>46302.0870023148</v>
      </c>
    </row>
    <row r="2202" customFormat="false" ht="15" hidden="false" customHeight="false" outlineLevel="0" collapsed="false">
      <c r="A2202" s="45" t="n">
        <v>2405</v>
      </c>
      <c r="B2202" s="46" t="n">
        <v>46302</v>
      </c>
      <c r="C2202" s="45" t="s">
        <v>131</v>
      </c>
      <c r="D2202" s="45" t="s">
        <v>132</v>
      </c>
      <c r="E2202" s="45" t="s">
        <v>2143</v>
      </c>
      <c r="F2202" s="45" t="s">
        <v>2143</v>
      </c>
      <c r="G2202" s="46" t="n">
        <v>46320</v>
      </c>
      <c r="H2202" s="45" t="s">
        <v>167</v>
      </c>
      <c r="I2202" s="45" t="s">
        <v>176</v>
      </c>
      <c r="J2202" s="45" t="s">
        <v>4372</v>
      </c>
      <c r="K2202" s="45" t="n">
        <v>0.9</v>
      </c>
      <c r="L2202" s="45" t="s">
        <v>263</v>
      </c>
      <c r="M2202" s="45" t="s">
        <v>259</v>
      </c>
      <c r="N2202" s="45" t="s">
        <v>167</v>
      </c>
      <c r="O2202" s="47" t="n">
        <v>46302.0877314815</v>
      </c>
      <c r="P2202" s="47" t="n">
        <v>46302.0883449074</v>
      </c>
    </row>
    <row r="2203" customFormat="false" ht="15" hidden="false" customHeight="false" outlineLevel="0" collapsed="false">
      <c r="A2203" s="45" t="n">
        <v>2407</v>
      </c>
      <c r="B2203" s="46" t="n">
        <v>46302</v>
      </c>
      <c r="C2203" s="45" t="s">
        <v>131</v>
      </c>
      <c r="D2203" s="45" t="s">
        <v>132</v>
      </c>
      <c r="E2203" s="45" t="s">
        <v>2143</v>
      </c>
      <c r="F2203" s="45" t="s">
        <v>4373</v>
      </c>
      <c r="G2203" s="46" t="n">
        <v>46290</v>
      </c>
      <c r="H2203" s="45" t="s">
        <v>167</v>
      </c>
      <c r="I2203" s="45" t="s">
        <v>176</v>
      </c>
      <c r="J2203" s="45" t="s">
        <v>4374</v>
      </c>
      <c r="K2203" s="45" t="n">
        <v>2</v>
      </c>
      <c r="L2203" s="45" t="s">
        <v>263</v>
      </c>
      <c r="M2203" s="45" t="s">
        <v>259</v>
      </c>
      <c r="N2203" s="45" t="s">
        <v>167</v>
      </c>
      <c r="O2203" s="47" t="n">
        <v>46302.0885763889</v>
      </c>
      <c r="P2203" s="47" t="n">
        <v>46302.0899884259</v>
      </c>
    </row>
    <row r="2204" customFormat="false" ht="15" hidden="false" customHeight="false" outlineLevel="0" collapsed="false">
      <c r="A2204" s="45" t="n">
        <v>2408</v>
      </c>
      <c r="B2204" s="46" t="n">
        <v>46302</v>
      </c>
      <c r="C2204" s="45" t="s">
        <v>131</v>
      </c>
      <c r="D2204" s="45" t="s">
        <v>132</v>
      </c>
      <c r="E2204" s="45" t="s">
        <v>3984</v>
      </c>
      <c r="F2204" s="45" t="s">
        <v>4375</v>
      </c>
      <c r="G2204" s="46" t="n">
        <v>46291</v>
      </c>
      <c r="H2204" s="45" t="s">
        <v>167</v>
      </c>
      <c r="I2204" s="45" t="s">
        <v>176</v>
      </c>
      <c r="J2204" s="45" t="s">
        <v>4376</v>
      </c>
      <c r="K2204" s="45" t="n">
        <v>0.7</v>
      </c>
      <c r="L2204" s="45" t="s">
        <v>263</v>
      </c>
      <c r="M2204" s="45" t="s">
        <v>259</v>
      </c>
      <c r="N2204" s="45" t="s">
        <v>167</v>
      </c>
      <c r="O2204" s="47" t="n">
        <v>46302.0908449074</v>
      </c>
      <c r="P2204" s="47" t="n">
        <v>46302.0913425926</v>
      </c>
    </row>
    <row r="2205" customFormat="false" ht="15" hidden="false" customHeight="false" outlineLevel="0" collapsed="false">
      <c r="A2205" s="45" t="n">
        <v>2409</v>
      </c>
      <c r="B2205" s="46" t="n">
        <v>46302</v>
      </c>
      <c r="C2205" s="45" t="s">
        <v>131</v>
      </c>
      <c r="D2205" s="45" t="s">
        <v>132</v>
      </c>
      <c r="E2205" s="45" t="s">
        <v>2127</v>
      </c>
      <c r="F2205" s="45" t="s">
        <v>4377</v>
      </c>
      <c r="G2205" s="46" t="n">
        <v>46287</v>
      </c>
      <c r="H2205" s="45" t="s">
        <v>57</v>
      </c>
      <c r="I2205" s="45" t="s">
        <v>201</v>
      </c>
      <c r="J2205" s="45" t="s">
        <v>938</v>
      </c>
      <c r="K2205" s="45" t="n">
        <v>0.7</v>
      </c>
      <c r="L2205" s="45" t="s">
        <v>263</v>
      </c>
      <c r="M2205" s="45" t="s">
        <v>259</v>
      </c>
      <c r="N2205" s="45" t="s">
        <v>57</v>
      </c>
      <c r="O2205" s="47" t="n">
        <v>46302.0924537037</v>
      </c>
      <c r="P2205" s="47" t="n">
        <v>46302.0929282407</v>
      </c>
    </row>
    <row r="2206" customFormat="false" ht="15" hidden="false" customHeight="false" outlineLevel="0" collapsed="false">
      <c r="A2206" s="45" t="n">
        <v>2412</v>
      </c>
      <c r="B2206" s="46" t="n">
        <v>46302</v>
      </c>
      <c r="C2206" s="45" t="s">
        <v>147</v>
      </c>
      <c r="D2206" s="45" t="s">
        <v>148</v>
      </c>
      <c r="E2206" s="45" t="s">
        <v>3771</v>
      </c>
      <c r="F2206" s="45" t="s">
        <v>4104</v>
      </c>
      <c r="G2206" s="46" t="n">
        <v>46293</v>
      </c>
      <c r="H2206" s="45" t="s">
        <v>168</v>
      </c>
      <c r="I2206" s="45" t="s">
        <v>191</v>
      </c>
      <c r="J2206" s="45" t="s">
        <v>4378</v>
      </c>
      <c r="K2206" s="45" t="n">
        <v>5.2</v>
      </c>
      <c r="L2206" s="45" t="s">
        <v>259</v>
      </c>
      <c r="M2206" s="45" t="s">
        <v>259</v>
      </c>
      <c r="N2206" s="45" t="s">
        <v>2559</v>
      </c>
      <c r="O2206" s="47" t="n">
        <v>46302.0927777778</v>
      </c>
      <c r="P2206" s="47" t="n">
        <v>46302.0964236111</v>
      </c>
    </row>
    <row r="2207" customFormat="false" ht="15" hidden="false" customHeight="false" outlineLevel="0" collapsed="false">
      <c r="A2207" s="45" t="n">
        <v>2410</v>
      </c>
      <c r="B2207" s="46" t="n">
        <v>46302</v>
      </c>
      <c r="C2207" s="45" t="s">
        <v>131</v>
      </c>
      <c r="D2207" s="45" t="s">
        <v>132</v>
      </c>
      <c r="E2207" s="45" t="s">
        <v>3660</v>
      </c>
      <c r="F2207" s="45" t="s">
        <v>4020</v>
      </c>
      <c r="G2207" s="46" t="n">
        <v>46287</v>
      </c>
      <c r="H2207" s="45" t="s">
        <v>167</v>
      </c>
      <c r="I2207" s="45" t="s">
        <v>181</v>
      </c>
      <c r="J2207" s="45" t="s">
        <v>772</v>
      </c>
      <c r="K2207" s="45" t="n">
        <v>0.8</v>
      </c>
      <c r="L2207" s="45" t="s">
        <v>259</v>
      </c>
      <c r="M2207" s="45" t="s">
        <v>259</v>
      </c>
      <c r="N2207" s="45" t="s">
        <v>167</v>
      </c>
      <c r="O2207" s="47" t="n">
        <v>46302.0936805556</v>
      </c>
      <c r="P2207" s="47" t="n">
        <v>46302.0942013889</v>
      </c>
    </row>
    <row r="2208" customFormat="false" ht="15" hidden="false" customHeight="false" outlineLevel="0" collapsed="false">
      <c r="A2208" s="45" t="n">
        <v>2411</v>
      </c>
      <c r="B2208" s="46" t="n">
        <v>46302</v>
      </c>
      <c r="C2208" s="45" t="s">
        <v>131</v>
      </c>
      <c r="D2208" s="45" t="s">
        <v>132</v>
      </c>
      <c r="E2208" s="45" t="s">
        <v>3536</v>
      </c>
      <c r="F2208" s="45" t="s">
        <v>3976</v>
      </c>
      <c r="G2208" s="46" t="n">
        <v>46286</v>
      </c>
      <c r="H2208" s="45" t="s">
        <v>167</v>
      </c>
      <c r="I2208" s="45" t="s">
        <v>177</v>
      </c>
      <c r="J2208" s="45" t="s">
        <v>4379</v>
      </c>
      <c r="K2208" s="45" t="n">
        <v>0.9</v>
      </c>
      <c r="L2208" s="45" t="s">
        <v>259</v>
      </c>
      <c r="M2208" s="45" t="s">
        <v>259</v>
      </c>
      <c r="N2208" s="45" t="s">
        <v>167</v>
      </c>
      <c r="O2208" s="47" t="n">
        <v>46302.0944675926</v>
      </c>
      <c r="P2208" s="47" t="n">
        <v>46302.0950810185</v>
      </c>
    </row>
    <row r="2209" customFormat="false" ht="15" hidden="false" customHeight="false" outlineLevel="0" collapsed="false">
      <c r="A2209" s="45" t="n">
        <v>2414</v>
      </c>
      <c r="B2209" s="46" t="n">
        <v>46302</v>
      </c>
      <c r="C2209" s="45" t="s">
        <v>139</v>
      </c>
      <c r="D2209" s="45" t="s">
        <v>140</v>
      </c>
      <c r="E2209" s="45" t="s">
        <v>221</v>
      </c>
      <c r="F2209" s="45" t="s">
        <v>4380</v>
      </c>
      <c r="G2209" s="46" t="n">
        <v>46292</v>
      </c>
      <c r="H2209" s="45" t="s">
        <v>167</v>
      </c>
      <c r="I2209" s="45" t="s">
        <v>183</v>
      </c>
      <c r="J2209" s="45" t="s">
        <v>4381</v>
      </c>
      <c r="K2209" s="45" t="n">
        <v>1.5</v>
      </c>
      <c r="L2209" s="45" t="s">
        <v>263</v>
      </c>
      <c r="M2209" s="45" t="s">
        <v>259</v>
      </c>
      <c r="N2209" s="45" t="s">
        <v>167</v>
      </c>
      <c r="O2209" s="47" t="n">
        <v>46302.106400463</v>
      </c>
      <c r="P2209" s="47" t="n">
        <v>46302.1074421296</v>
      </c>
    </row>
    <row r="2210" customFormat="false" ht="15" hidden="false" customHeight="false" outlineLevel="0" collapsed="false">
      <c r="A2210" s="45" t="n">
        <v>2415</v>
      </c>
      <c r="B2210" s="46" t="n">
        <v>46302</v>
      </c>
      <c r="C2210" s="45" t="s">
        <v>139</v>
      </c>
      <c r="D2210" s="45" t="s">
        <v>140</v>
      </c>
      <c r="E2210" s="45" t="s">
        <v>4126</v>
      </c>
      <c r="F2210" s="45" t="s">
        <v>4382</v>
      </c>
      <c r="G2210" s="46" t="n">
        <v>46293</v>
      </c>
      <c r="H2210" s="45" t="s">
        <v>167</v>
      </c>
      <c r="I2210" s="45" t="s">
        <v>176</v>
      </c>
      <c r="J2210" s="45" t="s">
        <v>4383</v>
      </c>
      <c r="K2210" s="45" t="n">
        <v>4.1</v>
      </c>
      <c r="L2210" s="45" t="s">
        <v>263</v>
      </c>
      <c r="M2210" s="45" t="s">
        <v>259</v>
      </c>
      <c r="N2210" s="45" t="s">
        <v>167</v>
      </c>
      <c r="O2210" s="47" t="n">
        <v>46302.1095601852</v>
      </c>
      <c r="P2210" s="47" t="n">
        <v>46302.1124305556</v>
      </c>
    </row>
    <row r="2211" customFormat="false" ht="15" hidden="false" customHeight="false" outlineLevel="0" collapsed="false">
      <c r="A2211" s="45" t="n">
        <v>2416</v>
      </c>
      <c r="B2211" s="46" t="n">
        <v>46302</v>
      </c>
      <c r="C2211" s="45" t="s">
        <v>139</v>
      </c>
      <c r="D2211" s="45" t="s">
        <v>140</v>
      </c>
      <c r="E2211" s="45" t="s">
        <v>4279</v>
      </c>
      <c r="F2211" s="45" t="s">
        <v>4384</v>
      </c>
      <c r="G2211" s="46" t="n">
        <v>46291</v>
      </c>
      <c r="H2211" s="45" t="s">
        <v>167</v>
      </c>
      <c r="I2211" s="45" t="s">
        <v>183</v>
      </c>
      <c r="J2211" s="45" t="s">
        <v>4385</v>
      </c>
      <c r="K2211" s="45" t="n">
        <v>0.5</v>
      </c>
      <c r="L2211" s="45" t="s">
        <v>263</v>
      </c>
      <c r="M2211" s="45" t="s">
        <v>259</v>
      </c>
      <c r="N2211" s="45" t="s">
        <v>167</v>
      </c>
      <c r="O2211" s="47" t="n">
        <v>46302.1233796296</v>
      </c>
      <c r="P2211" s="47" t="n">
        <v>46302.1237037037</v>
      </c>
    </row>
    <row r="2212" customFormat="false" ht="15" hidden="false" customHeight="false" outlineLevel="0" collapsed="false">
      <c r="A2212" s="45" t="n">
        <v>2417</v>
      </c>
      <c r="B2212" s="46" t="n">
        <v>46302</v>
      </c>
      <c r="C2212" s="45" t="s">
        <v>139</v>
      </c>
      <c r="D2212" s="45" t="s">
        <v>140</v>
      </c>
      <c r="E2212" s="45" t="s">
        <v>4279</v>
      </c>
      <c r="F2212" s="45" t="s">
        <v>4386</v>
      </c>
      <c r="G2212" s="46" t="n">
        <v>46293</v>
      </c>
      <c r="H2212" s="45" t="s">
        <v>167</v>
      </c>
      <c r="I2212" s="45" t="s">
        <v>176</v>
      </c>
      <c r="J2212" s="45" t="s">
        <v>4387</v>
      </c>
      <c r="K2212" s="45" t="n">
        <v>19.1</v>
      </c>
      <c r="L2212" s="45" t="s">
        <v>263</v>
      </c>
      <c r="M2212" s="45" t="s">
        <v>259</v>
      </c>
      <c r="N2212" s="45" t="s">
        <v>167</v>
      </c>
      <c r="O2212" s="47" t="n">
        <v>46302.1275115741</v>
      </c>
      <c r="P2212" s="47" t="n">
        <v>46302.140787037</v>
      </c>
    </row>
    <row r="2213" customFormat="false" ht="15" hidden="false" customHeight="false" outlineLevel="0" collapsed="false">
      <c r="A2213" s="45" t="n">
        <v>2418</v>
      </c>
      <c r="B2213" s="46" t="n">
        <v>46302</v>
      </c>
      <c r="C2213" s="45" t="s">
        <v>147</v>
      </c>
      <c r="D2213" s="45" t="s">
        <v>148</v>
      </c>
      <c r="E2213" s="45" t="s">
        <v>3818</v>
      </c>
      <c r="F2213" s="45" t="s">
        <v>4388</v>
      </c>
      <c r="G2213" s="46" t="n">
        <v>46301</v>
      </c>
      <c r="H2213" s="45" t="s">
        <v>168</v>
      </c>
      <c r="I2213" s="45" t="s">
        <v>191</v>
      </c>
      <c r="J2213" s="45" t="s">
        <v>4389</v>
      </c>
      <c r="K2213" s="45" t="n">
        <v>0.9</v>
      </c>
      <c r="L2213" s="45" t="s">
        <v>263</v>
      </c>
      <c r="M2213" s="45" t="s">
        <v>259</v>
      </c>
      <c r="N2213" s="45" t="s">
        <v>2559</v>
      </c>
      <c r="O2213" s="47" t="n">
        <v>46302.1484837963</v>
      </c>
      <c r="P2213" s="47" t="n">
        <v>46302.1490972222</v>
      </c>
    </row>
    <row r="2214" customFormat="false" ht="15" hidden="false" customHeight="false" outlineLevel="0" collapsed="false">
      <c r="A2214" s="45" t="n">
        <v>2419</v>
      </c>
      <c r="B2214" s="46" t="n">
        <v>46302</v>
      </c>
      <c r="C2214" s="45" t="s">
        <v>147</v>
      </c>
      <c r="D2214" s="45" t="s">
        <v>148</v>
      </c>
      <c r="E2214" s="45" t="s">
        <v>4194</v>
      </c>
      <c r="F2214" s="45" t="s">
        <v>4390</v>
      </c>
      <c r="G2214" s="46" t="n">
        <v>46299</v>
      </c>
      <c r="H2214" s="45" t="s">
        <v>168</v>
      </c>
      <c r="I2214" s="45" t="s">
        <v>191</v>
      </c>
      <c r="J2214" s="45" t="s">
        <v>4391</v>
      </c>
      <c r="K2214" s="45" t="n">
        <v>1.1</v>
      </c>
      <c r="L2214" s="45" t="s">
        <v>263</v>
      </c>
      <c r="M2214" s="45" t="s">
        <v>259</v>
      </c>
      <c r="N2214" s="45" t="s">
        <v>2559</v>
      </c>
      <c r="O2214" s="47" t="n">
        <v>46302.1513310185</v>
      </c>
      <c r="P2214" s="47" t="n">
        <v>46302.1520833333</v>
      </c>
    </row>
    <row r="2215" customFormat="false" ht="15" hidden="false" customHeight="false" outlineLevel="0" collapsed="false">
      <c r="A2215" s="45" t="n">
        <v>2420</v>
      </c>
      <c r="B2215" s="46" t="n">
        <v>46302</v>
      </c>
      <c r="C2215" s="45" t="s">
        <v>147</v>
      </c>
      <c r="D2215" s="45" t="s">
        <v>148</v>
      </c>
      <c r="E2215" s="45" t="s">
        <v>4194</v>
      </c>
      <c r="F2215" s="45" t="s">
        <v>4392</v>
      </c>
      <c r="G2215" s="46" t="n">
        <v>46299</v>
      </c>
      <c r="H2215" s="45" t="s">
        <v>57</v>
      </c>
      <c r="I2215" s="45" t="s">
        <v>201</v>
      </c>
      <c r="J2215" s="45" t="s">
        <v>4393</v>
      </c>
      <c r="K2215" s="45" t="n">
        <v>1</v>
      </c>
      <c r="L2215" s="45" t="s">
        <v>263</v>
      </c>
      <c r="M2215" s="45" t="s">
        <v>259</v>
      </c>
      <c r="N2215" s="45" t="s">
        <v>57</v>
      </c>
      <c r="O2215" s="47" t="n">
        <v>46302.1525115741</v>
      </c>
      <c r="P2215" s="47" t="n">
        <v>46302.1532175926</v>
      </c>
    </row>
    <row r="2216" customFormat="false" ht="15" hidden="false" customHeight="false" outlineLevel="0" collapsed="false">
      <c r="A2216" s="45" t="n">
        <v>2424</v>
      </c>
      <c r="B2216" s="46" t="n">
        <v>46302</v>
      </c>
      <c r="C2216" s="45" t="s">
        <v>147</v>
      </c>
      <c r="D2216" s="45" t="s">
        <v>148</v>
      </c>
      <c r="E2216" s="45" t="s">
        <v>3771</v>
      </c>
      <c r="F2216" s="45" t="s">
        <v>4394</v>
      </c>
      <c r="G2216" s="46" t="n">
        <v>46298</v>
      </c>
      <c r="H2216" s="45" t="s">
        <v>167</v>
      </c>
      <c r="I2216" s="45" t="s">
        <v>177</v>
      </c>
      <c r="J2216" s="45" t="s">
        <v>4395</v>
      </c>
      <c r="K2216" s="45" t="n">
        <v>17.5</v>
      </c>
      <c r="L2216" s="45" t="s">
        <v>263</v>
      </c>
      <c r="M2216" s="45" t="s">
        <v>259</v>
      </c>
      <c r="N2216" s="45" t="s">
        <v>167</v>
      </c>
      <c r="O2216" s="47" t="n">
        <v>46302.1532523148</v>
      </c>
      <c r="P2216" s="47" t="n">
        <v>46302.1653819445</v>
      </c>
    </row>
    <row r="2217" customFormat="false" ht="15" hidden="false" customHeight="false" outlineLevel="0" collapsed="false">
      <c r="A2217" s="45" t="n">
        <v>2421</v>
      </c>
      <c r="B2217" s="46" t="n">
        <v>46302</v>
      </c>
      <c r="C2217" s="45" t="s">
        <v>133</v>
      </c>
      <c r="D2217" s="45" t="s">
        <v>134</v>
      </c>
      <c r="E2217" s="45" t="s">
        <v>405</v>
      </c>
      <c r="F2217" s="45" t="s">
        <v>4396</v>
      </c>
      <c r="G2217" s="46" t="n">
        <v>46298</v>
      </c>
      <c r="H2217" s="45" t="s">
        <v>167</v>
      </c>
      <c r="I2217" s="45" t="s">
        <v>185</v>
      </c>
      <c r="J2217" s="45" t="s">
        <v>4397</v>
      </c>
      <c r="K2217" s="45" t="n">
        <v>0.8</v>
      </c>
      <c r="L2217" s="45" t="s">
        <v>263</v>
      </c>
      <c r="M2217" s="45" t="s">
        <v>259</v>
      </c>
      <c r="N2217" s="45" t="s">
        <v>167</v>
      </c>
      <c r="O2217" s="47" t="n">
        <v>46302.1547685185</v>
      </c>
      <c r="P2217" s="47" t="n">
        <v>46302.1553587963</v>
      </c>
    </row>
    <row r="2218" customFormat="false" ht="15" hidden="false" customHeight="false" outlineLevel="0" collapsed="false">
      <c r="A2218" s="45" t="n">
        <v>2423</v>
      </c>
      <c r="B2218" s="46" t="n">
        <v>46302</v>
      </c>
      <c r="C2218" s="45" t="s">
        <v>133</v>
      </c>
      <c r="D2218" s="45" t="s">
        <v>134</v>
      </c>
      <c r="E2218" s="45" t="s">
        <v>3556</v>
      </c>
      <c r="F2218" s="45" t="s">
        <v>4398</v>
      </c>
      <c r="G2218" s="46" t="n">
        <v>46298</v>
      </c>
      <c r="H2218" s="45" t="s">
        <v>167</v>
      </c>
      <c r="I2218" s="45" t="s">
        <v>179</v>
      </c>
      <c r="J2218" s="45" t="s">
        <v>4399</v>
      </c>
      <c r="K2218" s="45" t="n">
        <v>9.8</v>
      </c>
      <c r="L2218" s="45" t="s">
        <v>263</v>
      </c>
      <c r="M2218" s="45" t="s">
        <v>259</v>
      </c>
      <c r="N2218" s="45" t="s">
        <v>167</v>
      </c>
      <c r="O2218" s="47" t="n">
        <v>46302.1563657407</v>
      </c>
      <c r="P2218" s="47" t="n">
        <v>46302.1631712963</v>
      </c>
    </row>
    <row r="2219" customFormat="false" ht="15" hidden="false" customHeight="false" outlineLevel="0" collapsed="false">
      <c r="A2219" s="45" t="n">
        <v>2422</v>
      </c>
      <c r="B2219" s="46" t="n">
        <v>46302</v>
      </c>
      <c r="C2219" s="45" t="s">
        <v>151</v>
      </c>
      <c r="D2219" s="45" t="s">
        <v>152</v>
      </c>
      <c r="E2219" s="45" t="s">
        <v>4400</v>
      </c>
      <c r="F2219" s="45" t="s">
        <v>70</v>
      </c>
      <c r="G2219" s="46" t="n">
        <v>46296</v>
      </c>
      <c r="H2219" s="45" t="s">
        <v>168</v>
      </c>
      <c r="I2219" s="45" t="s">
        <v>196</v>
      </c>
      <c r="J2219" s="45" t="s">
        <v>4401</v>
      </c>
      <c r="K2219" s="45" t="n">
        <v>0.1</v>
      </c>
      <c r="L2219" s="45" t="s">
        <v>259</v>
      </c>
      <c r="M2219" s="45" t="s">
        <v>259</v>
      </c>
      <c r="N2219" s="45" t="s">
        <v>2559</v>
      </c>
      <c r="O2219" s="47" t="n">
        <v>46302.1572685185</v>
      </c>
      <c r="P2219" s="47" t="n">
        <v>46302.1573032407</v>
      </c>
    </row>
    <row r="2220" customFormat="false" ht="15" hidden="false" customHeight="false" outlineLevel="0" collapsed="false">
      <c r="A2220" s="45" t="n">
        <v>2440</v>
      </c>
      <c r="B2220" s="46" t="n">
        <v>46302</v>
      </c>
      <c r="C2220" s="45" t="s">
        <v>151</v>
      </c>
      <c r="D2220" s="45" t="s">
        <v>152</v>
      </c>
      <c r="E2220" s="45" t="s">
        <v>4259</v>
      </c>
      <c r="F2220" s="45" t="s">
        <v>92</v>
      </c>
      <c r="G2220" s="46" t="n">
        <v>46301</v>
      </c>
      <c r="H2220" s="45" t="s">
        <v>167</v>
      </c>
      <c r="I2220" s="45" t="s">
        <v>178</v>
      </c>
      <c r="J2220" s="45" t="s">
        <v>4402</v>
      </c>
      <c r="K2220" s="45" t="n">
        <v>161.6</v>
      </c>
      <c r="L2220" s="45" t="s">
        <v>263</v>
      </c>
      <c r="M2220" s="45" t="s">
        <v>259</v>
      </c>
      <c r="N2220" s="45" t="s">
        <v>167</v>
      </c>
      <c r="O2220" s="47" t="n">
        <v>46302.1574074074</v>
      </c>
      <c r="P2220" s="47" t="n">
        <v>46302.2696064815</v>
      </c>
    </row>
    <row r="2221" customFormat="false" ht="15" hidden="false" customHeight="false" outlineLevel="0" collapsed="false">
      <c r="A2221" s="45" t="n">
        <v>2425</v>
      </c>
      <c r="B2221" s="46" t="n">
        <v>46302</v>
      </c>
      <c r="C2221" s="45" t="s">
        <v>133</v>
      </c>
      <c r="D2221" s="45" t="s">
        <v>134</v>
      </c>
      <c r="E2221" s="45" t="s">
        <v>2591</v>
      </c>
      <c r="F2221" s="45" t="s">
        <v>4403</v>
      </c>
      <c r="G2221" s="46" t="n">
        <v>46292</v>
      </c>
      <c r="H2221" s="45" t="s">
        <v>167</v>
      </c>
      <c r="I2221" s="45" t="s">
        <v>179</v>
      </c>
      <c r="J2221" s="45" t="s">
        <v>4404</v>
      </c>
      <c r="K2221" s="45" t="n">
        <v>4</v>
      </c>
      <c r="L2221" s="45" t="s">
        <v>263</v>
      </c>
      <c r="M2221" s="45" t="s">
        <v>259</v>
      </c>
      <c r="N2221" s="45" t="s">
        <v>167</v>
      </c>
      <c r="O2221" s="47" t="n">
        <v>46302.1634722222</v>
      </c>
      <c r="P2221" s="47" t="n">
        <v>46302.1662152778</v>
      </c>
    </row>
    <row r="2222" customFormat="false" ht="15" hidden="false" customHeight="false" outlineLevel="0" collapsed="false">
      <c r="A2222" s="45" t="n">
        <v>2426</v>
      </c>
      <c r="B2222" s="46" t="n">
        <v>46302</v>
      </c>
      <c r="C2222" s="45" t="s">
        <v>133</v>
      </c>
      <c r="D2222" s="45" t="s">
        <v>134</v>
      </c>
      <c r="E2222" s="45" t="s">
        <v>3556</v>
      </c>
      <c r="F2222" s="45" t="s">
        <v>4405</v>
      </c>
      <c r="G2222" s="46" t="n">
        <v>46300</v>
      </c>
      <c r="H2222" s="45" t="s">
        <v>167</v>
      </c>
      <c r="I2222" s="45" t="s">
        <v>179</v>
      </c>
      <c r="J2222" s="45" t="s">
        <v>4406</v>
      </c>
      <c r="K2222" s="45" t="n">
        <v>47.4</v>
      </c>
      <c r="L2222" s="45" t="s">
        <v>263</v>
      </c>
      <c r="M2222" s="45" t="s">
        <v>259</v>
      </c>
      <c r="N2222" s="45" t="s">
        <v>167</v>
      </c>
      <c r="O2222" s="47" t="n">
        <v>46302.1665393519</v>
      </c>
      <c r="P2222" s="47" t="n">
        <v>46302.1994560185</v>
      </c>
    </row>
    <row r="2223" customFormat="false" ht="15" hidden="false" customHeight="false" outlineLevel="0" collapsed="false">
      <c r="A2223" s="45" t="n">
        <v>2428</v>
      </c>
      <c r="B2223" s="46" t="n">
        <v>46302</v>
      </c>
      <c r="C2223" s="45" t="s">
        <v>133</v>
      </c>
      <c r="D2223" s="45" t="s">
        <v>134</v>
      </c>
      <c r="E2223" s="45" t="s">
        <v>2933</v>
      </c>
      <c r="F2223" s="45" t="s">
        <v>4407</v>
      </c>
      <c r="G2223" s="46" t="n">
        <v>46294</v>
      </c>
      <c r="H2223" s="45" t="s">
        <v>167</v>
      </c>
      <c r="I2223" s="45" t="s">
        <v>178</v>
      </c>
      <c r="J2223" s="45" t="s">
        <v>4408</v>
      </c>
      <c r="K2223" s="45" t="n">
        <v>6.9</v>
      </c>
      <c r="L2223" s="45" t="s">
        <v>263</v>
      </c>
      <c r="M2223" s="45" t="s">
        <v>259</v>
      </c>
      <c r="N2223" s="45" t="s">
        <v>167</v>
      </c>
      <c r="O2223" s="47" t="n">
        <v>46302.199537037</v>
      </c>
      <c r="P2223" s="47" t="n">
        <v>46302.2043402778</v>
      </c>
    </row>
    <row r="2224" customFormat="false" ht="15" hidden="false" customHeight="false" outlineLevel="0" collapsed="false">
      <c r="A2224" s="45" t="n">
        <v>2427</v>
      </c>
      <c r="B2224" s="46" t="n">
        <v>46302</v>
      </c>
      <c r="C2224" s="45" t="s">
        <v>139</v>
      </c>
      <c r="D2224" s="45" t="s">
        <v>140</v>
      </c>
      <c r="E2224" s="45" t="s">
        <v>221</v>
      </c>
      <c r="F2224" s="45" t="s">
        <v>4409</v>
      </c>
      <c r="G2224" s="46" t="n">
        <v>46295</v>
      </c>
      <c r="H2224" s="45" t="s">
        <v>167</v>
      </c>
      <c r="I2224" s="45" t="s">
        <v>179</v>
      </c>
      <c r="J2224" s="45" t="s">
        <v>4410</v>
      </c>
      <c r="K2224" s="45" t="n">
        <v>0.6</v>
      </c>
      <c r="L2224" s="45" t="s">
        <v>263</v>
      </c>
      <c r="M2224" s="45" t="s">
        <v>259</v>
      </c>
      <c r="N2224" s="45" t="s">
        <v>167</v>
      </c>
      <c r="O2224" s="47" t="n">
        <v>46302.2028703704</v>
      </c>
      <c r="P2224" s="47" t="n">
        <v>46302.203287037</v>
      </c>
    </row>
    <row r="2225" customFormat="false" ht="15" hidden="false" customHeight="false" outlineLevel="0" collapsed="false">
      <c r="A2225" s="45" t="n">
        <v>2429</v>
      </c>
      <c r="B2225" s="46" t="n">
        <v>46302</v>
      </c>
      <c r="C2225" s="45" t="s">
        <v>139</v>
      </c>
      <c r="D2225" s="45" t="s">
        <v>140</v>
      </c>
      <c r="E2225" s="45" t="s">
        <v>221</v>
      </c>
      <c r="F2225" s="45" t="s">
        <v>4411</v>
      </c>
      <c r="G2225" s="46" t="n">
        <v>46294</v>
      </c>
      <c r="H2225" s="45" t="s">
        <v>167</v>
      </c>
      <c r="I2225" s="45" t="s">
        <v>176</v>
      </c>
      <c r="J2225" s="45" t="s">
        <v>4412</v>
      </c>
      <c r="K2225" s="45" t="n">
        <v>1</v>
      </c>
      <c r="L2225" s="45" t="s">
        <v>259</v>
      </c>
      <c r="M2225" s="45" t="s">
        <v>259</v>
      </c>
      <c r="N2225" s="45" t="s">
        <v>167</v>
      </c>
      <c r="O2225" s="47" t="n">
        <v>46302.2040625</v>
      </c>
      <c r="P2225" s="47" t="n">
        <v>46302.2047685185</v>
      </c>
    </row>
    <row r="2226" customFormat="false" ht="15" hidden="false" customHeight="false" outlineLevel="0" collapsed="false">
      <c r="A2226" s="45" t="n">
        <v>2435</v>
      </c>
      <c r="B2226" s="46" t="n">
        <v>46302</v>
      </c>
      <c r="C2226" s="45" t="s">
        <v>133</v>
      </c>
      <c r="D2226" s="45" t="s">
        <v>134</v>
      </c>
      <c r="E2226" s="45" t="s">
        <v>2591</v>
      </c>
      <c r="F2226" s="45" t="s">
        <v>4413</v>
      </c>
      <c r="G2226" s="46" t="n">
        <v>46300</v>
      </c>
      <c r="H2226" s="45" t="s">
        <v>167</v>
      </c>
      <c r="I2226" s="45" t="s">
        <v>179</v>
      </c>
      <c r="J2226" s="45" t="s">
        <v>4414</v>
      </c>
      <c r="K2226" s="45" t="n">
        <v>20.7</v>
      </c>
      <c r="L2226" s="45" t="s">
        <v>263</v>
      </c>
      <c r="M2226" s="45" t="s">
        <v>259</v>
      </c>
      <c r="N2226" s="45" t="s">
        <v>167</v>
      </c>
      <c r="O2226" s="47" t="n">
        <v>46302.2044907407</v>
      </c>
      <c r="P2226" s="47" t="n">
        <v>46302.2188888889</v>
      </c>
    </row>
    <row r="2227" customFormat="false" ht="15" hidden="false" customHeight="false" outlineLevel="0" collapsed="false">
      <c r="A2227" s="45" t="n">
        <v>2430</v>
      </c>
      <c r="B2227" s="46" t="n">
        <v>46302</v>
      </c>
      <c r="C2227" s="45" t="s">
        <v>139</v>
      </c>
      <c r="D2227" s="45" t="s">
        <v>140</v>
      </c>
      <c r="E2227" s="45" t="s">
        <v>221</v>
      </c>
      <c r="F2227" s="45" t="s">
        <v>4411</v>
      </c>
      <c r="G2227" s="46" t="n">
        <v>46294</v>
      </c>
      <c r="H2227" s="45" t="s">
        <v>167</v>
      </c>
      <c r="I2227" s="45" t="s">
        <v>179</v>
      </c>
      <c r="J2227" s="45" t="s">
        <v>4415</v>
      </c>
      <c r="K2227" s="45" t="n">
        <v>1.1</v>
      </c>
      <c r="L2227" s="45" t="s">
        <v>259</v>
      </c>
      <c r="M2227" s="45" t="s">
        <v>259</v>
      </c>
      <c r="N2227" s="45" t="s">
        <v>167</v>
      </c>
      <c r="O2227" s="47" t="n">
        <v>46302.2059259259</v>
      </c>
      <c r="P2227" s="47" t="n">
        <v>46302.2066782407</v>
      </c>
    </row>
    <row r="2228" customFormat="false" ht="15" hidden="false" customHeight="false" outlineLevel="0" collapsed="false">
      <c r="A2228" s="45" t="n">
        <v>2431</v>
      </c>
      <c r="B2228" s="46" t="n">
        <v>46302</v>
      </c>
      <c r="C2228" s="45" t="s">
        <v>147</v>
      </c>
      <c r="D2228" s="45" t="s">
        <v>148</v>
      </c>
      <c r="E2228" s="45" t="s">
        <v>3818</v>
      </c>
      <c r="F2228" s="45" t="s">
        <v>4416</v>
      </c>
      <c r="G2228" s="46" t="n">
        <v>46296</v>
      </c>
      <c r="H2228" s="45" t="s">
        <v>57</v>
      </c>
      <c r="I2228" s="45" t="s">
        <v>201</v>
      </c>
      <c r="J2228" s="45" t="s">
        <v>4417</v>
      </c>
      <c r="K2228" s="45" t="n">
        <v>1.1</v>
      </c>
      <c r="L2228" s="45" t="s">
        <v>263</v>
      </c>
      <c r="M2228" s="45" t="s">
        <v>259</v>
      </c>
      <c r="N2228" s="45" t="s">
        <v>57</v>
      </c>
      <c r="O2228" s="47" t="n">
        <v>46302.208912037</v>
      </c>
      <c r="P2228" s="47" t="n">
        <v>46302.2096990741</v>
      </c>
    </row>
    <row r="2229" customFormat="false" ht="15" hidden="false" customHeight="false" outlineLevel="0" collapsed="false">
      <c r="A2229" s="45" t="n">
        <v>2436</v>
      </c>
      <c r="B2229" s="46" t="n">
        <v>46302</v>
      </c>
      <c r="C2229" s="45" t="s">
        <v>139</v>
      </c>
      <c r="D2229" s="45" t="s">
        <v>140</v>
      </c>
      <c r="E2229" s="45" t="s">
        <v>221</v>
      </c>
      <c r="F2229" s="45" t="s">
        <v>4418</v>
      </c>
      <c r="G2229" s="46" t="n">
        <v>46295</v>
      </c>
      <c r="H2229" s="45" t="s">
        <v>167</v>
      </c>
      <c r="I2229" s="45" t="s">
        <v>183</v>
      </c>
      <c r="J2229" s="45" t="s">
        <v>4419</v>
      </c>
      <c r="K2229" s="45" t="n">
        <v>19.6</v>
      </c>
      <c r="L2229" s="45" t="s">
        <v>263</v>
      </c>
      <c r="M2229" s="45" t="s">
        <v>259</v>
      </c>
      <c r="N2229" s="45" t="s">
        <v>167</v>
      </c>
      <c r="O2229" s="47" t="n">
        <v>46302.2093865741</v>
      </c>
      <c r="P2229" s="47" t="n">
        <v>46302.2230092593</v>
      </c>
    </row>
    <row r="2230" customFormat="false" ht="15" hidden="false" customHeight="false" outlineLevel="0" collapsed="false">
      <c r="A2230" s="45" t="n">
        <v>2432</v>
      </c>
      <c r="B2230" s="46" t="n">
        <v>46302</v>
      </c>
      <c r="C2230" s="45" t="s">
        <v>147</v>
      </c>
      <c r="D2230" s="45" t="s">
        <v>148</v>
      </c>
      <c r="E2230" s="45" t="s">
        <v>4000</v>
      </c>
      <c r="F2230" s="45" t="s">
        <v>4420</v>
      </c>
      <c r="G2230" s="46" t="n">
        <v>46295</v>
      </c>
      <c r="H2230" s="45" t="s">
        <v>168</v>
      </c>
      <c r="I2230" s="45" t="s">
        <v>191</v>
      </c>
      <c r="J2230" s="45" t="s">
        <v>4421</v>
      </c>
      <c r="K2230" s="45" t="n">
        <v>0.5</v>
      </c>
      <c r="L2230" s="45" t="s">
        <v>263</v>
      </c>
      <c r="M2230" s="45" t="s">
        <v>259</v>
      </c>
      <c r="N2230" s="45" t="s">
        <v>2559</v>
      </c>
      <c r="O2230" s="47" t="n">
        <v>46302.2115509259</v>
      </c>
      <c r="P2230" s="47" t="n">
        <v>46302.2118634259</v>
      </c>
    </row>
    <row r="2231" customFormat="false" ht="15" hidden="false" customHeight="false" outlineLevel="0" collapsed="false">
      <c r="A2231" s="45" t="n">
        <v>2433</v>
      </c>
      <c r="B2231" s="46" t="n">
        <v>46302</v>
      </c>
      <c r="C2231" s="45" t="s">
        <v>147</v>
      </c>
      <c r="D2231" s="45" t="s">
        <v>148</v>
      </c>
      <c r="E2231" s="45" t="s">
        <v>4034</v>
      </c>
      <c r="F2231" s="45" t="s">
        <v>4422</v>
      </c>
      <c r="G2231" s="46" t="n">
        <v>46292</v>
      </c>
      <c r="H2231" s="45" t="s">
        <v>168</v>
      </c>
      <c r="I2231" s="45" t="s">
        <v>196</v>
      </c>
      <c r="J2231" s="45" t="s">
        <v>4423</v>
      </c>
      <c r="K2231" s="45" t="n">
        <v>0.6</v>
      </c>
      <c r="L2231" s="45" t="s">
        <v>263</v>
      </c>
      <c r="M2231" s="45" t="s">
        <v>259</v>
      </c>
      <c r="N2231" s="45" t="s">
        <v>2559</v>
      </c>
      <c r="O2231" s="47" t="n">
        <v>46302.2134953704</v>
      </c>
      <c r="P2231" s="47" t="n">
        <v>46302.2139236111</v>
      </c>
    </row>
    <row r="2232" customFormat="false" ht="15" hidden="false" customHeight="false" outlineLevel="0" collapsed="false">
      <c r="A2232" s="45" t="n">
        <v>2434</v>
      </c>
      <c r="B2232" s="46" t="n">
        <v>46302</v>
      </c>
      <c r="C2232" s="45" t="s">
        <v>147</v>
      </c>
      <c r="D2232" s="45" t="s">
        <v>148</v>
      </c>
      <c r="E2232" s="45" t="s">
        <v>4002</v>
      </c>
      <c r="F2232" s="45" t="s">
        <v>4424</v>
      </c>
      <c r="G2232" s="46" t="n">
        <v>46291</v>
      </c>
      <c r="H2232" s="45" t="s">
        <v>167</v>
      </c>
      <c r="I2232" s="45" t="s">
        <v>176</v>
      </c>
      <c r="J2232" s="45" t="s">
        <v>4425</v>
      </c>
      <c r="K2232" s="45" t="n">
        <v>0.9</v>
      </c>
      <c r="L2232" s="45" t="s">
        <v>263</v>
      </c>
      <c r="M2232" s="45" t="s">
        <v>259</v>
      </c>
      <c r="N2232" s="45" t="s">
        <v>167</v>
      </c>
      <c r="O2232" s="47" t="n">
        <v>46302.2148958333</v>
      </c>
      <c r="P2232" s="47" t="n">
        <v>46302.2154976852</v>
      </c>
    </row>
    <row r="2233" customFormat="false" ht="15" hidden="false" customHeight="false" outlineLevel="0" collapsed="false">
      <c r="A2233" s="45" t="n">
        <v>2439</v>
      </c>
      <c r="B2233" s="46" t="n">
        <v>46302</v>
      </c>
      <c r="C2233" s="45" t="s">
        <v>133</v>
      </c>
      <c r="D2233" s="45" t="s">
        <v>134</v>
      </c>
      <c r="E2233" s="45" t="s">
        <v>1933</v>
      </c>
      <c r="F2233" s="45" t="s">
        <v>4426</v>
      </c>
      <c r="G2233" s="46" t="n">
        <v>46288</v>
      </c>
      <c r="H2233" s="45" t="s">
        <v>57</v>
      </c>
      <c r="I2233" s="45" t="s">
        <v>201</v>
      </c>
      <c r="J2233" s="45" t="s">
        <v>4427</v>
      </c>
      <c r="K2233" s="45" t="n">
        <v>41.3</v>
      </c>
      <c r="L2233" s="45" t="s">
        <v>263</v>
      </c>
      <c r="M2233" s="45" t="s">
        <v>259</v>
      </c>
      <c r="N2233" s="45" t="s">
        <v>57</v>
      </c>
      <c r="O2233" s="47" t="n">
        <v>46302.2204050926</v>
      </c>
      <c r="P2233" s="47" t="n">
        <v>46302.2491087963</v>
      </c>
    </row>
    <row r="2234" customFormat="false" ht="15" hidden="false" customHeight="false" outlineLevel="0" collapsed="false">
      <c r="A2234" s="45" t="n">
        <v>2437</v>
      </c>
      <c r="B2234" s="46" t="n">
        <v>46302</v>
      </c>
      <c r="C2234" s="45" t="s">
        <v>139</v>
      </c>
      <c r="D2234" s="45" t="s">
        <v>140</v>
      </c>
      <c r="E2234" s="45" t="s">
        <v>2826</v>
      </c>
      <c r="F2234" s="45" t="s">
        <v>4428</v>
      </c>
      <c r="G2234" s="46" t="n">
        <v>46293</v>
      </c>
      <c r="H2234" s="45" t="s">
        <v>168</v>
      </c>
      <c r="I2234" s="45" t="s">
        <v>191</v>
      </c>
      <c r="J2234" s="45" t="s">
        <v>4429</v>
      </c>
      <c r="K2234" s="45" t="n">
        <v>28.6</v>
      </c>
      <c r="L2234" s="45" t="s">
        <v>263</v>
      </c>
      <c r="M2234" s="45" t="s">
        <v>259</v>
      </c>
      <c r="N2234" s="45" t="s">
        <v>2559</v>
      </c>
      <c r="O2234" s="47" t="n">
        <v>46302.2230787037</v>
      </c>
      <c r="P2234" s="47" t="n">
        <v>46302.242962963</v>
      </c>
    </row>
    <row r="2235" customFormat="false" ht="15" hidden="false" customHeight="false" outlineLevel="0" collapsed="false">
      <c r="A2235" s="45" t="n">
        <v>2444</v>
      </c>
      <c r="B2235" s="46" t="n">
        <v>46302</v>
      </c>
      <c r="C2235" s="45" t="s">
        <v>135</v>
      </c>
      <c r="D2235" s="45" t="s">
        <v>136</v>
      </c>
      <c r="E2235" s="45" t="s">
        <v>492</v>
      </c>
      <c r="F2235" s="45" t="s">
        <v>4430</v>
      </c>
      <c r="G2235" s="46" t="n">
        <v>46296</v>
      </c>
      <c r="H2235" s="45" t="s">
        <v>167</v>
      </c>
      <c r="I2235" s="45" t="s">
        <v>176</v>
      </c>
      <c r="J2235" s="45" t="s">
        <v>4431</v>
      </c>
      <c r="K2235" s="45" t="n">
        <v>95.7</v>
      </c>
      <c r="L2235" s="45" t="s">
        <v>263</v>
      </c>
      <c r="M2235" s="45" t="s">
        <v>259</v>
      </c>
      <c r="N2235" s="45" t="s">
        <v>167</v>
      </c>
      <c r="O2235" s="47" t="n">
        <v>46302.2390046296</v>
      </c>
      <c r="P2235" s="47" t="n">
        <v>46302.3054398148</v>
      </c>
    </row>
    <row r="2236" customFormat="false" ht="15" hidden="false" customHeight="false" outlineLevel="0" collapsed="false">
      <c r="A2236" s="45" t="n">
        <v>2438</v>
      </c>
      <c r="B2236" s="46" t="n">
        <v>46302</v>
      </c>
      <c r="C2236" s="45" t="s">
        <v>139</v>
      </c>
      <c r="D2236" s="45" t="s">
        <v>140</v>
      </c>
      <c r="E2236" s="45" t="s">
        <v>2666</v>
      </c>
      <c r="F2236" s="45" t="s">
        <v>4432</v>
      </c>
      <c r="G2236" s="46" t="n">
        <v>46294</v>
      </c>
      <c r="H2236" s="45" t="s">
        <v>168</v>
      </c>
      <c r="I2236" s="45" t="s">
        <v>191</v>
      </c>
      <c r="J2236" s="45" t="s">
        <v>4433</v>
      </c>
      <c r="K2236" s="45" t="n">
        <v>1.4</v>
      </c>
      <c r="L2236" s="45" t="s">
        <v>259</v>
      </c>
      <c r="M2236" s="45" t="s">
        <v>259</v>
      </c>
      <c r="N2236" s="45" t="s">
        <v>2559</v>
      </c>
      <c r="O2236" s="47" t="n">
        <v>46302.2438194445</v>
      </c>
      <c r="P2236" s="47" t="n">
        <v>46302.2448263889</v>
      </c>
    </row>
    <row r="2237" customFormat="false" ht="15" hidden="false" customHeight="false" outlineLevel="0" collapsed="false">
      <c r="A2237" s="45" t="n">
        <v>2446</v>
      </c>
      <c r="B2237" s="46" t="n">
        <v>46302</v>
      </c>
      <c r="C2237" s="45" t="s">
        <v>133</v>
      </c>
      <c r="D2237" s="45" t="s">
        <v>134</v>
      </c>
      <c r="E2237" s="45" t="s">
        <v>2591</v>
      </c>
      <c r="F2237" s="45" t="s">
        <v>4434</v>
      </c>
      <c r="G2237" s="46" t="n">
        <v>46300</v>
      </c>
      <c r="H2237" s="45" t="s">
        <v>167</v>
      </c>
      <c r="I2237" s="45" t="s">
        <v>179</v>
      </c>
      <c r="J2237" s="45" t="s">
        <v>4435</v>
      </c>
      <c r="K2237" s="45" t="n">
        <v>279.9</v>
      </c>
      <c r="L2237" s="45" t="s">
        <v>263</v>
      </c>
      <c r="M2237" s="45" t="s">
        <v>259</v>
      </c>
      <c r="N2237" s="45" t="s">
        <v>167</v>
      </c>
      <c r="O2237" s="47" t="n">
        <v>46302.2492592593</v>
      </c>
      <c r="P2237" s="47" t="n">
        <v>46302.4436111111</v>
      </c>
    </row>
    <row r="2238" customFormat="false" ht="15" hidden="false" customHeight="false" outlineLevel="0" collapsed="false">
      <c r="A2238" s="45" t="n">
        <v>2442</v>
      </c>
      <c r="B2238" s="46" t="n">
        <v>46302</v>
      </c>
      <c r="C2238" s="45" t="s">
        <v>151</v>
      </c>
      <c r="D2238" s="45" t="s">
        <v>152</v>
      </c>
      <c r="E2238" s="45" t="s">
        <v>4400</v>
      </c>
      <c r="F2238" s="45" t="s">
        <v>4436</v>
      </c>
      <c r="G2238" s="46" t="n">
        <v>46300</v>
      </c>
      <c r="H2238" s="45" t="s">
        <v>167</v>
      </c>
      <c r="I2238" s="45" t="s">
        <v>176</v>
      </c>
      <c r="J2238" s="45" t="s">
        <v>4437</v>
      </c>
      <c r="K2238" s="45" t="n">
        <v>19</v>
      </c>
      <c r="L2238" s="45" t="s">
        <v>263</v>
      </c>
      <c r="M2238" s="45" t="s">
        <v>259</v>
      </c>
      <c r="N2238" s="45" t="s">
        <v>167</v>
      </c>
      <c r="O2238" s="47" t="n">
        <v>46302.2699074074</v>
      </c>
      <c r="P2238" s="47" t="n">
        <v>46302.2831134259</v>
      </c>
    </row>
    <row r="2239" customFormat="false" ht="15" hidden="false" customHeight="false" outlineLevel="0" collapsed="false">
      <c r="A2239" s="45" t="n">
        <v>2441</v>
      </c>
      <c r="B2239" s="46" t="n">
        <v>46302</v>
      </c>
      <c r="C2239" s="45" t="s">
        <v>139</v>
      </c>
      <c r="D2239" s="45" t="s">
        <v>140</v>
      </c>
      <c r="E2239" s="45" t="s">
        <v>2816</v>
      </c>
      <c r="F2239" s="45" t="s">
        <v>4438</v>
      </c>
      <c r="G2239" s="46" t="n">
        <v>46298</v>
      </c>
      <c r="H2239" s="45" t="s">
        <v>167</v>
      </c>
      <c r="I2239" s="45" t="s">
        <v>176</v>
      </c>
      <c r="J2239" s="45" t="s">
        <v>4439</v>
      </c>
      <c r="K2239" s="45" t="n">
        <v>0.6</v>
      </c>
      <c r="L2239" s="45" t="s">
        <v>263</v>
      </c>
      <c r="M2239" s="45" t="s">
        <v>259</v>
      </c>
      <c r="N2239" s="45" t="s">
        <v>167</v>
      </c>
      <c r="O2239" s="47" t="n">
        <v>46302.2736921296</v>
      </c>
      <c r="P2239" s="47" t="n">
        <v>46302.2741319445</v>
      </c>
    </row>
    <row r="2240" customFormat="false" ht="15" hidden="false" customHeight="false" outlineLevel="0" collapsed="false">
      <c r="A2240" s="45" t="n">
        <v>2445</v>
      </c>
      <c r="B2240" s="46" t="n">
        <v>46302</v>
      </c>
      <c r="C2240" s="45" t="s">
        <v>139</v>
      </c>
      <c r="D2240" s="45" t="s">
        <v>140</v>
      </c>
      <c r="E2240" s="45" t="s">
        <v>4108</v>
      </c>
      <c r="F2240" s="45" t="s">
        <v>4440</v>
      </c>
      <c r="G2240" s="46" t="n">
        <v>46295</v>
      </c>
      <c r="H2240" s="45" t="s">
        <v>167</v>
      </c>
      <c r="I2240" s="45" t="s">
        <v>176</v>
      </c>
      <c r="J2240" s="45" t="s">
        <v>4441</v>
      </c>
      <c r="K2240" s="45" t="n">
        <v>227.3</v>
      </c>
      <c r="L2240" s="45" t="s">
        <v>263</v>
      </c>
      <c r="M2240" s="45" t="s">
        <v>259</v>
      </c>
      <c r="N2240" s="45" t="s">
        <v>167</v>
      </c>
      <c r="O2240" s="47" t="n">
        <v>46302.2742013889</v>
      </c>
      <c r="P2240" s="47" t="n">
        <v>46302.432037037</v>
      </c>
    </row>
    <row r="2241" customFormat="false" ht="15" hidden="false" customHeight="false" outlineLevel="0" collapsed="false">
      <c r="A2241" s="45" t="n">
        <v>2443</v>
      </c>
      <c r="B2241" s="46" t="n">
        <v>46302</v>
      </c>
      <c r="C2241" s="45" t="s">
        <v>151</v>
      </c>
      <c r="D2241" s="45" t="s">
        <v>152</v>
      </c>
      <c r="E2241" s="45" t="s">
        <v>4400</v>
      </c>
      <c r="F2241" s="45" t="s">
        <v>70</v>
      </c>
      <c r="G2241" s="46" t="n">
        <v>46296</v>
      </c>
      <c r="H2241" s="45" t="s">
        <v>167</v>
      </c>
      <c r="I2241" s="45" t="s">
        <v>177</v>
      </c>
      <c r="J2241" s="45" t="s">
        <v>4442</v>
      </c>
      <c r="K2241" s="45" t="n">
        <v>13.6</v>
      </c>
      <c r="L2241" s="45" t="s">
        <v>259</v>
      </c>
      <c r="M2241" s="45" t="s">
        <v>259</v>
      </c>
      <c r="N2241" s="45" t="s">
        <v>167</v>
      </c>
      <c r="O2241" s="47" t="n">
        <v>46302.2831481482</v>
      </c>
      <c r="P2241" s="47" t="n">
        <v>46302.2925694444</v>
      </c>
    </row>
    <row r="2242" customFormat="false" ht="15" hidden="false" customHeight="false" outlineLevel="0" collapsed="false">
      <c r="A2242" s="45" t="n">
        <v>2480</v>
      </c>
      <c r="B2242" s="46" t="n">
        <v>46302</v>
      </c>
      <c r="C2242" s="45" t="s">
        <v>151</v>
      </c>
      <c r="D2242" s="45" t="s">
        <v>152</v>
      </c>
      <c r="E2242" s="45" t="s">
        <v>4400</v>
      </c>
      <c r="F2242" s="45" t="s">
        <v>4443</v>
      </c>
      <c r="G2242" s="46" t="n">
        <v>46293</v>
      </c>
      <c r="H2242" s="45" t="s">
        <v>168</v>
      </c>
      <c r="I2242" s="45" t="s">
        <v>192</v>
      </c>
      <c r="J2242" s="45" t="s">
        <v>4444</v>
      </c>
      <c r="K2242" s="45" t="n">
        <v>616.6</v>
      </c>
      <c r="L2242" s="45" t="s">
        <v>263</v>
      </c>
      <c r="M2242" s="45" t="s">
        <v>259</v>
      </c>
      <c r="N2242" s="45" t="s">
        <v>2559</v>
      </c>
      <c r="O2242" s="47" t="n">
        <v>46302.2926273148</v>
      </c>
      <c r="P2242" s="47" t="n">
        <v>46302.7208101852</v>
      </c>
    </row>
    <row r="2243" customFormat="false" ht="15" hidden="false" customHeight="false" outlineLevel="0" collapsed="false">
      <c r="A2243" s="45" t="n">
        <v>2447</v>
      </c>
      <c r="B2243" s="46" t="n">
        <v>46302</v>
      </c>
      <c r="C2243" s="45" t="s">
        <v>139</v>
      </c>
      <c r="D2243" s="45" t="s">
        <v>140</v>
      </c>
      <c r="E2243" s="45" t="s">
        <v>237</v>
      </c>
      <c r="F2243" s="45" t="s">
        <v>4445</v>
      </c>
      <c r="G2243" s="46" t="n">
        <v>46296</v>
      </c>
      <c r="H2243" s="45" t="s">
        <v>167</v>
      </c>
      <c r="I2243" s="45" t="s">
        <v>183</v>
      </c>
      <c r="J2243" s="45" t="s">
        <v>4446</v>
      </c>
      <c r="K2243" s="45" t="n">
        <v>3.3</v>
      </c>
      <c r="L2243" s="45" t="s">
        <v>263</v>
      </c>
      <c r="M2243" s="45" t="s">
        <v>259</v>
      </c>
      <c r="N2243" s="45" t="s">
        <v>167</v>
      </c>
      <c r="O2243" s="47" t="n">
        <v>46302.4429861111</v>
      </c>
      <c r="P2243" s="47" t="n">
        <v>46302.4452893519</v>
      </c>
    </row>
    <row r="2244" customFormat="false" ht="15" hidden="false" customHeight="false" outlineLevel="0" collapsed="false">
      <c r="A2244" s="45" t="n">
        <v>2451</v>
      </c>
      <c r="B2244" s="46" t="n">
        <v>46302</v>
      </c>
      <c r="C2244" s="45" t="s">
        <v>133</v>
      </c>
      <c r="D2244" s="45" t="s">
        <v>134</v>
      </c>
      <c r="E2244" s="45" t="s">
        <v>2462</v>
      </c>
      <c r="F2244" s="45" t="s">
        <v>4447</v>
      </c>
      <c r="G2244" s="46" t="n">
        <v>46296</v>
      </c>
      <c r="H2244" s="45" t="s">
        <v>167</v>
      </c>
      <c r="I2244" s="45" t="s">
        <v>179</v>
      </c>
      <c r="J2244" s="45" t="s">
        <v>4448</v>
      </c>
      <c r="K2244" s="45" t="n">
        <v>12.5</v>
      </c>
      <c r="L2244" s="45" t="s">
        <v>263</v>
      </c>
      <c r="M2244" s="45" t="s">
        <v>259</v>
      </c>
      <c r="N2244" s="45" t="s">
        <v>167</v>
      </c>
      <c r="O2244" s="47" t="n">
        <v>46302.4436921296</v>
      </c>
      <c r="P2244" s="47" t="n">
        <v>46302.4523726852</v>
      </c>
    </row>
    <row r="2245" customFormat="false" ht="15" hidden="false" customHeight="false" outlineLevel="0" collapsed="false">
      <c r="A2245" s="45" t="n">
        <v>2448</v>
      </c>
      <c r="B2245" s="46" t="n">
        <v>46302</v>
      </c>
      <c r="C2245" s="45" t="s">
        <v>139</v>
      </c>
      <c r="D2245" s="45" t="s">
        <v>140</v>
      </c>
      <c r="E2245" s="45" t="s">
        <v>4108</v>
      </c>
      <c r="F2245" s="45" t="s">
        <v>4109</v>
      </c>
      <c r="G2245" s="46" t="n">
        <v>46296</v>
      </c>
      <c r="H2245" s="45" t="s">
        <v>167</v>
      </c>
      <c r="I2245" s="45" t="s">
        <v>176</v>
      </c>
      <c r="J2245" s="45" t="s">
        <v>4449</v>
      </c>
      <c r="K2245" s="45" t="n">
        <v>0.9</v>
      </c>
      <c r="L2245" s="45" t="s">
        <v>259</v>
      </c>
      <c r="M2245" s="45" t="s">
        <v>259</v>
      </c>
      <c r="N2245" s="45" t="s">
        <v>167</v>
      </c>
      <c r="O2245" s="47" t="n">
        <v>46302.4459375</v>
      </c>
      <c r="P2245" s="47" t="n">
        <v>46302.4465393519</v>
      </c>
    </row>
    <row r="2246" customFormat="false" ht="15" hidden="false" customHeight="false" outlineLevel="0" collapsed="false">
      <c r="A2246" s="45" t="n">
        <v>2449</v>
      </c>
      <c r="B2246" s="46" t="n">
        <v>46302</v>
      </c>
      <c r="C2246" s="45" t="s">
        <v>139</v>
      </c>
      <c r="D2246" s="45" t="s">
        <v>140</v>
      </c>
      <c r="E2246" s="45" t="s">
        <v>4108</v>
      </c>
      <c r="F2246" s="45" t="s">
        <v>4109</v>
      </c>
      <c r="G2246" s="46" t="n">
        <v>46296</v>
      </c>
      <c r="H2246" s="45" t="s">
        <v>167</v>
      </c>
      <c r="I2246" s="45" t="s">
        <v>183</v>
      </c>
      <c r="J2246" s="45" t="s">
        <v>4450</v>
      </c>
      <c r="K2246" s="45" t="n">
        <v>0.7</v>
      </c>
      <c r="L2246" s="45" t="s">
        <v>259</v>
      </c>
      <c r="M2246" s="45" t="s">
        <v>259</v>
      </c>
      <c r="N2246" s="45" t="s">
        <v>167</v>
      </c>
      <c r="O2246" s="47" t="n">
        <v>46302.4471643519</v>
      </c>
      <c r="P2246" s="47" t="n">
        <v>46302.4476157407</v>
      </c>
    </row>
    <row r="2247" customFormat="false" ht="15" hidden="false" customHeight="false" outlineLevel="0" collapsed="false">
      <c r="A2247" s="45" t="n">
        <v>2450</v>
      </c>
      <c r="B2247" s="46" t="n">
        <v>46302</v>
      </c>
      <c r="C2247" s="45" t="s">
        <v>139</v>
      </c>
      <c r="D2247" s="45" t="s">
        <v>140</v>
      </c>
      <c r="E2247" s="45" t="s">
        <v>237</v>
      </c>
      <c r="F2247" s="45" t="s">
        <v>4451</v>
      </c>
      <c r="G2247" s="46" t="n">
        <v>46297</v>
      </c>
      <c r="H2247" s="45" t="s">
        <v>167</v>
      </c>
      <c r="I2247" s="45" t="s">
        <v>176</v>
      </c>
      <c r="J2247" s="45" t="s">
        <v>4452</v>
      </c>
      <c r="K2247" s="45" t="n">
        <v>0.8</v>
      </c>
      <c r="L2247" s="45" t="s">
        <v>263</v>
      </c>
      <c r="M2247" s="45" t="s">
        <v>259</v>
      </c>
      <c r="N2247" s="45" t="s">
        <v>167</v>
      </c>
      <c r="O2247" s="47" t="n">
        <v>46302.4516319444</v>
      </c>
      <c r="P2247" s="47" t="n">
        <v>46302.4521875</v>
      </c>
    </row>
    <row r="2248" customFormat="false" ht="15" hidden="false" customHeight="false" outlineLevel="0" collapsed="false">
      <c r="A2248" s="45" t="n">
        <v>2452</v>
      </c>
      <c r="B2248" s="46" t="n">
        <v>46302</v>
      </c>
      <c r="C2248" s="45" t="s">
        <v>133</v>
      </c>
      <c r="D2248" s="45" t="s">
        <v>134</v>
      </c>
      <c r="E2248" s="45" t="s">
        <v>405</v>
      </c>
      <c r="F2248" s="45" t="s">
        <v>4453</v>
      </c>
      <c r="G2248" s="46" t="n">
        <v>46293</v>
      </c>
      <c r="H2248" s="45" t="s">
        <v>167</v>
      </c>
      <c r="I2248" s="45" t="s">
        <v>179</v>
      </c>
      <c r="J2248" s="45" t="s">
        <v>4454</v>
      </c>
      <c r="K2248" s="45" t="n">
        <v>14.6</v>
      </c>
      <c r="L2248" s="45" t="s">
        <v>263</v>
      </c>
      <c r="M2248" s="45" t="s">
        <v>259</v>
      </c>
      <c r="N2248" s="45" t="s">
        <v>167</v>
      </c>
      <c r="O2248" s="47" t="n">
        <v>46302.4523958333</v>
      </c>
      <c r="P2248" s="47" t="n">
        <v>46302.4625462963</v>
      </c>
    </row>
    <row r="2249" customFormat="false" ht="15" hidden="false" customHeight="false" outlineLevel="0" collapsed="false">
      <c r="A2249" s="45" t="n">
        <v>2453</v>
      </c>
      <c r="B2249" s="46" t="n">
        <v>46302</v>
      </c>
      <c r="C2249" s="45" t="s">
        <v>133</v>
      </c>
      <c r="D2249" s="45" t="s">
        <v>134</v>
      </c>
      <c r="E2249" s="45" t="s">
        <v>4055</v>
      </c>
      <c r="F2249" s="45" t="s">
        <v>4455</v>
      </c>
      <c r="G2249" s="46" t="n">
        <v>46298</v>
      </c>
      <c r="H2249" s="45" t="s">
        <v>167</v>
      </c>
      <c r="I2249" s="45" t="s">
        <v>176</v>
      </c>
      <c r="J2249" s="45" t="s">
        <v>4456</v>
      </c>
      <c r="K2249" s="45" t="n">
        <v>7.1</v>
      </c>
      <c r="L2249" s="45" t="s">
        <v>263</v>
      </c>
      <c r="M2249" s="45" t="s">
        <v>259</v>
      </c>
      <c r="N2249" s="45" t="s">
        <v>167</v>
      </c>
      <c r="O2249" s="47" t="n">
        <v>46302.4632060185</v>
      </c>
      <c r="P2249" s="47" t="n">
        <v>46302.4681134259</v>
      </c>
    </row>
    <row r="2250" customFormat="false" ht="15" hidden="false" customHeight="false" outlineLevel="0" collapsed="false">
      <c r="A2250" s="45" t="n">
        <v>2454</v>
      </c>
      <c r="B2250" s="46" t="n">
        <v>46302</v>
      </c>
      <c r="C2250" s="45" t="s">
        <v>133</v>
      </c>
      <c r="D2250" s="45" t="s">
        <v>134</v>
      </c>
      <c r="E2250" s="45" t="s">
        <v>2465</v>
      </c>
      <c r="F2250" s="45" t="s">
        <v>4457</v>
      </c>
      <c r="G2250" s="46" t="n">
        <v>46294</v>
      </c>
      <c r="H2250" s="45" t="s">
        <v>167</v>
      </c>
      <c r="I2250" s="45" t="s">
        <v>185</v>
      </c>
      <c r="J2250" s="45" t="s">
        <v>4458</v>
      </c>
      <c r="K2250" s="45" t="n">
        <v>10.8</v>
      </c>
      <c r="L2250" s="45" t="s">
        <v>263</v>
      </c>
      <c r="M2250" s="45" t="s">
        <v>259</v>
      </c>
      <c r="N2250" s="45" t="s">
        <v>167</v>
      </c>
      <c r="O2250" s="47" t="n">
        <v>46302.4683796296</v>
      </c>
      <c r="P2250" s="47" t="n">
        <v>46302.4758912037</v>
      </c>
    </row>
    <row r="2251" customFormat="false" ht="15" hidden="false" customHeight="false" outlineLevel="0" collapsed="false">
      <c r="A2251" s="45" t="n">
        <v>2456</v>
      </c>
      <c r="B2251" s="46" t="n">
        <v>46302</v>
      </c>
      <c r="C2251" s="45" t="s">
        <v>133</v>
      </c>
      <c r="D2251" s="45" t="s">
        <v>134</v>
      </c>
      <c r="E2251" s="45" t="s">
        <v>2462</v>
      </c>
      <c r="F2251" s="45" t="s">
        <v>4459</v>
      </c>
      <c r="G2251" s="46" t="n">
        <v>46297</v>
      </c>
      <c r="H2251" s="45" t="s">
        <v>168</v>
      </c>
      <c r="I2251" s="45" t="s">
        <v>196</v>
      </c>
      <c r="J2251" s="45" t="s">
        <v>4460</v>
      </c>
      <c r="K2251" s="45" t="n">
        <v>14.2</v>
      </c>
      <c r="L2251" s="45" t="s">
        <v>263</v>
      </c>
      <c r="M2251" s="45" t="s">
        <v>259</v>
      </c>
      <c r="N2251" s="45" t="s">
        <v>2559</v>
      </c>
      <c r="O2251" s="47" t="n">
        <v>46302.4759837963</v>
      </c>
      <c r="P2251" s="47" t="n">
        <v>46302.4858564815</v>
      </c>
    </row>
    <row r="2252" customFormat="false" ht="15" hidden="false" customHeight="false" outlineLevel="0" collapsed="false">
      <c r="A2252" s="45" t="n">
        <v>2455</v>
      </c>
      <c r="B2252" s="46" t="n">
        <v>46302</v>
      </c>
      <c r="C2252" s="45" t="s">
        <v>139</v>
      </c>
      <c r="D2252" s="45" t="s">
        <v>140</v>
      </c>
      <c r="E2252" s="45" t="s">
        <v>2816</v>
      </c>
      <c r="F2252" s="45" t="s">
        <v>4461</v>
      </c>
      <c r="G2252" s="46" t="n">
        <v>46298</v>
      </c>
      <c r="H2252" s="45" t="s">
        <v>168</v>
      </c>
      <c r="I2252" s="45" t="s">
        <v>194</v>
      </c>
      <c r="J2252" s="45" t="s">
        <v>4462</v>
      </c>
      <c r="K2252" s="45" t="n">
        <v>0.7</v>
      </c>
      <c r="L2252" s="45" t="s">
        <v>263</v>
      </c>
      <c r="M2252" s="45" t="s">
        <v>259</v>
      </c>
      <c r="N2252" s="45" t="s">
        <v>2559</v>
      </c>
      <c r="O2252" s="47" t="n">
        <v>46302.4851967593</v>
      </c>
      <c r="P2252" s="47" t="n">
        <v>46302.4857060185</v>
      </c>
    </row>
    <row r="2253" customFormat="false" ht="15" hidden="false" customHeight="false" outlineLevel="0" collapsed="false">
      <c r="A2253" s="45" t="n">
        <v>2458</v>
      </c>
      <c r="B2253" s="46" t="n">
        <v>46302</v>
      </c>
      <c r="C2253" s="45" t="s">
        <v>133</v>
      </c>
      <c r="D2253" s="45" t="s">
        <v>134</v>
      </c>
      <c r="E2253" s="45" t="s">
        <v>2457</v>
      </c>
      <c r="F2253" s="45" t="s">
        <v>4463</v>
      </c>
      <c r="G2253" s="46" t="n">
        <v>46288</v>
      </c>
      <c r="H2253" s="45" t="s">
        <v>167</v>
      </c>
      <c r="I2253" s="45" t="s">
        <v>179</v>
      </c>
      <c r="J2253" s="45" t="s">
        <v>4464</v>
      </c>
      <c r="K2253" s="45" t="n">
        <v>7.7</v>
      </c>
      <c r="L2253" s="45" t="s">
        <v>263</v>
      </c>
      <c r="M2253" s="45" t="s">
        <v>259</v>
      </c>
      <c r="N2253" s="45" t="s">
        <v>167</v>
      </c>
      <c r="O2253" s="47" t="n">
        <v>46302.4871990741</v>
      </c>
      <c r="P2253" s="47" t="n">
        <v>46302.4925231482</v>
      </c>
    </row>
    <row r="2254" customFormat="false" ht="15" hidden="false" customHeight="false" outlineLevel="0" collapsed="false">
      <c r="A2254" s="45" t="n">
        <v>2457</v>
      </c>
      <c r="B2254" s="46" t="n">
        <v>46302</v>
      </c>
      <c r="C2254" s="45" t="s">
        <v>139</v>
      </c>
      <c r="D2254" s="45" t="s">
        <v>140</v>
      </c>
      <c r="E2254" s="45" t="s">
        <v>2826</v>
      </c>
      <c r="F2254" s="45" t="s">
        <v>4465</v>
      </c>
      <c r="G2254" s="46" t="n">
        <v>46297</v>
      </c>
      <c r="H2254" s="45" t="s">
        <v>167</v>
      </c>
      <c r="I2254" s="45" t="s">
        <v>176</v>
      </c>
      <c r="J2254" s="45" t="s">
        <v>4466</v>
      </c>
      <c r="K2254" s="45" t="n">
        <v>0.9</v>
      </c>
      <c r="L2254" s="45" t="s">
        <v>263</v>
      </c>
      <c r="M2254" s="45" t="s">
        <v>259</v>
      </c>
      <c r="N2254" s="45" t="s">
        <v>167</v>
      </c>
      <c r="O2254" s="47" t="n">
        <v>46302.4880439815</v>
      </c>
      <c r="P2254" s="47" t="n">
        <v>46302.4887037037</v>
      </c>
    </row>
    <row r="2255" customFormat="false" ht="15" hidden="false" customHeight="false" outlineLevel="0" collapsed="false">
      <c r="A2255" s="45" t="n">
        <v>2461</v>
      </c>
      <c r="B2255" s="46" t="n">
        <v>46302</v>
      </c>
      <c r="C2255" s="45" t="s">
        <v>133</v>
      </c>
      <c r="D2255" s="45" t="s">
        <v>134</v>
      </c>
      <c r="E2255" s="45" t="s">
        <v>241</v>
      </c>
      <c r="F2255" s="45" t="s">
        <v>4467</v>
      </c>
      <c r="G2255" s="46" t="n">
        <v>46298</v>
      </c>
      <c r="H2255" s="45" t="s">
        <v>167</v>
      </c>
      <c r="I2255" s="45" t="s">
        <v>179</v>
      </c>
      <c r="J2255" s="45" t="s">
        <v>4468</v>
      </c>
      <c r="K2255" s="45" t="n">
        <v>21.4</v>
      </c>
      <c r="L2255" s="45" t="s">
        <v>263</v>
      </c>
      <c r="M2255" s="45" t="s">
        <v>259</v>
      </c>
      <c r="N2255" s="45" t="s">
        <v>167</v>
      </c>
      <c r="O2255" s="47" t="n">
        <v>46302.492650463</v>
      </c>
      <c r="P2255" s="47" t="n">
        <v>46302.5074884259</v>
      </c>
    </row>
    <row r="2256" customFormat="false" ht="15" hidden="false" customHeight="false" outlineLevel="0" collapsed="false">
      <c r="A2256" s="45" t="n">
        <v>2459</v>
      </c>
      <c r="B2256" s="46" t="n">
        <v>46302</v>
      </c>
      <c r="C2256" s="45" t="s">
        <v>139</v>
      </c>
      <c r="D2256" s="45" t="s">
        <v>140</v>
      </c>
      <c r="E2256" s="45" t="s">
        <v>2666</v>
      </c>
      <c r="F2256" s="45" t="s">
        <v>4432</v>
      </c>
      <c r="G2256" s="46" t="n">
        <v>46294</v>
      </c>
      <c r="H2256" s="45" t="s">
        <v>168</v>
      </c>
      <c r="I2256" s="45" t="s">
        <v>191</v>
      </c>
      <c r="J2256" s="45" t="s">
        <v>4469</v>
      </c>
      <c r="K2256" s="45" t="n">
        <v>3.5</v>
      </c>
      <c r="L2256" s="45" t="s">
        <v>259</v>
      </c>
      <c r="M2256" s="45" t="s">
        <v>259</v>
      </c>
      <c r="N2256" s="45" t="s">
        <v>2559</v>
      </c>
      <c r="O2256" s="47" t="n">
        <v>46302.4966435185</v>
      </c>
      <c r="P2256" s="47" t="n">
        <v>46302.4990740741</v>
      </c>
    </row>
    <row r="2257" customFormat="false" ht="15" hidden="false" customHeight="false" outlineLevel="0" collapsed="false">
      <c r="A2257" s="45" t="n">
        <v>2460</v>
      </c>
      <c r="B2257" s="46" t="n">
        <v>46302</v>
      </c>
      <c r="C2257" s="45" t="s">
        <v>139</v>
      </c>
      <c r="D2257" s="45" t="s">
        <v>140</v>
      </c>
      <c r="E2257" s="45" t="s">
        <v>2816</v>
      </c>
      <c r="F2257" s="45" t="s">
        <v>4470</v>
      </c>
      <c r="G2257" s="46" t="n">
        <v>46299</v>
      </c>
      <c r="H2257" s="45" t="s">
        <v>167</v>
      </c>
      <c r="I2257" s="45" t="s">
        <v>176</v>
      </c>
      <c r="J2257" s="45" t="s">
        <v>4471</v>
      </c>
      <c r="K2257" s="45" t="n">
        <v>7.9</v>
      </c>
      <c r="L2257" s="45" t="s">
        <v>263</v>
      </c>
      <c r="M2257" s="45" t="s">
        <v>259</v>
      </c>
      <c r="N2257" s="45" t="s">
        <v>167</v>
      </c>
      <c r="O2257" s="47" t="n">
        <v>46302.4993055556</v>
      </c>
      <c r="P2257" s="47" t="n">
        <v>46302.5047800926</v>
      </c>
    </row>
    <row r="2258" customFormat="false" ht="15" hidden="false" customHeight="false" outlineLevel="0" collapsed="false">
      <c r="A2258" s="45" t="n">
        <v>2462</v>
      </c>
      <c r="B2258" s="46" t="n">
        <v>46302</v>
      </c>
      <c r="C2258" s="45" t="s">
        <v>139</v>
      </c>
      <c r="D2258" s="45" t="s">
        <v>140</v>
      </c>
      <c r="E2258" s="45" t="s">
        <v>4073</v>
      </c>
      <c r="F2258" s="45" t="s">
        <v>4472</v>
      </c>
      <c r="G2258" s="46" t="n">
        <v>46299</v>
      </c>
      <c r="H2258" s="45" t="s">
        <v>57</v>
      </c>
      <c r="I2258" s="45" t="s">
        <v>201</v>
      </c>
      <c r="J2258" s="45" t="s">
        <v>4473</v>
      </c>
      <c r="K2258" s="45" t="n">
        <v>0.8</v>
      </c>
      <c r="L2258" s="45" t="s">
        <v>263</v>
      </c>
      <c r="M2258" s="45" t="s">
        <v>259</v>
      </c>
      <c r="N2258" s="45" t="s">
        <v>57</v>
      </c>
      <c r="O2258" s="47" t="n">
        <v>46302.5070833333</v>
      </c>
      <c r="P2258" s="47" t="n">
        <v>46302.5076388889</v>
      </c>
    </row>
    <row r="2259" customFormat="false" ht="15" hidden="false" customHeight="false" outlineLevel="0" collapsed="false">
      <c r="A2259" s="45" t="n">
        <v>2463</v>
      </c>
      <c r="B2259" s="46" t="n">
        <v>46302</v>
      </c>
      <c r="C2259" s="45" t="s">
        <v>139</v>
      </c>
      <c r="D2259" s="45" t="s">
        <v>140</v>
      </c>
      <c r="E2259" s="45" t="s">
        <v>4290</v>
      </c>
      <c r="F2259" s="45" t="s">
        <v>4474</v>
      </c>
      <c r="G2259" s="46" t="n">
        <v>46299</v>
      </c>
      <c r="H2259" s="45" t="s">
        <v>168</v>
      </c>
      <c r="I2259" s="45" t="s">
        <v>191</v>
      </c>
      <c r="J2259" s="45" t="s">
        <v>4475</v>
      </c>
      <c r="K2259" s="45" t="n">
        <v>0.5</v>
      </c>
      <c r="L2259" s="45" t="s">
        <v>263</v>
      </c>
      <c r="M2259" s="45" t="s">
        <v>259</v>
      </c>
      <c r="N2259" s="45" t="s">
        <v>2559</v>
      </c>
      <c r="O2259" s="47" t="n">
        <v>46302.5085532407</v>
      </c>
      <c r="P2259" s="47" t="n">
        <v>46302.5089236111</v>
      </c>
    </row>
    <row r="2260" customFormat="false" ht="15" hidden="false" customHeight="false" outlineLevel="0" collapsed="false">
      <c r="A2260" s="45" t="n">
        <v>2464</v>
      </c>
      <c r="B2260" s="46" t="n">
        <v>46302</v>
      </c>
      <c r="C2260" s="45" t="s">
        <v>139</v>
      </c>
      <c r="D2260" s="45" t="s">
        <v>140</v>
      </c>
      <c r="E2260" s="45" t="s">
        <v>233</v>
      </c>
      <c r="F2260" s="45" t="s">
        <v>4476</v>
      </c>
      <c r="G2260" s="46" t="n">
        <v>46300</v>
      </c>
      <c r="H2260" s="45" t="s">
        <v>167</v>
      </c>
      <c r="I2260" s="45" t="s">
        <v>176</v>
      </c>
      <c r="J2260" s="45" t="s">
        <v>4477</v>
      </c>
      <c r="K2260" s="45" t="n">
        <v>1.4</v>
      </c>
      <c r="L2260" s="45" t="s">
        <v>259</v>
      </c>
      <c r="M2260" s="45" t="s">
        <v>259</v>
      </c>
      <c r="N2260" s="45" t="s">
        <v>167</v>
      </c>
      <c r="O2260" s="47" t="n">
        <v>46302.5129861111</v>
      </c>
      <c r="P2260" s="47" t="n">
        <v>46302.5139583333</v>
      </c>
    </row>
    <row r="2261" customFormat="false" ht="15" hidden="false" customHeight="false" outlineLevel="0" collapsed="false">
      <c r="A2261" s="45" t="n">
        <v>2465</v>
      </c>
      <c r="B2261" s="46" t="n">
        <v>46302</v>
      </c>
      <c r="C2261" s="45" t="s">
        <v>133</v>
      </c>
      <c r="D2261" s="45" t="s">
        <v>134</v>
      </c>
      <c r="E2261" s="45" t="s">
        <v>4055</v>
      </c>
      <c r="F2261" s="45" t="s">
        <v>4478</v>
      </c>
      <c r="G2261" s="46" t="n">
        <v>46292</v>
      </c>
      <c r="H2261" s="45" t="s">
        <v>167</v>
      </c>
      <c r="I2261" s="45" t="s">
        <v>179</v>
      </c>
      <c r="J2261" s="45" t="s">
        <v>4479</v>
      </c>
      <c r="K2261" s="45" t="n">
        <v>0.5</v>
      </c>
      <c r="L2261" s="45" t="s">
        <v>263</v>
      </c>
      <c r="M2261" s="45" t="s">
        <v>259</v>
      </c>
      <c r="N2261" s="45" t="s">
        <v>167</v>
      </c>
      <c r="O2261" s="47" t="n">
        <v>46302.514537037</v>
      </c>
      <c r="P2261" s="47" t="n">
        <v>46302.5148958333</v>
      </c>
    </row>
    <row r="2262" customFormat="false" ht="15" hidden="false" customHeight="false" outlineLevel="0" collapsed="false">
      <c r="A2262" s="45" t="n">
        <v>2466</v>
      </c>
      <c r="B2262" s="46" t="n">
        <v>46302</v>
      </c>
      <c r="C2262" s="45" t="s">
        <v>139</v>
      </c>
      <c r="D2262" s="45" t="s">
        <v>140</v>
      </c>
      <c r="E2262" s="45" t="s">
        <v>233</v>
      </c>
      <c r="F2262" s="45" t="s">
        <v>4476</v>
      </c>
      <c r="G2262" s="46" t="n">
        <v>46300</v>
      </c>
      <c r="H2262" s="45" t="s">
        <v>168</v>
      </c>
      <c r="I2262" s="45" t="s">
        <v>192</v>
      </c>
      <c r="J2262" s="45" t="s">
        <v>4480</v>
      </c>
      <c r="K2262" s="45" t="n">
        <v>0.7</v>
      </c>
      <c r="L2262" s="45" t="s">
        <v>259</v>
      </c>
      <c r="M2262" s="45" t="s">
        <v>259</v>
      </c>
      <c r="N2262" s="45" t="s">
        <v>2559</v>
      </c>
      <c r="O2262" s="47" t="n">
        <v>46302.5164467593</v>
      </c>
      <c r="P2262" s="47" t="n">
        <v>46302.5169097222</v>
      </c>
    </row>
    <row r="2263" customFormat="false" ht="15" hidden="false" customHeight="false" outlineLevel="0" collapsed="false">
      <c r="A2263" s="45" t="n">
        <v>2467</v>
      </c>
      <c r="B2263" s="46" t="n">
        <v>46302</v>
      </c>
      <c r="C2263" s="45" t="s">
        <v>139</v>
      </c>
      <c r="D2263" s="45" t="s">
        <v>140</v>
      </c>
      <c r="E2263" s="45" t="s">
        <v>4073</v>
      </c>
      <c r="F2263" s="45" t="s">
        <v>4481</v>
      </c>
      <c r="G2263" s="46" t="n">
        <v>46300</v>
      </c>
      <c r="H2263" s="45" t="s">
        <v>168</v>
      </c>
      <c r="I2263" s="45" t="s">
        <v>194</v>
      </c>
      <c r="J2263" s="45" t="s">
        <v>4482</v>
      </c>
      <c r="K2263" s="45" t="n">
        <v>5.8</v>
      </c>
      <c r="L2263" s="45" t="s">
        <v>263</v>
      </c>
      <c r="M2263" s="45" t="s">
        <v>259</v>
      </c>
      <c r="N2263" s="45" t="s">
        <v>2559</v>
      </c>
      <c r="O2263" s="47" t="n">
        <v>46302.5170717593</v>
      </c>
      <c r="P2263" s="47" t="n">
        <v>46302.521087963</v>
      </c>
    </row>
    <row r="2264" customFormat="false" ht="15" hidden="false" customHeight="false" outlineLevel="0" collapsed="false">
      <c r="A2264" s="45" t="n">
        <v>2468</v>
      </c>
      <c r="B2264" s="46" t="n">
        <v>46302</v>
      </c>
      <c r="C2264" s="45" t="s">
        <v>133</v>
      </c>
      <c r="D2264" s="45" t="s">
        <v>134</v>
      </c>
      <c r="E2264" s="45" t="s">
        <v>3525</v>
      </c>
      <c r="F2264" s="45" t="s">
        <v>4483</v>
      </c>
      <c r="G2264" s="46" t="n">
        <v>46288</v>
      </c>
      <c r="H2264" s="45" t="s">
        <v>167</v>
      </c>
      <c r="I2264" s="45" t="s">
        <v>179</v>
      </c>
      <c r="J2264" s="45" t="s">
        <v>4484</v>
      </c>
      <c r="K2264" s="45" t="n">
        <v>3.2</v>
      </c>
      <c r="L2264" s="45" t="s">
        <v>263</v>
      </c>
      <c r="M2264" s="45" t="s">
        <v>259</v>
      </c>
      <c r="N2264" s="45" t="s">
        <v>167</v>
      </c>
      <c r="O2264" s="47" t="n">
        <v>46302.5210069444</v>
      </c>
      <c r="P2264" s="47" t="n">
        <v>46302.5232060185</v>
      </c>
    </row>
    <row r="2265" customFormat="false" ht="15" hidden="false" customHeight="false" outlineLevel="0" collapsed="false">
      <c r="A2265" s="45" t="n">
        <v>2469</v>
      </c>
      <c r="B2265" s="46" t="n">
        <v>46302</v>
      </c>
      <c r="C2265" s="45" t="s">
        <v>139</v>
      </c>
      <c r="D2265" s="45" t="s">
        <v>140</v>
      </c>
      <c r="E2265" s="45" t="s">
        <v>4279</v>
      </c>
      <c r="F2265" s="45" t="s">
        <v>4485</v>
      </c>
      <c r="G2265" s="46" t="n">
        <v>46300</v>
      </c>
      <c r="H2265" s="45" t="s">
        <v>168</v>
      </c>
      <c r="I2265" s="45" t="s">
        <v>192</v>
      </c>
      <c r="J2265" s="45" t="s">
        <v>4486</v>
      </c>
      <c r="K2265" s="45" t="n">
        <v>4.8</v>
      </c>
      <c r="L2265" s="45" t="s">
        <v>263</v>
      </c>
      <c r="M2265" s="45" t="s">
        <v>259</v>
      </c>
      <c r="N2265" s="45" t="s">
        <v>2559</v>
      </c>
      <c r="O2265" s="47" t="n">
        <v>46302.5218518519</v>
      </c>
      <c r="P2265" s="47" t="n">
        <v>46302.5252199074</v>
      </c>
    </row>
    <row r="2266" customFormat="false" ht="15" hidden="false" customHeight="false" outlineLevel="0" collapsed="false">
      <c r="A2266" s="45" t="n">
        <v>2470</v>
      </c>
      <c r="B2266" s="46" t="n">
        <v>46302</v>
      </c>
      <c r="C2266" s="45" t="s">
        <v>133</v>
      </c>
      <c r="D2266" s="45" t="s">
        <v>134</v>
      </c>
      <c r="E2266" s="45" t="s">
        <v>2594</v>
      </c>
      <c r="F2266" s="45" t="s">
        <v>4487</v>
      </c>
      <c r="G2266" s="46" t="n">
        <v>46297</v>
      </c>
      <c r="H2266" s="45" t="s">
        <v>167</v>
      </c>
      <c r="I2266" s="45" t="s">
        <v>179</v>
      </c>
      <c r="J2266" s="45" t="s">
        <v>4488</v>
      </c>
      <c r="K2266" s="45" t="n">
        <v>9.2</v>
      </c>
      <c r="L2266" s="45" t="s">
        <v>263</v>
      </c>
      <c r="M2266" s="45" t="s">
        <v>259</v>
      </c>
      <c r="N2266" s="45" t="s">
        <v>167</v>
      </c>
      <c r="O2266" s="47" t="n">
        <v>46302.5237037037</v>
      </c>
      <c r="P2266" s="47" t="n">
        <v>46302.5300810185</v>
      </c>
    </row>
    <row r="2267" customFormat="false" ht="15" hidden="false" customHeight="false" outlineLevel="0" collapsed="false">
      <c r="A2267" s="45" t="n">
        <v>2472</v>
      </c>
      <c r="B2267" s="46" t="n">
        <v>46302</v>
      </c>
      <c r="C2267" s="45" t="s">
        <v>139</v>
      </c>
      <c r="D2267" s="45" t="s">
        <v>140</v>
      </c>
      <c r="E2267" s="45" t="s">
        <v>2652</v>
      </c>
      <c r="F2267" s="45" t="s">
        <v>4489</v>
      </c>
      <c r="G2267" s="46" t="n">
        <v>46300</v>
      </c>
      <c r="H2267" s="45" t="s">
        <v>168</v>
      </c>
      <c r="I2267" s="45" t="s">
        <v>191</v>
      </c>
      <c r="J2267" s="45" t="s">
        <v>4490</v>
      </c>
      <c r="K2267" s="45" t="n">
        <v>12.8</v>
      </c>
      <c r="L2267" s="45" t="s">
        <v>263</v>
      </c>
      <c r="M2267" s="45" t="s">
        <v>259</v>
      </c>
      <c r="N2267" s="45" t="s">
        <v>2559</v>
      </c>
      <c r="O2267" s="47" t="n">
        <v>46302.5253356482</v>
      </c>
      <c r="P2267" s="47" t="n">
        <v>46302.5341898148</v>
      </c>
    </row>
    <row r="2268" customFormat="false" ht="15" hidden="false" customHeight="false" outlineLevel="0" collapsed="false">
      <c r="A2268" s="45" t="n">
        <v>2471</v>
      </c>
      <c r="B2268" s="46" t="n">
        <v>46302</v>
      </c>
      <c r="C2268" s="45" t="s">
        <v>133</v>
      </c>
      <c r="D2268" s="45" t="s">
        <v>134</v>
      </c>
      <c r="E2268" s="45" t="s">
        <v>2462</v>
      </c>
      <c r="F2268" s="45" t="s">
        <v>4491</v>
      </c>
      <c r="G2268" s="46" t="n">
        <v>46288</v>
      </c>
      <c r="H2268" s="45" t="s">
        <v>57</v>
      </c>
      <c r="I2268" s="45" t="s">
        <v>200</v>
      </c>
      <c r="J2268" s="45" t="s">
        <v>4492</v>
      </c>
      <c r="K2268" s="45" t="n">
        <v>2.4</v>
      </c>
      <c r="L2268" s="45" t="s">
        <v>263</v>
      </c>
      <c r="M2268" s="45" t="s">
        <v>259</v>
      </c>
      <c r="N2268" s="45" t="s">
        <v>57</v>
      </c>
      <c r="O2268" s="47" t="n">
        <v>46302.5302893519</v>
      </c>
      <c r="P2268" s="47" t="n">
        <v>46302.5319212963</v>
      </c>
    </row>
    <row r="2269" customFormat="false" ht="15" hidden="false" customHeight="false" outlineLevel="0" collapsed="false">
      <c r="A2269" s="45" t="n">
        <v>2473</v>
      </c>
      <c r="B2269" s="46" t="n">
        <v>46302</v>
      </c>
      <c r="C2269" s="45" t="s">
        <v>133</v>
      </c>
      <c r="D2269" s="45" t="s">
        <v>134</v>
      </c>
      <c r="E2269" s="45" t="s">
        <v>3525</v>
      </c>
      <c r="F2269" s="45" t="s">
        <v>4493</v>
      </c>
      <c r="G2269" s="46" t="n">
        <v>46296</v>
      </c>
      <c r="H2269" s="45" t="s">
        <v>167</v>
      </c>
      <c r="I2269" s="45" t="s">
        <v>177</v>
      </c>
      <c r="J2269" s="45" t="s">
        <v>4494</v>
      </c>
      <c r="K2269" s="45" t="n">
        <v>3.7</v>
      </c>
      <c r="L2269" s="45" t="s">
        <v>263</v>
      </c>
      <c r="M2269" s="45" t="s">
        <v>259</v>
      </c>
      <c r="N2269" s="45" t="s">
        <v>167</v>
      </c>
      <c r="O2269" s="47" t="n">
        <v>46302.5331134259</v>
      </c>
      <c r="P2269" s="47" t="n">
        <v>46302.5357060185</v>
      </c>
    </row>
    <row r="2270" customFormat="false" ht="15" hidden="false" customHeight="false" outlineLevel="0" collapsed="false">
      <c r="A2270" s="45" t="n">
        <v>2479</v>
      </c>
      <c r="B2270" s="46" t="n">
        <v>46302</v>
      </c>
      <c r="C2270" s="45" t="s">
        <v>133</v>
      </c>
      <c r="D2270" s="45" t="s">
        <v>134</v>
      </c>
      <c r="E2270" s="45" t="s">
        <v>4061</v>
      </c>
      <c r="F2270" s="45" t="s">
        <v>4495</v>
      </c>
      <c r="G2270" s="46" t="n">
        <v>46291</v>
      </c>
      <c r="H2270" s="45" t="s">
        <v>167</v>
      </c>
      <c r="I2270" s="45" t="s">
        <v>179</v>
      </c>
      <c r="J2270" s="45" t="s">
        <v>4496</v>
      </c>
      <c r="K2270" s="45" t="n">
        <v>105.2</v>
      </c>
      <c r="L2270" s="45" t="s">
        <v>263</v>
      </c>
      <c r="M2270" s="45" t="s">
        <v>259</v>
      </c>
      <c r="N2270" s="45" t="s">
        <v>167</v>
      </c>
      <c r="O2270" s="47" t="n">
        <v>46302.538275463</v>
      </c>
      <c r="P2270" s="47" t="n">
        <v>46302.6113657407</v>
      </c>
    </row>
    <row r="2271" customFormat="false" ht="15" hidden="false" customHeight="false" outlineLevel="0" collapsed="false">
      <c r="A2271" s="45" t="n">
        <v>2474</v>
      </c>
      <c r="B2271" s="46" t="n">
        <v>46302</v>
      </c>
      <c r="C2271" s="45" t="s">
        <v>139</v>
      </c>
      <c r="D2271" s="45" t="s">
        <v>140</v>
      </c>
      <c r="E2271" s="45" t="s">
        <v>2677</v>
      </c>
      <c r="F2271" s="45" t="s">
        <v>4497</v>
      </c>
      <c r="G2271" s="46" t="n">
        <v>46300</v>
      </c>
      <c r="H2271" s="45" t="s">
        <v>168</v>
      </c>
      <c r="I2271" s="45" t="s">
        <v>191</v>
      </c>
      <c r="J2271" s="45" t="s">
        <v>4498</v>
      </c>
      <c r="K2271" s="45" t="n">
        <v>0.9</v>
      </c>
      <c r="L2271" s="45" t="s">
        <v>263</v>
      </c>
      <c r="M2271" s="45" t="s">
        <v>259</v>
      </c>
      <c r="N2271" s="45" t="s">
        <v>2559</v>
      </c>
      <c r="O2271" s="47" t="n">
        <v>46302.5398842593</v>
      </c>
      <c r="P2271" s="47" t="n">
        <v>46302.5405092593</v>
      </c>
    </row>
    <row r="2272" customFormat="false" ht="15" hidden="false" customHeight="false" outlineLevel="0" collapsed="false">
      <c r="A2272" s="45" t="n">
        <v>2475</v>
      </c>
      <c r="B2272" s="46" t="n">
        <v>46302</v>
      </c>
      <c r="C2272" s="45" t="s">
        <v>139</v>
      </c>
      <c r="D2272" s="45" t="s">
        <v>140</v>
      </c>
      <c r="E2272" s="45" t="s">
        <v>4073</v>
      </c>
      <c r="F2272" s="45" t="s">
        <v>4499</v>
      </c>
      <c r="G2272" s="46" t="n">
        <v>46301</v>
      </c>
      <c r="H2272" s="45" t="s">
        <v>167</v>
      </c>
      <c r="I2272" s="45" t="s">
        <v>187</v>
      </c>
      <c r="J2272" s="45" t="s">
        <v>4500</v>
      </c>
      <c r="K2272" s="45" t="n">
        <v>6.4</v>
      </c>
      <c r="L2272" s="45" t="s">
        <v>263</v>
      </c>
      <c r="M2272" s="45" t="s">
        <v>259</v>
      </c>
      <c r="N2272" s="45" t="s">
        <v>167</v>
      </c>
      <c r="O2272" s="47" t="n">
        <v>46302.5427430556</v>
      </c>
      <c r="P2272" s="47" t="n">
        <v>46302.5471759259</v>
      </c>
    </row>
    <row r="2273" customFormat="false" ht="15" hidden="false" customHeight="false" outlineLevel="0" collapsed="false">
      <c r="A2273" s="45" t="n">
        <v>2476</v>
      </c>
      <c r="B2273" s="46" t="n">
        <v>46302</v>
      </c>
      <c r="C2273" s="45" t="s">
        <v>139</v>
      </c>
      <c r="D2273" s="45" t="s">
        <v>140</v>
      </c>
      <c r="E2273" s="45" t="s">
        <v>233</v>
      </c>
      <c r="F2273" s="45" t="s">
        <v>4501</v>
      </c>
      <c r="G2273" s="46" t="n">
        <v>46301</v>
      </c>
      <c r="H2273" s="45" t="s">
        <v>167</v>
      </c>
      <c r="I2273" s="45" t="s">
        <v>176</v>
      </c>
      <c r="J2273" s="45" t="s">
        <v>4502</v>
      </c>
      <c r="K2273" s="45" t="n">
        <v>1.2</v>
      </c>
      <c r="L2273" s="45" t="s">
        <v>263</v>
      </c>
      <c r="M2273" s="45" t="s">
        <v>259</v>
      </c>
      <c r="N2273" s="45" t="s">
        <v>167</v>
      </c>
      <c r="O2273" s="47" t="n">
        <v>46302.5472106482</v>
      </c>
      <c r="P2273" s="47" t="n">
        <v>46302.5480208333</v>
      </c>
    </row>
    <row r="2274" customFormat="false" ht="15" hidden="false" customHeight="false" outlineLevel="0" collapsed="false">
      <c r="A2274" s="45" t="n">
        <v>2477</v>
      </c>
      <c r="B2274" s="46" t="n">
        <v>46302</v>
      </c>
      <c r="C2274" s="45" t="s">
        <v>139</v>
      </c>
      <c r="D2274" s="45" t="s">
        <v>140</v>
      </c>
      <c r="E2274" s="45" t="s">
        <v>4028</v>
      </c>
      <c r="F2274" s="45" t="s">
        <v>4503</v>
      </c>
      <c r="G2274" s="46" t="n">
        <v>46293</v>
      </c>
      <c r="H2274" s="45" t="s">
        <v>167</v>
      </c>
      <c r="I2274" s="45" t="s">
        <v>183</v>
      </c>
      <c r="J2274" s="45" t="s">
        <v>4504</v>
      </c>
      <c r="K2274" s="45" t="n">
        <v>0.5</v>
      </c>
      <c r="L2274" s="45" t="s">
        <v>263</v>
      </c>
      <c r="M2274" s="45" t="s">
        <v>259</v>
      </c>
      <c r="N2274" s="45" t="s">
        <v>167</v>
      </c>
      <c r="O2274" s="47" t="n">
        <v>46302.5513194444</v>
      </c>
      <c r="P2274" s="47" t="n">
        <v>46302.5516666667</v>
      </c>
    </row>
    <row r="2275" customFormat="false" ht="15" hidden="false" customHeight="false" outlineLevel="0" collapsed="false">
      <c r="A2275" s="45" t="n">
        <v>2478</v>
      </c>
      <c r="B2275" s="46" t="n">
        <v>46302</v>
      </c>
      <c r="C2275" s="45" t="s">
        <v>139</v>
      </c>
      <c r="D2275" s="45" t="s">
        <v>140</v>
      </c>
      <c r="E2275" s="45" t="s">
        <v>4028</v>
      </c>
      <c r="F2275" s="45" t="s">
        <v>4505</v>
      </c>
      <c r="G2275" s="46" t="n">
        <v>46293</v>
      </c>
      <c r="H2275" s="45" t="s">
        <v>168</v>
      </c>
      <c r="I2275" s="45" t="s">
        <v>192</v>
      </c>
      <c r="J2275" s="45" t="s">
        <v>4506</v>
      </c>
      <c r="K2275" s="45" t="n">
        <v>1.4</v>
      </c>
      <c r="L2275" s="45" t="s">
        <v>263</v>
      </c>
      <c r="M2275" s="45" t="s">
        <v>259</v>
      </c>
      <c r="N2275" s="45" t="s">
        <v>2559</v>
      </c>
      <c r="O2275" s="47" t="n">
        <v>46302.5525925926</v>
      </c>
      <c r="P2275" s="47" t="n">
        <v>46302.5535300926</v>
      </c>
    </row>
    <row r="2276" customFormat="false" ht="15" hidden="false" customHeight="false" outlineLevel="0" collapsed="false">
      <c r="A2276" s="45" t="n">
        <v>2481</v>
      </c>
      <c r="B2276" s="46" t="n">
        <v>46302</v>
      </c>
      <c r="C2276" s="45" t="s">
        <v>151</v>
      </c>
      <c r="D2276" s="45" t="s">
        <v>152</v>
      </c>
      <c r="E2276" s="45" t="s">
        <v>4400</v>
      </c>
      <c r="F2276" s="45" t="s">
        <v>4507</v>
      </c>
      <c r="G2276" s="46" t="n">
        <v>46291</v>
      </c>
      <c r="H2276" s="45" t="s">
        <v>167</v>
      </c>
      <c r="I2276" s="45" t="s">
        <v>176</v>
      </c>
      <c r="J2276" s="45" t="s">
        <v>4508</v>
      </c>
      <c r="K2276" s="45" t="n">
        <v>10.6</v>
      </c>
      <c r="L2276" s="45" t="s">
        <v>263</v>
      </c>
      <c r="M2276" s="45" t="s">
        <v>259</v>
      </c>
      <c r="N2276" s="45" t="s">
        <v>167</v>
      </c>
      <c r="O2276" s="47" t="n">
        <v>46302.7214699074</v>
      </c>
      <c r="P2276" s="47" t="n">
        <v>46302.7288425926</v>
      </c>
    </row>
    <row r="2277" customFormat="false" ht="15" hidden="false" customHeight="false" outlineLevel="0" collapsed="false">
      <c r="A2277" s="45" t="n">
        <v>2482</v>
      </c>
      <c r="B2277" s="46" t="n">
        <v>46302</v>
      </c>
      <c r="C2277" s="45" t="s">
        <v>151</v>
      </c>
      <c r="D2277" s="45" t="s">
        <v>152</v>
      </c>
      <c r="E2277" s="45" t="s">
        <v>4509</v>
      </c>
      <c r="F2277" s="45" t="s">
        <v>89</v>
      </c>
      <c r="G2277" s="46" t="n">
        <v>46301</v>
      </c>
      <c r="H2277" s="45" t="s">
        <v>168</v>
      </c>
      <c r="I2277" s="45" t="s">
        <v>191</v>
      </c>
      <c r="J2277" s="45" t="s">
        <v>4510</v>
      </c>
      <c r="K2277" s="45" t="n">
        <v>4.3</v>
      </c>
      <c r="L2277" s="45" t="s">
        <v>263</v>
      </c>
      <c r="M2277" s="45" t="s">
        <v>259</v>
      </c>
      <c r="N2277" s="45" t="s">
        <v>2559</v>
      </c>
      <c r="O2277" s="47" t="n">
        <v>46302.7288657407</v>
      </c>
      <c r="P2277" s="47" t="n">
        <v>46302.7318287037</v>
      </c>
    </row>
    <row r="2278" customFormat="false" ht="15" hidden="false" customHeight="false" outlineLevel="0" collapsed="false">
      <c r="A2278" s="45" t="n">
        <v>2483</v>
      </c>
      <c r="B2278" s="46" t="n">
        <v>46302</v>
      </c>
      <c r="C2278" s="45" t="s">
        <v>151</v>
      </c>
      <c r="D2278" s="45" t="s">
        <v>152</v>
      </c>
      <c r="E2278" s="45" t="s">
        <v>4511</v>
      </c>
      <c r="F2278" s="45" t="s">
        <v>4512</v>
      </c>
      <c r="G2278" s="46" t="n">
        <v>46301</v>
      </c>
      <c r="H2278" s="45" t="s">
        <v>169</v>
      </c>
      <c r="I2278" s="45"/>
      <c r="J2278" s="45"/>
      <c r="K2278" s="45" t="n">
        <v>2.8</v>
      </c>
      <c r="L2278" s="45" t="s">
        <v>263</v>
      </c>
      <c r="M2278" s="45" t="s">
        <v>259</v>
      </c>
      <c r="N2278" s="45" t="s">
        <v>169</v>
      </c>
      <c r="O2278" s="47" t="n">
        <v>46302.7318634259</v>
      </c>
      <c r="P2278" s="47" t="n">
        <v>46302.7337962963</v>
      </c>
    </row>
    <row r="2279" customFormat="false" ht="15" hidden="false" customHeight="false" outlineLevel="0" collapsed="false">
      <c r="A2279" s="45" t="n">
        <v>2484</v>
      </c>
      <c r="B2279" s="46" t="n">
        <v>46302</v>
      </c>
      <c r="C2279" s="45" t="s">
        <v>151</v>
      </c>
      <c r="D2279" s="45" t="s">
        <v>152</v>
      </c>
      <c r="E2279" s="45" t="s">
        <v>4513</v>
      </c>
      <c r="F2279" s="45" t="s">
        <v>75</v>
      </c>
      <c r="G2279" s="46" t="n">
        <v>46301</v>
      </c>
      <c r="H2279" s="45" t="s">
        <v>169</v>
      </c>
      <c r="I2279" s="45"/>
      <c r="J2279" s="45"/>
      <c r="K2279" s="45" t="n">
        <v>1.5</v>
      </c>
      <c r="L2279" s="45" t="s">
        <v>259</v>
      </c>
      <c r="M2279" s="45" t="s">
        <v>259</v>
      </c>
      <c r="N2279" s="45" t="s">
        <v>169</v>
      </c>
      <c r="O2279" s="47" t="n">
        <v>46302.7339699074</v>
      </c>
      <c r="P2279" s="47" t="n">
        <v>46302.7349884259</v>
      </c>
    </row>
    <row r="2280" customFormat="false" ht="15" hidden="false" customHeight="false" outlineLevel="0" collapsed="false">
      <c r="A2280" s="45" t="n">
        <v>2485</v>
      </c>
      <c r="B2280" s="46" t="n">
        <v>46302</v>
      </c>
      <c r="C2280" s="45" t="s">
        <v>151</v>
      </c>
      <c r="D2280" s="45" t="s">
        <v>152</v>
      </c>
      <c r="E2280" s="45" t="s">
        <v>4513</v>
      </c>
      <c r="F2280" s="45" t="s">
        <v>75</v>
      </c>
      <c r="G2280" s="46" t="n">
        <v>46301</v>
      </c>
      <c r="H2280" s="45" t="s">
        <v>169</v>
      </c>
      <c r="I2280" s="45"/>
      <c r="J2280" s="45"/>
      <c r="K2280" s="45" t="n">
        <v>127.6</v>
      </c>
      <c r="L2280" s="45" t="s">
        <v>259</v>
      </c>
      <c r="M2280" s="45" t="s">
        <v>259</v>
      </c>
      <c r="N2280" s="45" t="s">
        <v>169</v>
      </c>
      <c r="O2280" s="47" t="n">
        <v>46302.7350347222</v>
      </c>
      <c r="P2280" s="47" t="n">
        <v>46302.8236574074</v>
      </c>
    </row>
    <row r="2281" customFormat="false" ht="15" hidden="false" customHeight="false" outlineLevel="0" collapsed="false">
      <c r="A2281" s="45" t="n">
        <v>2486</v>
      </c>
      <c r="B2281" s="46" t="n">
        <v>46302</v>
      </c>
      <c r="C2281" s="45" t="s">
        <v>151</v>
      </c>
      <c r="D2281" s="45" t="s">
        <v>152</v>
      </c>
      <c r="E2281" s="45" t="s">
        <v>4513</v>
      </c>
      <c r="F2281" s="45" t="s">
        <v>4514</v>
      </c>
      <c r="G2281" s="46" t="n">
        <v>46300</v>
      </c>
      <c r="H2281" s="45" t="s">
        <v>167</v>
      </c>
      <c r="I2281" s="45" t="s">
        <v>180</v>
      </c>
      <c r="J2281" s="45" t="s">
        <v>4515</v>
      </c>
      <c r="K2281" s="45" t="n">
        <v>6.8</v>
      </c>
      <c r="L2281" s="45" t="s">
        <v>263</v>
      </c>
      <c r="M2281" s="45" t="s">
        <v>259</v>
      </c>
      <c r="N2281" s="45" t="s">
        <v>167</v>
      </c>
      <c r="O2281" s="47" t="n">
        <v>46302.8237731482</v>
      </c>
      <c r="P2281" s="47" t="n">
        <v>46302.8285069445</v>
      </c>
    </row>
    <row r="2282" customFormat="false" ht="15" hidden="false" customHeight="false" outlineLevel="0" collapsed="false">
      <c r="A2282" s="45" t="n">
        <v>2487</v>
      </c>
      <c r="B2282" s="46" t="n">
        <v>46302</v>
      </c>
      <c r="C2282" s="45" t="s">
        <v>151</v>
      </c>
      <c r="D2282" s="45" t="s">
        <v>152</v>
      </c>
      <c r="E2282" s="45" t="s">
        <v>4516</v>
      </c>
      <c r="F2282" s="45" t="s">
        <v>4517</v>
      </c>
      <c r="G2282" s="46" t="n">
        <v>46301</v>
      </c>
      <c r="H2282" s="45" t="s">
        <v>168</v>
      </c>
      <c r="I2282" s="45" t="s">
        <v>191</v>
      </c>
      <c r="J2282" s="45" t="s">
        <v>4518</v>
      </c>
      <c r="K2282" s="45" t="n">
        <v>46.5</v>
      </c>
      <c r="L2282" s="45" t="s">
        <v>263</v>
      </c>
      <c r="M2282" s="45" t="s">
        <v>259</v>
      </c>
      <c r="N2282" s="45" t="s">
        <v>2559</v>
      </c>
      <c r="O2282" s="47" t="n">
        <v>46302.8285416667</v>
      </c>
      <c r="P2282" s="47" t="n">
        <v>46302.8607986111</v>
      </c>
    </row>
    <row r="2283" customFormat="false" ht="15" hidden="false" customHeight="false" outlineLevel="0" collapsed="false">
      <c r="A2283" s="45" t="n">
        <v>2488</v>
      </c>
      <c r="B2283" s="46" t="n">
        <v>46302</v>
      </c>
      <c r="C2283" s="45" t="s">
        <v>151</v>
      </c>
      <c r="D2283" s="45" t="s">
        <v>152</v>
      </c>
      <c r="E2283" s="45" t="s">
        <v>4516</v>
      </c>
      <c r="F2283" s="45" t="s">
        <v>4519</v>
      </c>
      <c r="G2283" s="46" t="n">
        <v>46295</v>
      </c>
      <c r="H2283" s="45" t="s">
        <v>168</v>
      </c>
      <c r="I2283" s="45" t="s">
        <v>196</v>
      </c>
      <c r="J2283" s="45" t="s">
        <v>4520</v>
      </c>
      <c r="K2283" s="45" t="n">
        <v>4.4</v>
      </c>
      <c r="L2283" s="45" t="s">
        <v>263</v>
      </c>
      <c r="M2283" s="45" t="s">
        <v>259</v>
      </c>
      <c r="N2283" s="45" t="s">
        <v>2559</v>
      </c>
      <c r="O2283" s="47" t="n">
        <v>46302.8608333333</v>
      </c>
      <c r="P2283" s="47" t="n">
        <v>46302.8638773148</v>
      </c>
    </row>
    <row r="2284" customFormat="false" ht="15" hidden="false" customHeight="false" outlineLevel="0" collapsed="false">
      <c r="A2284" s="45" t="n">
        <v>2489</v>
      </c>
      <c r="B2284" s="46" t="n">
        <v>46302</v>
      </c>
      <c r="C2284" s="45" t="s">
        <v>151</v>
      </c>
      <c r="D2284" s="45" t="s">
        <v>152</v>
      </c>
      <c r="E2284" s="45" t="s">
        <v>4521</v>
      </c>
      <c r="F2284" s="45" t="s">
        <v>4522</v>
      </c>
      <c r="G2284" s="46" t="n">
        <v>46300</v>
      </c>
      <c r="H2284" s="45" t="s">
        <v>168</v>
      </c>
      <c r="I2284" s="45" t="s">
        <v>193</v>
      </c>
      <c r="J2284" s="45" t="s">
        <v>4523</v>
      </c>
      <c r="K2284" s="45" t="n">
        <v>9.3</v>
      </c>
      <c r="L2284" s="45" t="s">
        <v>263</v>
      </c>
      <c r="M2284" s="45" t="s">
        <v>259</v>
      </c>
      <c r="N2284" s="45" t="s">
        <v>2559</v>
      </c>
      <c r="O2284" s="47" t="n">
        <v>46302.8639467593</v>
      </c>
      <c r="P2284" s="47" t="n">
        <v>46302.8703819444</v>
      </c>
    </row>
  </sheetData>
  <autoFilter ref="A1:P228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2026-10-07T18:18:17Z</dcterms:created>
  <dc:creator>openpyxl</dc:creator>
  <dc:description/>
  <dc:language>en-US</dc:language>
  <cp:lastModifiedBy/>
  <dcterms:modified xsi:type="dcterms:W3CDTF">2026-10-07T18:18:21Z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