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5.xml" ContentType="application/vnd.openxmlformats-officedocument.spreadsheetml.comments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y Picker" sheetId="2" state="visible" r:id="rId4"/>
    <sheet name="Heatmap" sheetId="3" state="visible" r:id="rId5"/>
    <sheet name="Summary" sheetId="4" state="visible" r:id="rId6"/>
    <sheet name="Daily Data" sheetId="5" state="visible" r:id="rId7"/>
    <sheet name="DoD Comparison" sheetId="6" state="visible" r:id="rId8"/>
    <sheet name="Channel Split" sheetId="7" state="visible" r:id="rId9"/>
    <sheet name="Weekly &amp; Weekday" sheetId="8" state="visible" r:id="rId10"/>
    <sheet name="Callback Timeframe" sheetId="9" state="visible" r:id="rId11"/>
    <sheet name="Site Scorecard" sheetId="10" state="visible" r:id="rId12"/>
    <sheet name="Targets &amp; Notes" sheetId="11" state="visible" r:id="rId13"/>
    <sheet name="Raw 1-Day" sheetId="12" state="visible" r:id="rId14"/>
    <sheet name="Raw 7-Day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20" authorId="0">
      <text>
        <r>
          <rPr>
            <sz val="10"/>
            <rFont val="Arial"/>
            <family val="2"/>
          </rPr>
          <t xml:space="preserve">Last day minus first day of period (net movement)</t>
        </r>
      </text>
    </comment>
    <comment ref="U20" authorId="0">
      <text>
        <r>
          <rPr>
            <sz val="10"/>
            <rFont val="Arial"/>
            <family val="2"/>
          </rPr>
          <t xml:space="preserve">Simple average of daily 1-Day AICR (unweighted). H column total is volume-weighted.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PLACEHOLDER — no official target was supplied with the data. Replace with the client / VXI target. Used by Summary!D14.</t>
        </r>
      </text>
    </comment>
    <comment ref="C6" authorId="0">
      <text>
        <r>
          <rPr>
            <sz val="10"/>
            <rFont val="Arial"/>
            <family val="2"/>
          </rPr>
          <t xml:space="preserve">PLACEHOLDER — replace with the official 7-Day target. Used by Summary!D15.</t>
        </r>
      </text>
    </comment>
  </commentList>
</comments>
</file>

<file path=xl/sharedStrings.xml><?xml version="1.0" encoding="utf-8"?>
<sst xmlns="http://schemas.openxmlformats.org/spreadsheetml/2006/main" count="564" uniqueCount="324">
  <si>
    <t xml:space="preserve">VXI GLOBAL · CAIRO · REPAIR</t>
  </si>
  <si>
    <t xml:space="preserve">AICR Dashboard — 1-Day vs 7-Day, day over day</t>
  </si>
  <si>
    <t xml:space="preserve">22 Sep – 06 Oct 2026 · 15 days · every number on this sheet is a live formula · see Day Picker for one-day detail and Heatmap for the calendar view</t>
  </si>
  <si>
    <t xml:space="preserve">1-DAY AICR</t>
  </si>
  <si>
    <t xml:space="preserve">7-DAY AICR</t>
  </si>
  <si>
    <t xml:space="preserve">GAP 1-DAY → 7-DAY</t>
  </si>
  <si>
    <t xml:space="preserve">LATE REPEATS (DAY 2-7)</t>
  </si>
  <si>
    <t xml:space="preserve">LATE SHARE</t>
  </si>
  <si>
    <t xml:space="preserve">repeats within 1 day</t>
  </si>
  <si>
    <t xml:space="preserve">repeats within 7 days</t>
  </si>
  <si>
    <t xml:space="preserve">hidden from a 1-day view</t>
  </si>
  <si>
    <t xml:space="preserve">share of 7-Day repeats →</t>
  </si>
  <si>
    <t xml:space="preserve">of all 7-Day repeats</t>
  </si>
  <si>
    <t xml:space="preserve">CONTACTS RECEIVED</t>
  </si>
  <si>
    <t xml:space="preserve">AVG RECEIVED / DAY</t>
  </si>
  <si>
    <t xml:space="preserve">BEST 1-DAY DAY</t>
  </si>
  <si>
    <t xml:space="preserve">WORST 1-DAY DAY</t>
  </si>
  <si>
    <t xml:space="preserve">WK2 VS WK1 (1-DAY)</t>
  </si>
  <si>
    <t xml:space="preserve">avg per day →</t>
  </si>
  <si>
    <t xml:space="preserve">15 days</t>
  </si>
  <si>
    <t xml:space="preserve">Status board — targets are inputs on the Targets &amp; Notes sheet</t>
  </si>
  <si>
    <t xml:space="preserve">Measure</t>
  </si>
  <si>
    <t xml:space="preserve">Actual</t>
  </si>
  <si>
    <t xml:space="preserve">Target</t>
  </si>
  <si>
    <t xml:space="preserve">Gap (pp)</t>
  </si>
  <si>
    <t xml:space="preserve">Status</t>
  </si>
  <si>
    <t xml:space="preserve">Trend first→last (pp)</t>
  </si>
  <si>
    <t xml:space="preserve">1-Day AICR</t>
  </si>
  <si>
    <t xml:space="preserve">7-Day AICR</t>
  </si>
  <si>
    <t xml:space="preserve">Day strip — 1-Day and 7-Day AICR per day (darker teal = better; arrows = day-over-day)</t>
  </si>
  <si>
    <t xml:space="preserve">Date</t>
  </si>
  <si>
    <t xml:space="preserve">1-Day</t>
  </si>
  <si>
    <t xml:space="preserve">DoD</t>
  </si>
  <si>
    <t xml:space="preserve">7-Day</t>
  </si>
  <si>
    <t xml:space="preserve">Received</t>
  </si>
  <si>
    <t xml:space="preserve">DAY PICKER — one day in detail</t>
  </si>
  <si>
    <t xml:space="preserve">Choose a date in the yellow cell (drop-down). Everything below recalculates for that day, the previous day and the period average.</t>
  </si>
  <si>
    <t xml:space="preserve">Selected date</t>
  </si>
  <si>
    <t xml:space="preserve">Row in Daily Data</t>
  </si>
  <si>
    <t xml:space="preserve">Previous day</t>
  </si>
  <si>
    <t xml:space="preserve">GAP (PP)</t>
  </si>
  <si>
    <t xml:space="preserve">RANK (1-DAY) OF 15</t>
  </si>
  <si>
    <t xml:space="preserve">REPEATS WITHIN 1 DAY</t>
  </si>
  <si>
    <t xml:space="preserve">REPEATS WITHIN 7 DAYS</t>
  </si>
  <si>
    <t xml:space="preserve">Selected day vs previous day vs period average</t>
  </si>
  <si>
    <t xml:space="preserve">Selected day</t>
  </si>
  <si>
    <t xml:space="preserve">Period avg</t>
  </si>
  <si>
    <t xml:space="preserve">Δ vs period avg (pp / contacts)</t>
  </si>
  <si>
    <t xml:space="preserve">Verdict</t>
  </si>
  <si>
    <t xml:space="preserve">Late share</t>
  </si>
  <si>
    <t xml:space="preserve">Contacts received</t>
  </si>
  <si>
    <t xml:space="preserve">Repeats within 1 day</t>
  </si>
  <si>
    <t xml:space="preserve">Repeats within 7 days</t>
  </si>
  <si>
    <t xml:space="preserve">Note: the drop-down lists the 15 dates in the data. Typing a date outside the period shows a not-available error.</t>
  </si>
  <si>
    <t xml:space="preserve">HEATMAP — calendar view and metric matrix</t>
  </si>
  <si>
    <t xml:space="preserve">Calendar grids: darker teal = higher AICR (better). Matrix: each column has its own scale; red = worse end, teal = better end.</t>
  </si>
  <si>
    <t xml:space="preserve">1-Day AICR by calendar day</t>
  </si>
  <si>
    <t xml:space="preserve">7-Day AICR by calendar day</t>
  </si>
  <si>
    <t xml:space="preserve">Week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</si>
  <si>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</si>
  <si>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</si>
  <si>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</si>
  <si>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</si>
  <si>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</si>
  <si>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</si>
  <si>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</si>
  <si>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w/c 21 Sep</t>
  </si>
  <si>
    <t xml:space="preserve">w/c 28 Sep</t>
  </si>
  <si>
    <t xml:space="preserve">w/c 05 Oct</t>
  </si>
  <si>
    <t xml:space="preserve">Metric matrix — every day, every measure (per-column colour scale)</t>
  </si>
  <si>
    <t xml:space="preserve">DoD 1-Day (pp)</t>
  </si>
  <si>
    <t xml:space="preserve">DoD 7-Day (pp)</t>
  </si>
  <si>
    <t xml:space="preserve">Late repeats</t>
  </si>
  <si>
    <t xml:space="preserve">1-Day repeat rate</t>
  </si>
  <si>
    <t xml:space="preserve">7-Day repeat rate</t>
  </si>
  <si>
    <t xml:space="preserve">Chat % of 7D repeats</t>
  </si>
  <si>
    <t xml:space="preserve">vs avg 1-Day (pp)</t>
  </si>
  <si>
    <t xml:space="preserve">vs avg 7-Day (pp)</t>
  </si>
  <si>
    <t xml:space="preserve">—</t>
  </si>
  <si>
    <t xml:space="preserve">AICR Performance Summary — 1-Day vs 7-Day Comparison</t>
  </si>
  <si>
    <t xml:space="preserve">VXI Global – Cairo · Repair · 22 Sep – 06 Oct 2026 (15 days) · all figures are live formulas on the Daily Data sheet</t>
  </si>
  <si>
    <t xml:space="preserve">Headline KPIs — period (volume-weighted)</t>
  </si>
  <si>
    <t xml:space="preserve">KPI</t>
  </si>
  <si>
    <t xml:space="preserve">Value</t>
  </si>
  <si>
    <t xml:space="preserve">Gap 1-Day vs 7-Day (pp)</t>
  </si>
  <si>
    <t xml:space="preserve">Repeat contacts within 1 day</t>
  </si>
  <si>
    <t xml:space="preserve">Late repeats (surfaced day 2-7)</t>
  </si>
  <si>
    <t xml:space="preserve">Repeat contacts within 7 days</t>
  </si>
  <si>
    <t xml:space="preserve">Late repeats as % of 7-Day repeats</t>
  </si>
  <si>
    <t xml:space="preserve">Target check (edit targets on the Targets &amp; Notes sheet)</t>
  </si>
  <si>
    <t xml:space="preserve">Gap to target (pp)</t>
  </si>
  <si>
    <t xml:space="preserve">Week-over-week</t>
  </si>
  <si>
    <t xml:space="preserve">1D vs Wk1 (pp)</t>
  </si>
  <si>
    <t xml:space="preserve">Wk1 (22-28 Sep)</t>
  </si>
  <si>
    <t xml:space="preserve">Wk2 (29 Sep-5 Oct)</t>
  </si>
  <si>
    <t xml:space="preserve">Wk3 (6 Oct, partial)</t>
  </si>
  <si>
    <t xml:space="preserve">Best and worst days</t>
  </si>
  <si>
    <t xml:space="preserve">Best 1-Day AICR</t>
  </si>
  <si>
    <t xml:space="preserve">Worst 1-Day AICR</t>
  </si>
  <si>
    <t xml:space="preserve">Best 7-Day AICR</t>
  </si>
  <si>
    <t xml:space="preserve">Worst 7-Day AICR</t>
  </si>
  <si>
    <t xml:space="preserve">Min late share</t>
  </si>
  <si>
    <t xml:space="preserve">Max late share</t>
  </si>
  <si>
    <t xml:space="preserve">Key insights (read with the charts; numbers quoted as of the data period)</t>
  </si>
  <si>
    <t xml:space="preserve">1. The 7-Day AICR runs ~11.3 pp below the 1-Day AICR every single day (range 10.1–13.1 pp). Roughly 28% of all repeat contacts arrive on day 2–7, so the 1-Day view under-reports repeats by more than a quarter.</t>
  </si>
  <si>
    <t xml:space="preserve">2. The two measures move together (correlation 0.82): a bad 1-Day day is almost always a bad 7-Day day. Use 1-Day AICR as the daily coaching signal and 7-Day AICR as the KPI you report.</t>
  </si>
  <si>
    <t xml:space="preserve">3. Week 2 (29 Sep–5 Oct) deteriorated vs Week 1: 1-Day AICR fell 2.8 pp and 7-Day fell 1.8 pp. The dip is driven by 1–2 Oct (1-Day 67.5% / 69.0%; 7-Day 57.1% / 56.9%), the worst days of the period.</t>
  </si>
  <si>
    <t xml:space="preserve">4. Volume is NOT the driver: correlation between contacts received and AICR is ~0 on both measures, and weekends (lower volume) perform the same as weekdays. Repeat contacts are a resolution-quality issue, not a workload issue.</t>
  </si>
  <si>
    <t xml:space="preserve">5. Chat repeats arrive late far more often than call repeats: 46% of 7-Day chat repeats are not visible on day 1, vs 27% for calls. Chat follow-through (confirming the fix, next steps, ticket closure) is the clearest gap to coach.</t>
  </si>
  <si>
    <t xml:space="preserve">6. 6 Oct partially recovered (1-Day 70.8%, 7-Day 60.1%) but remains below Week 1 levels. Day-of-week pattern is flat; focus coaching on agent-level first-contact resolution rather than scheduling.</t>
  </si>
  <si>
    <t xml:space="preserve">AICR Day-over-Day Breakdown — 1-Day vs 7-Day</t>
  </si>
  <si>
    <t xml:space="preserve">VXI Global – Cairo · Repair · 22 Sep 2026 – 06 Oct 2026 · Source: Overall_Performance_WB (1-Day xlsx, 7-Day csv)</t>
  </si>
  <si>
    <t xml:space="preserve">Weekday</t>
  </si>
  <si>
    <t xml:space="preserve">Contacts Received</t>
  </si>
  <si>
    <t xml:space="preserve">1-Day Repeats</t>
  </si>
  <si>
    <t xml:space="preserve">1-Day Call Repeats</t>
  </si>
  <si>
    <t xml:space="preserve">1-Day Chat Repeats</t>
  </si>
  <si>
    <t xml:space="preserve">7-Day Repeats</t>
  </si>
  <si>
    <t xml:space="preserve">7-Day Call Repeats</t>
  </si>
  <si>
    <t xml:space="preserve">7-Day Chat Repeats</t>
  </si>
  <si>
    <t xml:space="preserve">Gap 1D vs 7D (pp)</t>
  </si>
  <si>
    <t xml:space="preserve">Late Repeats (Day 2-7)</t>
  </si>
  <si>
    <t xml:space="preserve">Late Share of 7D Repeats</t>
  </si>
  <si>
    <t xml:space="preserve">1-Day Repeat Rate</t>
  </si>
  <si>
    <t xml:space="preserve">7-Day Repeat Rate</t>
  </si>
  <si>
    <t xml:space="preserve">DoD Δ 1-Day AICR (pp)</t>
  </si>
  <si>
    <t xml:space="preserve">DoD Δ 7-Day AICR (pp)</t>
  </si>
  <si>
    <t xml:space="preserve">DoD Δ Received</t>
  </si>
  <si>
    <t xml:space="preserve">3-Day Avg 1-Day AICR</t>
  </si>
  <si>
    <t xml:space="preserve">3-Day Avg 7-Day AICR</t>
  </si>
  <si>
    <t xml:space="preserve">Chat % of 1D Repeats</t>
  </si>
  <si>
    <t xml:space="preserve">Chat % of 7D Repeats</t>
  </si>
  <si>
    <t xml:space="preserve">1D AICR vs Period Avg (pp)</t>
  </si>
  <si>
    <t xml:space="preserve">7D AICR vs Period Avg (pp)</t>
  </si>
  <si>
    <t xml:space="preserve">Period Total / Avg</t>
  </si>
  <si>
    <t xml:space="preserve">Period statistics (formulas)</t>
  </si>
  <si>
    <t xml:space="preserve">Statistic</t>
  </si>
  <si>
    <t xml:space="preserve">Range 1-Day AICR (pp)</t>
  </si>
  <si>
    <t xml:space="preserve">Range 7-Day AICR (pp)</t>
  </si>
  <si>
    <t xml:space="preserve">Std-dev 1-Day AICR (pp)</t>
  </si>
  <si>
    <t xml:space="preserve">Std-dev 7-Day AICR (pp)</t>
  </si>
  <si>
    <t xml:space="preserve">Correlation 1-Day vs 7-Day AICR</t>
  </si>
  <si>
    <t xml:space="preserve">Correlation Received vs 1-Day AICR</t>
  </si>
  <si>
    <t xml:space="preserve">Correlation Received vs 7-Day AICR</t>
  </si>
  <si>
    <t xml:space="preserve">Days 1-Day AICR below period avg</t>
  </si>
  <si>
    <t xml:space="preserve">Days 7-Day AICR below period avg</t>
  </si>
  <si>
    <t xml:space="preserve">Day-over-Day Comparison — 1-Day and 7-Day AICR</t>
  </si>
  <si>
    <t xml:space="preserve">Each day vs the previous day and vs the period average. Flags: ▲ above average, ▼ below average. Trend compares both measures DoD.</t>
  </si>
  <si>
    <t xml:space="preserve">Δ Received</t>
  </si>
  <si>
    <t xml:space="preserve">DoD Δ (pp)</t>
  </si>
  <si>
    <t xml:space="preserve">vs Period Avg (pp)</t>
  </si>
  <si>
    <t xml:space="preserve">1-Day flag</t>
  </si>
  <si>
    <t xml:space="preserve">7-Day flag</t>
  </si>
  <si>
    <t xml:space="preserve">Day trend</t>
  </si>
  <si>
    <t xml:space="preserve">Baseline day</t>
  </si>
  <si>
    <t xml:space="preserve">Period</t>
  </si>
  <si>
    <t xml:space="preserve">Repeat Contacts by Channel — Call vs Chat</t>
  </si>
  <si>
    <t xml:space="preserve">Late share = repeats that appear only in the 7-Day window as a share of that channel's 7-Day repeats. Chat volume is not in the source, so chat repeat rate cannot be computed; chat per 1,000 total contacts is shown instead.</t>
  </si>
  <si>
    <t xml:space="preserve">1D Call Repeats</t>
  </si>
  <si>
    <t xml:space="preserve">7D Call Repeats</t>
  </si>
  <si>
    <t xml:space="preserve">Late Call Repeats</t>
  </si>
  <si>
    <t xml:space="preserve">Call late share</t>
  </si>
  <si>
    <t xml:space="preserve">1D Chat Repeats</t>
  </si>
  <si>
    <t xml:space="preserve">7D Chat Repeats</t>
  </si>
  <si>
    <t xml:space="preserve">Late Chat Repeats</t>
  </si>
  <si>
    <t xml:space="preserve">Chat late share</t>
  </si>
  <si>
    <t xml:space="preserve">Chat % of 1D repeats</t>
  </si>
  <si>
    <t xml:space="preserve">Call repeat rate (7D)</t>
  </si>
  <si>
    <t xml:space="preserve">Chat repeats per 1,000 contacts (7D)</t>
  </si>
  <si>
    <t xml:space="preserve">Channel summary</t>
  </si>
  <si>
    <t xml:space="preserve">Channel</t>
  </si>
  <si>
    <t xml:space="preserve">1-Day repeats</t>
  </si>
  <si>
    <t xml:space="preserve">7-Day repeats</t>
  </si>
  <si>
    <t xml:space="preserve">Share of all 7D repeats</t>
  </si>
  <si>
    <t xml:space="preserve">Call</t>
  </si>
  <si>
    <t xml:space="preserve">Chat</t>
  </si>
  <si>
    <t xml:space="preserve">Weekly and Day-of-Week Patterns</t>
  </si>
  <si>
    <t xml:space="preserve">Week cut: Tue 22 Sep – Mon 28 Sep (Wk1), Tue 29 Sep – Mon 5 Oct (Wk2), Tue 6 Oct (Wk3 partial). Weekday figures are volume-weighted across the days with that name.</t>
  </si>
  <si>
    <t xml:space="preserve">Days</t>
  </si>
  <si>
    <t xml:space="preserve">Avg received / day</t>
  </si>
  <si>
    <t xml:space="preserve">Wk2 vs Wk1 change</t>
  </si>
  <si>
    <t xml:space="preserve">Day of week (volume-weighted)</t>
  </si>
  <si>
    <t xml:space="preserve">Weekday vs weekend</t>
  </si>
  <si>
    <t xml:space="preserve">Group</t>
  </si>
  <si>
    <t xml:space="preserve">Weekdays (Mon-Fri)</t>
  </si>
  <si>
    <t xml:space="preserve">Weekend (Sat-Sun)</t>
  </si>
  <si>
    <t xml:space="preserve">When do repeat calls come back? — Callback timeframe distribution</t>
  </si>
  <si>
    <t xml:space="preserve">Source: Distribution.xlsx / Legend.xlsx (VXI Global, AICR fail calls by callback timeframe). Separate export cut: 8,079 fail calls, includes the 7+ day bucket, so it does not tie exactly to the 15-day daily tables.</t>
  </si>
  <si>
    <t xml:space="preserve">Callback timeframe</t>
  </si>
  <si>
    <t xml:space="preserve">AICR fail calls</t>
  </si>
  <si>
    <t xml:space="preserve">% of total</t>
  </si>
  <si>
    <t xml:space="preserve">Cumulative %</t>
  </si>
  <si>
    <t xml:space="preserve">Window</t>
  </si>
  <si>
    <t xml:space="preserve">Coaching read</t>
  </si>
  <si>
    <t xml:space="preserve">0-30 Mins</t>
  </si>
  <si>
    <t xml:space="preserve">Same contact</t>
  </si>
  <si>
    <t xml:space="preserve">Not resolved / disconnected / failed transfer — customer calls straight back</t>
  </si>
  <si>
    <t xml:space="preserve">30 Mins-1 Hour</t>
  </si>
  <si>
    <t xml:space="preserve">Fix did not hold, or customer was told to retry</t>
  </si>
  <si>
    <t xml:space="preserve">1-2 Hours</t>
  </si>
  <si>
    <t xml:space="preserve">2-4 Hours</t>
  </si>
  <si>
    <t xml:space="preserve">Same day</t>
  </si>
  <si>
    <t xml:space="preserve">Follow-up promised but not delivered, or partial fix</t>
  </si>
  <si>
    <t xml:space="preserve">4-24 Hours</t>
  </si>
  <si>
    <t xml:space="preserve">Next-attempt failures; intermittent faults</t>
  </si>
  <si>
    <t xml:space="preserve">1-2 Days</t>
  </si>
  <si>
    <t xml:space="preserve">Late (day 2)</t>
  </si>
  <si>
    <t xml:space="preserve">Repair / dispatch / callback not completed on time</t>
  </si>
  <si>
    <t xml:space="preserve">2-7 Days</t>
  </si>
  <si>
    <t xml:space="preserve">Late (day 3-7)</t>
  </si>
  <si>
    <t xml:space="preserve">7+ Days</t>
  </si>
  <si>
    <t xml:space="preserve">Outside 7-day window</t>
  </si>
  <si>
    <t xml:space="preserve">Outside the 7-Day AICR window</t>
  </si>
  <si>
    <t xml:space="preserve">Total</t>
  </si>
  <si>
    <t xml:space="preserve">Roll-ups (formulas)</t>
  </si>
  <si>
    <t xml:space="preserve">Fail calls</t>
  </si>
  <si>
    <t xml:space="preserve">Within 30 minutes</t>
  </si>
  <si>
    <t xml:space="preserve">Within 2 hours</t>
  </si>
  <si>
    <t xml:space="preserve">Within 24 hours (1-Day window)</t>
  </si>
  <si>
    <t xml:space="preserve">Day 2-7 (late repeats)</t>
  </si>
  <si>
    <t xml:space="preserve">Within 7 days (7-Day window)</t>
  </si>
  <si>
    <t xml:space="preserve">Beyond 7 days</t>
  </si>
  <si>
    <t xml:space="preserve">Cross-check: in the daily tables 27.1% of 7-Day CALL repeats surfaced on day 2-7 (Channel Split). This distribution puts day 2-7 at ~23.6% of fail calls — consistent, allowing for the different cut (1-Day window = calendar day vs 24 h).</t>
  </si>
  <si>
    <t xml:space="preserve">Site Scorecard — VXI Global Cairo (Director: Shingy, Ahmed)</t>
  </si>
  <si>
    <t xml:space="preserve">Source: Main_Data.csv — one summary row for the site (Manager * / Supervisor * = all). Values as exported.</t>
  </si>
  <si>
    <t xml:space="preserve">What it tells you</t>
  </si>
  <si>
    <t xml:space="preserve">Repeat calls counted as AICR failures in this export (all timeframes).</t>
  </si>
  <si>
    <t xml:space="preserve">% of total calls handled</t>
  </si>
  <si>
    <t xml:space="preserve">Scope of the row = 100% of the site.</t>
  </si>
  <si>
    <t xml:space="preserve">AHT (seconds)</t>
  </si>
  <si>
    <t xml:space="preserve">Average handle time ≈ 21.4 minutes. Long AHT with high repeat rate points to complex / unresolved repair contacts.</t>
  </si>
  <si>
    <t xml:space="preserve">Transferred calls</t>
  </si>
  <si>
    <t xml:space="preserve">Calls transferred out.</t>
  </si>
  <si>
    <t xml:space="preserve">Transfer rate (XFR %)</t>
  </si>
  <si>
    <t xml:space="preserve">18.2% of calls transferred. Transfers are a leading cause of 0-30 minute callbacks; this is a KPI you own.</t>
  </si>
  <si>
    <t xml:space="preserve">Possible invalid releases</t>
  </si>
  <si>
    <t xml:space="preserve">Suspected agent-side disconnects.</t>
  </si>
  <si>
    <t xml:space="preserve">Invalid release AHT (seconds)</t>
  </si>
  <si>
    <t xml:space="preserve">Average handle time on those suspected releases.</t>
  </si>
  <si>
    <t xml:space="preserve">Invalid release %</t>
  </si>
  <si>
    <t xml:space="preserve">0.10% — low; invalid releases are not the repeat driver.</t>
  </si>
  <si>
    <t xml:space="preserve">Releases under 60 sec</t>
  </si>
  <si>
    <t xml:space="preserve">None — short-call gaming is not present.</t>
  </si>
  <si>
    <t xml:space="preserve">TNPS</t>
  </si>
  <si>
    <t xml:space="preserve">Transactional NPS as exported.</t>
  </si>
  <si>
    <t xml:space="preserve">CPR</t>
  </si>
  <si>
    <t xml:space="preserve">Customer-reported resolution / CPR as exported: fewer than half of surveyed customers report their issue resolved — consistent with a ~60% 7-Day AICR.</t>
  </si>
  <si>
    <t xml:space="preserve">AHT in minutes</t>
  </si>
  <si>
    <t xml:space="preserve">Fail calls within 30 min as % of fail calls</t>
  </si>
  <si>
    <t xml:space="preserve">Fail calls within 2 hours as % of fail calls</t>
  </si>
  <si>
    <t xml:space="preserve">Targets, Definitions and Notes</t>
  </si>
  <si>
    <t xml:space="preserve">Yellow cells with blue text are inputs you can change. Everything else is calculated.</t>
  </si>
  <si>
    <t xml:space="preserve">Targets (inputs)</t>
  </si>
  <si>
    <t xml:space="preserve">1-Day AICR target</t>
  </si>
  <si>
    <t xml:space="preserve">PLACEHOLDER — no official target was supplied with the data. Replace with the client / VXI target. Used by Summary!D14.</t>
  </si>
  <si>
    <t xml:space="preserve">7-Day AICR target</t>
  </si>
  <si>
    <t xml:space="preserve">PLACEHOLDER — replace with the official 7-Day target. Used by Summary!D15.</t>
  </si>
  <si>
    <t xml:space="preserve">Definitions</t>
  </si>
  <si>
    <t xml:space="preserve">Term</t>
  </si>
  <si>
    <t xml:space="preserve">Definition</t>
  </si>
  <si>
    <t xml:space="preserve">AICR</t>
  </si>
  <si>
    <t xml:space="preserve">Avoidable / Absence of Interaction Contact Rate as exported: share of contacts that did NOT generate a repeat contact in the window. AICR = 1 − Repeat Contacts ÷ Contacts Received.</t>
  </si>
  <si>
    <t xml:space="preserve">Repeat counted if the customer contacted again within 1 day of the original contact.</t>
  </si>
  <si>
    <t xml:space="preserve">Repeat counted if the customer contacted again within 7 days. Always ≤ 1-Day AICR for the same day because it catches more repeats.</t>
  </si>
  <si>
    <t xml:space="preserve">1-Day AICR − 7-Day AICR, in percentage points. The size of the "hidden" repeat problem that a 1-day view misses.</t>
  </si>
  <si>
    <t xml:space="preserve">7-Day repeats − 1-Day repeats: repeat contacts that occurred on day 2–7 after the original contact.</t>
  </si>
  <si>
    <t xml:space="preserve">Late repeats ÷ 7-Day repeats.</t>
  </si>
  <si>
    <t xml:space="preserve">Repeat rate</t>
  </si>
  <si>
    <t xml:space="preserve">Repeat contacts ÷ contacts received (= 1 − AICR).</t>
  </si>
  <si>
    <t xml:space="preserve">Chat % of repeats</t>
  </si>
  <si>
    <t xml:space="preserve">Chat repeats ÷ all repeats in that window. Note: the export gives chat and call splits for repeats only, not for contacts received.</t>
  </si>
  <si>
    <t xml:space="preserve">DoD Δ</t>
  </si>
  <si>
    <t xml:space="preserve">Day-over-day change vs the previous calendar day, in percentage points (pp) for rates and in contacts for volumes.</t>
  </si>
  <si>
    <t xml:space="preserve">Volume-weighted: total repeats ÷ total received over the 15 days (not a simple average of daily rates).</t>
  </si>
  <si>
    <t xml:space="preserve">Sources and assumptions</t>
  </si>
  <si>
    <t xml:space="preserve">Item</t>
  </si>
  <si>
    <t xml:space="preserve">Note</t>
  </si>
  <si>
    <t xml:space="preserve">Source 1 (1-Day)</t>
  </si>
  <si>
    <t xml:space="preserve">Overall_Performance_WB.xlsx — Group: Repair · Selection 1: VXI Global - Cairo · daily rows 2026-09-22 to 2026-10-06. Copied unchanged to sheet "Raw 1-Day".</t>
  </si>
  <si>
    <t xml:space="preserve">Source 2 (7-Day)</t>
  </si>
  <si>
    <t xml:space="preserve">Overall_Performance_WB.csv (UTF-16, tab-delimited) — same group, same dates. Copied unchanged to sheet "Raw 7-Day".</t>
  </si>
  <si>
    <t xml:space="preserve">Check</t>
  </si>
  <si>
    <t xml:space="preserve">Contacts Received is identical in both files for every day (23,231 total), so the two measures are directly comparable.</t>
  </si>
  <si>
    <t xml:space="preserve">Week cut</t>
  </si>
  <si>
    <t xml:space="preserve">Weeks start on Tuesday 22 Sep because that is the first day in the data. Wk3 holds only 6 Oct and is partial.</t>
  </si>
  <si>
    <t xml:space="preserve">Targets</t>
  </si>
  <si>
    <t xml:space="preserve">Not provided in the data. The two target cells above are placeholders supplied by this analysis, not official numbers.</t>
  </si>
  <si>
    <t xml:space="preserve">Fonts / theme</t>
  </si>
  <si>
    <t xml:space="preserve">Calibri throughout. Navy / teal / orange banding in the VXI style; the source export had no theme to copy.</t>
  </si>
  <si>
    <t xml:space="preserve">Prepared</t>
  </si>
  <si>
    <t xml:space="preserve">Prepared from the two exports shared on 16 Oct 2026.</t>
  </si>
  <si>
    <t xml:space="preserve">Legend</t>
  </si>
  <si>
    <t xml:space="preserve">Blue text = hard-coded input from the source files</t>
  </si>
  <si>
    <t xml:space="preserve">Black text = formula</t>
  </si>
  <si>
    <t xml:space="preserve">Yellow fill = input you may change (targets)</t>
  </si>
  <si>
    <t xml:space="preserve">Green text = link to another sheet</t>
  </si>
  <si>
    <t xml:space="preserve">Selection 1</t>
  </si>
  <si>
    <t xml:space="preserve">Selection 2</t>
  </si>
  <si>
    <t xml:space="preserve">AICR Queue Contact Received</t>
  </si>
  <si>
    <t xml:space="preserve">RepeatContact</t>
  </si>
  <si>
    <t xml:space="preserve">RepeatContactCall</t>
  </si>
  <si>
    <t xml:space="preserve">RepeatContactChat</t>
  </si>
  <si>
    <t xml:space="preserve">Failed AICR Call % of Repeat Contacts</t>
  </si>
  <si>
    <t xml:space="preserve">Failed AICR Chat % of Repeat Contacts</t>
  </si>
  <si>
    <t xml:space="preserve">Grand Total</t>
  </si>
  <si>
    <t xml:space="preserve">Repair</t>
  </si>
  <si>
    <t xml:space="preserve">VXI Global - Cairo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</si>
  <si>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</si>
  <si>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</si>
  <si>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</si>
  <si>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</si>
  <si>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</si>
  <si>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</si>
  <si>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</si>
  <si>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</si>
  <si>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</si>
  <si>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</si>
  <si>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</si>
  <si>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</si>
  <si>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</si>
  <si>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</si>
  <si>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</si>
  <si>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Values copied unchanged from the xlsx export; AICR and % columns are recomputed as formulas and match the export to 2 dp.</t>
  </si>
  <si>
    <t xml:space="preserve">Values copied unchanged from the csv export; AICR and % columns are recomputed as formulas and match the export to 2 dp.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</si>
</sst>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0.00%"/>
    <numFmt numFmtId="166" formatCode="0.00&quot; pp&quot;"/>
    <numFmt numFmtId="167" formatCode="#,##0"/>
    <numFmt numFmtId="168" formatCode="\+0.00&quot; pp&quot;;\-0.00&quot; pp&quot;;0.00&quot; pp&quot;"/>
    <numFmt numFmtId="169" formatCode="dd\ mmm"/>
    <numFmt numFmtId="170" formatCode="0.0%"/>
    <numFmt numFmtId="171" formatCode="\+0.0;\-0.0;0.0"/>
    <numFmt numFmtId="172" formatCode="0%"/>
    <numFmt numFmtId="173" formatCode="0.0"/>
    <numFmt numFmtId="174" formatCode="ddd\ dd\-mmm\-yyyy"/>
    <numFmt numFmtId="175" formatCode="ddd\ dd\-mmm"/>
    <numFmt numFmtId="176" formatCode="\#0"/>
    <numFmt numFmtId="177" formatCode="0.00"/>
    <numFmt numFmtId="178" formatCode="\+0.00;\-0.00;0.00"/>
    <numFmt numFmtId="179" formatCode="\+#,##0;\-#,##0;0"/>
    <numFmt numFmtId="180" formatCode="dd\-mmm\-yy"/>
    <numFmt numFmtId="181" formatCode="0"/>
    <numFmt numFmtId="182" formatCode="ddd\ dd\-mmm\-yy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FD1C8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9"/>
      <color rgb="FFB9C9E3"/>
      <name val="Calibri"/>
      <family val="0"/>
      <charset val="1"/>
    </font>
    <font>
      <b val="true"/>
      <sz val="9"/>
      <color rgb="FFB9C9E3"/>
      <name val="Calibri"/>
      <family val="0"/>
      <charset val="1"/>
    </font>
    <font>
      <b val="true"/>
      <sz val="24"/>
      <color rgb="FFFFFFFF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A2433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name val="Calibri"/>
      <family val="0"/>
      <charset val="1"/>
    </font>
    <font>
      <sz val="10"/>
      <color rgb="FF1A2433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Calibri"/>
      <family val="0"/>
      <charset val="1"/>
    </font>
    <font>
      <b val="true"/>
      <sz val="11"/>
      <color rgb="FF1A2433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9"/>
      <color rgb="FF5B6573"/>
      <name val="Calibri"/>
      <family val="0"/>
      <charset val="1"/>
    </font>
    <font>
      <b val="true"/>
      <sz val="9"/>
      <color rgb="FF1A2433"/>
      <name val="Calibri"/>
      <family val="0"/>
      <charset val="1"/>
    </font>
    <font>
      <i val="true"/>
      <sz val="9"/>
      <color rgb="FF5B6573"/>
      <name val="Calibri"/>
      <family val="0"/>
      <charset val="1"/>
    </font>
    <font>
      <i val="true"/>
      <sz val="10"/>
      <color rgb="FFDCE6F5"/>
      <name val="Calibri"/>
      <family val="0"/>
      <charset val="1"/>
    </font>
    <font>
      <b val="true"/>
      <sz val="13"/>
      <color rgb="FF0B1F3A"/>
      <name val="Calibri"/>
      <family val="0"/>
      <charset val="1"/>
    </font>
    <font>
      <b val="true"/>
      <sz val="10"/>
      <color rgb="FF000000"/>
      <name val="Calibri"/>
      <family val="2"/>
    </font>
    <font>
      <sz val="10"/>
      <color rgb="FF0000FF"/>
      <name val="Calibri"/>
      <family val="0"/>
      <charset val="1"/>
    </font>
    <font>
      <sz val="10"/>
      <color rgb="FF5B6573"/>
      <name val="Calibri"/>
      <family val="0"/>
      <charset val="1"/>
    </font>
    <font>
      <sz val="10"/>
      <name val="Arial"/>
      <family val="2"/>
    </font>
    <font>
      <b val="true"/>
      <sz val="10"/>
      <color rgb="FF0000FF"/>
      <name val="Calibri"/>
      <family val="0"/>
      <charset val="1"/>
    </font>
    <font>
      <b val="true"/>
      <sz val="10"/>
      <color rgb="FF008000"/>
      <name val="Calibr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B1F3A"/>
        <bgColor rgb="FF1A2433"/>
      </patternFill>
    </fill>
    <fill>
      <patternFill patternType="solid">
        <fgColor rgb="FF3B64D9"/>
        <bgColor rgb="FF2A6FD0"/>
      </patternFill>
    </fill>
    <fill>
      <patternFill patternType="solid">
        <fgColor rgb="FF0E9C96"/>
        <bgColor rgb="FF0A7F7A"/>
      </patternFill>
    </fill>
    <fill>
      <patternFill patternType="solid">
        <fgColor rgb="FFD9672A"/>
        <bgColor rgb="FFB5521F"/>
      </patternFill>
    </fill>
    <fill>
      <patternFill patternType="solid">
        <fgColor rgb="FF2F52B8"/>
        <bgColor rgb="FF3B64D9"/>
      </patternFill>
    </fill>
    <fill>
      <patternFill patternType="solid">
        <fgColor rgb="FF0A7F7A"/>
        <bgColor rgb="FF1E7B4F"/>
      </patternFill>
    </fill>
    <fill>
      <patternFill patternType="solid">
        <fgColor rgb="FFB5521F"/>
        <bgColor rgb="FFC0392B"/>
      </patternFill>
    </fill>
    <fill>
      <patternFill patternType="solid">
        <fgColor rgb="FF122B4F"/>
        <bgColor rgb="FF1A2433"/>
      </patternFill>
    </fill>
    <fill>
      <patternFill patternType="solid">
        <fgColor rgb="FF1E7B4F"/>
        <bgColor rgb="FF166A42"/>
      </patternFill>
    </fill>
    <fill>
      <patternFill patternType="solid">
        <fgColor rgb="FFC0392B"/>
        <bgColor rgb="FFB5521F"/>
      </patternFill>
    </fill>
    <fill>
      <patternFill patternType="solid">
        <fgColor rgb="FF1A3A66"/>
        <bgColor rgb="FF122B4F"/>
      </patternFill>
    </fill>
    <fill>
      <patternFill patternType="solid">
        <fgColor rgb="FF166A42"/>
        <bgColor rgb="FF1E7B4F"/>
      </patternFill>
    </fill>
    <fill>
      <patternFill patternType="solid">
        <fgColor rgb="FF9E2E22"/>
        <bgColor rgb="FFC0392B"/>
      </patternFill>
    </fill>
    <fill>
      <patternFill patternType="solid">
        <fgColor rgb="FFE4E8EE"/>
        <bgColor rgb="FFDCE6F5"/>
      </patternFill>
    </fill>
    <fill>
      <patternFill patternType="solid">
        <fgColor rgb="FFFFF2CC"/>
        <bgColor rgb="FFFCE4D6"/>
      </patternFill>
    </fill>
    <fill>
      <patternFill patternType="solid">
        <fgColor rgb="FFF2F4F7"/>
        <bgColor rgb="FFE2F3F1"/>
      </patternFill>
    </fill>
    <fill>
      <patternFill patternType="solid">
        <fgColor rgb="FFD9F0EE"/>
        <bgColor rgb="FFDCF3E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9D0DA"/>
      </left>
      <right style="thin">
        <color rgb="FFC9D0DA"/>
      </right>
      <top style="thin">
        <color rgb="FFC9D0DA"/>
      </top>
      <bottom style="thin">
        <color rgb="FFC9D0DA"/>
      </bottom>
      <diagonal/>
    </border>
    <border diagonalUp="false" diagonalDown="false">
      <left style="medium">
        <color rgb="FF0B1F3A"/>
      </left>
      <right style="medium">
        <color rgb="FF0B1F3A"/>
      </right>
      <top style="medium">
        <color rgb="FF0B1F3A"/>
      </top>
      <bottom style="medium">
        <color rgb="FF0B1F3A"/>
      </bottom>
      <diagonal/>
    </border>
    <border diagonalUp="false" diagonalDown="false">
      <left style="thin">
        <color rgb="FFC9D0DA"/>
      </left>
      <right/>
      <top style="thin">
        <color rgb="FFC9D0DA"/>
      </top>
      <bottom style="thin">
        <color rgb="FFC9D0DA"/>
      </bottom>
      <diagonal/>
    </border>
    <border diagonalUp="false" diagonalDown="false">
      <left style="thin">
        <color rgb="FFC9D0DA"/>
      </left>
      <right style="thin">
        <color rgb="FFC9D0DA"/>
      </right>
      <top style="medium">
        <color rgb="FF0B1F3A"/>
      </top>
      <bottom style="medium">
        <color rgb="FF0B1F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21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0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2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2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Calibri"/>
        <charset val="1"/>
        <family val="0"/>
        <b val="1"/>
        <color rgb="FFC00000"/>
      </font>
      <fill>
        <patternFill>
          <bgColor rgb="FFFBE2DE"/>
        </patternFill>
      </fill>
    </dxf>
    <dxf>
      <font>
        <name val="Calibri"/>
        <charset val="1"/>
        <family val="0"/>
        <b val="1"/>
        <color rgb="FF1E7B4F"/>
      </font>
      <fill>
        <patternFill>
          <bgColor rgb="FFDCF3E6"/>
        </patternFill>
      </fill>
    </dxf>
    <dxf>
      <font>
        <name val="Calibri"/>
        <charset val="1"/>
        <family val="0"/>
        <b val="1"/>
        <color rgb="FFC00000"/>
      </font>
    </dxf>
    <dxf>
      <font>
        <name val="Calibri"/>
        <charset val="1"/>
        <family val="0"/>
        <b val="1"/>
        <color rgb="FF1E7B4F"/>
      </font>
    </dxf>
    <dxf>
      <font>
        <name val="Calibri"/>
        <charset val="1"/>
        <family val="0"/>
        <b val="1"/>
        <color rgb="FFC00000"/>
      </font>
      <fill>
        <patternFill>
          <bgColor rgb="FFFCE4D6"/>
        </patternFill>
      </fill>
    </dxf>
    <dxf>
      <font>
        <name val="Calibri"/>
        <charset val="1"/>
        <family val="0"/>
        <b val="1"/>
        <color rgb="FF1E7B4F"/>
      </font>
      <fill>
        <patternFill>
          <bgColor rgb="FFD9F0EE"/>
        </patternFill>
      </fill>
    </dxf>
    <dxf>
      <font>
        <name val="Calibri"/>
        <charset val="1"/>
        <family val="0"/>
        <b val="1"/>
        <color rgb="FFC00000"/>
      </font>
      <fill>
        <patternFill>
          <bgColor rgb="FFFBE5DD"/>
        </patternFill>
      </fill>
    </dxf>
    <dxf>
      <font>
        <name val="Calibri"/>
        <charset val="1"/>
        <family val="0"/>
        <b val="1"/>
        <color rgb="FF1E7B4F"/>
      </font>
      <fill>
        <patternFill>
          <bgColor rgb="FFE2F3F1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4F7"/>
      <rgbColor rgb="FFFF00FF"/>
      <rgbColor rgb="FF00FFFF"/>
      <rgbColor rgb="FF800000"/>
      <rgbColor rgb="FF008000"/>
      <rgbColor rgb="FF2F52B8"/>
      <rgbColor rgb="FF808000"/>
      <rgbColor rgb="FF800080"/>
      <rgbColor rgb="FF0A7F7A"/>
      <rgbColor rgb="FFB9C9E3"/>
      <rgbColor rgb="FF878787"/>
      <rgbColor rgb="FFE4E8EE"/>
      <rgbColor rgb="FFC0392B"/>
      <rgbColor rgb="FFFFF2CC"/>
      <rgbColor rgb="FFD9F0EE"/>
      <rgbColor rgb="FF660066"/>
      <rgbColor rgb="FFFF8080"/>
      <rgbColor rgb="FF2A6FD0"/>
      <rgbColor rgb="FFC9D0DA"/>
      <rgbColor rgb="FF000080"/>
      <rgbColor rgb="FFFF00FF"/>
      <rgbColor rgb="FFFFFF00"/>
      <rgbColor rgb="FF00FFFF"/>
      <rgbColor rgb="FF800080"/>
      <rgbColor rgb="FF800000"/>
      <rgbColor rgb="FF1E7B4F"/>
      <rgbColor rgb="FF0000FF"/>
      <rgbColor rgb="FF00CCFF"/>
      <rgbColor rgb="FFDCF3E6"/>
      <rgbColor rgb="FFE2F3F1"/>
      <rgbColor rgb="FFFBE5DD"/>
      <rgbColor rgb="FFD9D9D9"/>
      <rgbColor rgb="FFFBE2DE"/>
      <rgbColor rgb="FFDCE6F5"/>
      <rgbColor rgb="FFFCE4D6"/>
      <rgbColor rgb="FF3B64D9"/>
      <rgbColor rgb="FF2FD1C8"/>
      <rgbColor rgb="FF99CC00"/>
      <rgbColor rgb="FFFFCC00"/>
      <rgbColor rgb="FFFF9900"/>
      <rgbColor rgb="FFD9672A"/>
      <rgbColor rgb="FF5B6573"/>
      <rgbColor rgb="FF8FA8C8"/>
      <rgbColor rgb="FF122B4F"/>
      <rgbColor rgb="FF0E9C96"/>
      <rgbColor rgb="FF0B1F3A"/>
      <rgbColor rgb="FF166A42"/>
      <rgbColor rgb="FF9E2E22"/>
      <rgbColor rgb="FFB5521F"/>
      <rgbColor rgb="FF1A3A66"/>
      <rgbColor rgb="FF1A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AICR — 1-Day vs 7-Day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Data'!H4</c:f>
              <c:strCache>
                <c:ptCount val="1"/>
                <c:pt idx="0">
                  <c:v>1-Day AICR</c:v>
                </c:pt>
              </c:strCache>
            </c:strRef>
          </c:tx>
          <c:spPr>
            <a:solidFill>
              <a:srgbClr val="3b64d9"/>
            </a:solidFill>
            <a:ln w="29880">
              <a:solidFill>
                <a:srgbClr val="3b64d9"/>
              </a:solidFill>
              <a:round/>
            </a:ln>
          </c:spPr>
          <c:marker>
            <c:symbol val="circle"/>
            <c:size val="7"/>
            <c:spPr>
              <a:solidFill>
                <a:srgbClr val="3b64d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Data'!$A$5:$A$19</c:f>
              <c:strCache>
                <c:ptCount val="15"/>
                <c:pt idx="0">
                  <c:v>22-Sep-26</c:v>
                </c:pt>
                <c:pt idx="1">
                  <c:v>23-Sep-26</c:v>
                </c:pt>
                <c:pt idx="2">
                  <c:v>24-Sep-26</c:v>
                </c:pt>
                <c:pt idx="3">
                  <c:v>25-Sep-26</c:v>
                </c:pt>
                <c:pt idx="4">
                  <c:v>26-Sep-26</c:v>
                </c:pt>
                <c:pt idx="5">
                  <c:v>27-Sep-26</c:v>
                </c:pt>
                <c:pt idx="6">
                  <c:v>28-Sep-26</c:v>
                </c:pt>
                <c:pt idx="7">
                  <c:v>29-Sep-26</c:v>
                </c:pt>
                <c:pt idx="8">
                  <c:v>30-Sep-26</c:v>
                </c:pt>
                <c:pt idx="9">
                  <c:v>01-Oct-26</c:v>
                </c:pt>
                <c:pt idx="10">
                  <c:v>02-Oct-26</c:v>
                </c:pt>
                <c:pt idx="11">
                  <c:v>03-Oct-26</c:v>
                </c:pt>
                <c:pt idx="12">
                  <c:v>04-Oct-26</c:v>
                </c:pt>
                <c:pt idx="13">
                  <c:v>05-Oct-26</c:v>
                </c:pt>
                <c:pt idx="14">
                  <c:v>06-Oct-26</c:v>
                </c:pt>
              </c:strCache>
            </c:strRef>
          </c:cat>
          <c:val>
            <c:numRef>
              <c:f>'Daily Data'!$H$5:$H$19</c:f>
              <c:numCache>
                <c:formatCode>0.00%</c:formatCode>
                <c:ptCount val="15"/>
                <c:pt idx="0">
                  <c:v>0.738500315059861</c:v>
                </c:pt>
                <c:pt idx="1">
                  <c:v>0.709575142675967</c:v>
                </c:pt>
                <c:pt idx="2">
                  <c:v>0.726670347874103</c:v>
                </c:pt>
                <c:pt idx="3">
                  <c:v>0.714130434782609</c:v>
                </c:pt>
                <c:pt idx="4">
                  <c:v>0.725039619651347</c:v>
                </c:pt>
                <c:pt idx="5">
                  <c:v>0.727668845315904</c:v>
                </c:pt>
                <c:pt idx="6">
                  <c:v>0.735587583148559</c:v>
                </c:pt>
                <c:pt idx="7">
                  <c:v>0.70694259012016</c:v>
                </c:pt>
                <c:pt idx="8">
                  <c:v>0.70813679245283</c:v>
                </c:pt>
                <c:pt idx="9">
                  <c:v>0.675239234449761</c:v>
                </c:pt>
                <c:pt idx="10">
                  <c:v>0.689899586532782</c:v>
                </c:pt>
                <c:pt idx="11">
                  <c:v>0.716430358632194</c:v>
                </c:pt>
                <c:pt idx="12">
                  <c:v>0.691268191268191</c:v>
                </c:pt>
                <c:pt idx="13">
                  <c:v>0.698590179873602</c:v>
                </c:pt>
                <c:pt idx="14">
                  <c:v>0.707552870090634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'Daily Data'!L4</c:f>
              <c:strCache>
                <c:ptCount val="1"/>
                <c:pt idx="0">
                  <c:v>7-Day AICR</c:v>
                </c:pt>
              </c:strCache>
            </c:strRef>
          </c:tx>
          <c:spPr>
            <a:solidFill>
              <a:srgbClr val="0e9c96"/>
            </a:solidFill>
            <a:ln w="29880">
              <a:solidFill>
                <a:srgbClr val="0e9c96"/>
              </a:solidFill>
              <a:round/>
            </a:ln>
          </c:spPr>
          <c:marker>
            <c:symbol val="circle"/>
            <c:size val="7"/>
            <c:spPr>
              <a:solidFill>
                <a:srgbClr val="0e9c9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Data'!$A$5:$A$19</c:f>
              <c:strCache>
                <c:ptCount val="15"/>
                <c:pt idx="0">
                  <c:v>22-Sep-26</c:v>
                </c:pt>
                <c:pt idx="1">
                  <c:v>23-Sep-26</c:v>
                </c:pt>
                <c:pt idx="2">
                  <c:v>24-Sep-26</c:v>
                </c:pt>
                <c:pt idx="3">
                  <c:v>25-Sep-26</c:v>
                </c:pt>
                <c:pt idx="4">
                  <c:v>26-Sep-26</c:v>
                </c:pt>
                <c:pt idx="5">
                  <c:v>27-Sep-26</c:v>
                </c:pt>
                <c:pt idx="6">
                  <c:v>28-Sep-26</c:v>
                </c:pt>
                <c:pt idx="7">
                  <c:v>29-Sep-26</c:v>
                </c:pt>
                <c:pt idx="8">
                  <c:v>30-Sep-26</c:v>
                </c:pt>
                <c:pt idx="9">
                  <c:v>01-Oct-26</c:v>
                </c:pt>
                <c:pt idx="10">
                  <c:v>02-Oct-26</c:v>
                </c:pt>
                <c:pt idx="11">
                  <c:v>03-Oct-26</c:v>
                </c:pt>
                <c:pt idx="12">
                  <c:v>04-Oct-26</c:v>
                </c:pt>
                <c:pt idx="13">
                  <c:v>05-Oct-26</c:v>
                </c:pt>
                <c:pt idx="14">
                  <c:v>06-Oct-26</c:v>
                </c:pt>
              </c:strCache>
            </c:strRef>
          </c:cat>
          <c:val>
            <c:numRef>
              <c:f>'Daily Data'!$L$5:$L$19</c:f>
              <c:numCache>
                <c:formatCode>0.00%</c:formatCode>
                <c:ptCount val="15"/>
                <c:pt idx="0">
                  <c:v>0.630119722747322</c:v>
                </c:pt>
                <c:pt idx="1">
                  <c:v>0.582117945466075</c:v>
                </c:pt>
                <c:pt idx="2">
                  <c:v>0.614577581446715</c:v>
                </c:pt>
                <c:pt idx="3">
                  <c:v>0.5875</c:v>
                </c:pt>
                <c:pt idx="4">
                  <c:v>0.615689381933439</c:v>
                </c:pt>
                <c:pt idx="5">
                  <c:v>0.596949891067538</c:v>
                </c:pt>
                <c:pt idx="6">
                  <c:v>0.615853658536585</c:v>
                </c:pt>
                <c:pt idx="7">
                  <c:v>0.605473965287049</c:v>
                </c:pt>
                <c:pt idx="8">
                  <c:v>0.603183962264151</c:v>
                </c:pt>
                <c:pt idx="9">
                  <c:v>0.571172248803828</c:v>
                </c:pt>
                <c:pt idx="10">
                  <c:v>0.569403425871235</c:v>
                </c:pt>
                <c:pt idx="11">
                  <c:v>0.590492076730609</c:v>
                </c:pt>
                <c:pt idx="12">
                  <c:v>0.590436590436591</c:v>
                </c:pt>
                <c:pt idx="13">
                  <c:v>0.594069032571706</c:v>
                </c:pt>
                <c:pt idx="14">
                  <c:v>0.600604229607251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905975"/>
        <c:axId val="49904027"/>
      </c:lineChart>
      <c:catAx>
        <c:axId val="2905975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04027"/>
        <c:crosses val="autoZero"/>
        <c:auto val="1"/>
        <c:lblAlgn val="ctr"/>
        <c:lblOffset val="100"/>
        <c:noMultiLvlLbl val="0"/>
      </c:catAx>
      <c:valAx>
        <c:axId val="49904027"/>
        <c:scaling>
          <c:orientation val="minMax"/>
          <c:max val="0.8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59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Repeat contacts — within 1 day vs surfaced day 2-7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'Daily Data'!E4</c:f>
              <c:strCache>
                <c:ptCount val="1"/>
                <c:pt idx="0">
                  <c:v>1-Day Repeats</c:v>
                </c:pt>
              </c:strCache>
            </c:strRef>
          </c:tx>
          <c:spPr>
            <a:solidFill>
              <a:srgbClr val="3b64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Data'!$A$5:$A$19</c:f>
              <c:strCache>
                <c:ptCount val="15"/>
                <c:pt idx="0">
                  <c:v>22-Sep-26</c:v>
                </c:pt>
                <c:pt idx="1">
                  <c:v>23-Sep-26</c:v>
                </c:pt>
                <c:pt idx="2">
                  <c:v>24-Sep-26</c:v>
                </c:pt>
                <c:pt idx="3">
                  <c:v>25-Sep-26</c:v>
                </c:pt>
                <c:pt idx="4">
                  <c:v>26-Sep-26</c:v>
                </c:pt>
                <c:pt idx="5">
                  <c:v>27-Sep-26</c:v>
                </c:pt>
                <c:pt idx="6">
                  <c:v>28-Sep-26</c:v>
                </c:pt>
                <c:pt idx="7">
                  <c:v>29-Sep-26</c:v>
                </c:pt>
                <c:pt idx="8">
                  <c:v>30-Sep-26</c:v>
                </c:pt>
                <c:pt idx="9">
                  <c:v>01-Oct-26</c:v>
                </c:pt>
                <c:pt idx="10">
                  <c:v>02-Oct-26</c:v>
                </c:pt>
                <c:pt idx="11">
                  <c:v>03-Oct-26</c:v>
                </c:pt>
                <c:pt idx="12">
                  <c:v>04-Oct-26</c:v>
                </c:pt>
                <c:pt idx="13">
                  <c:v>05-Oct-26</c:v>
                </c:pt>
                <c:pt idx="14">
                  <c:v>06-Oct-26</c:v>
                </c:pt>
              </c:strCache>
            </c:strRef>
          </c:cat>
          <c:val>
            <c:numRef>
              <c:f>'Daily Data'!$E$5:$E$19</c:f>
              <c:numCache>
                <c:formatCode>#,##0</c:formatCode>
                <c:ptCount val="15"/>
                <c:pt idx="0">
                  <c:v>415</c:v>
                </c:pt>
                <c:pt idx="1">
                  <c:v>458</c:v>
                </c:pt>
                <c:pt idx="2">
                  <c:v>495</c:v>
                </c:pt>
                <c:pt idx="3">
                  <c:v>526</c:v>
                </c:pt>
                <c:pt idx="4">
                  <c:v>347</c:v>
                </c:pt>
                <c:pt idx="5">
                  <c:v>250</c:v>
                </c:pt>
                <c:pt idx="6">
                  <c:v>477</c:v>
                </c:pt>
                <c:pt idx="7">
                  <c:v>439</c:v>
                </c:pt>
                <c:pt idx="8">
                  <c:v>495</c:v>
                </c:pt>
                <c:pt idx="9">
                  <c:v>543</c:v>
                </c:pt>
                <c:pt idx="10">
                  <c:v>525</c:v>
                </c:pt>
                <c:pt idx="11">
                  <c:v>340</c:v>
                </c:pt>
                <c:pt idx="12">
                  <c:v>297</c:v>
                </c:pt>
                <c:pt idx="13">
                  <c:v>620</c:v>
                </c:pt>
                <c:pt idx="14">
                  <c:v>484</c:v>
                </c:pt>
              </c:numCache>
            </c:numRef>
          </c:val>
        </c:ser>
        <c:ser>
          <c:idx val="1"/>
          <c:order val="1"/>
          <c:tx>
            <c:strRef>
              <c:f>'Daily Data'!N4</c:f>
              <c:strCache>
                <c:ptCount val="1"/>
                <c:pt idx="0">
                  <c:v>Late Repeats (Day 2-7)</c:v>
                </c:pt>
              </c:strCache>
            </c:strRef>
          </c:tx>
          <c:spPr>
            <a:solidFill>
              <a:srgbClr val="d9672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Data'!$A$5:$A$19</c:f>
              <c:strCache>
                <c:ptCount val="15"/>
                <c:pt idx="0">
                  <c:v>22-Sep-26</c:v>
                </c:pt>
                <c:pt idx="1">
                  <c:v>23-Sep-26</c:v>
                </c:pt>
                <c:pt idx="2">
                  <c:v>24-Sep-26</c:v>
                </c:pt>
                <c:pt idx="3">
                  <c:v>25-Sep-26</c:v>
                </c:pt>
                <c:pt idx="4">
                  <c:v>26-Sep-26</c:v>
                </c:pt>
                <c:pt idx="5">
                  <c:v>27-Sep-26</c:v>
                </c:pt>
                <c:pt idx="6">
                  <c:v>28-Sep-26</c:v>
                </c:pt>
                <c:pt idx="7">
                  <c:v>29-Sep-26</c:v>
                </c:pt>
                <c:pt idx="8">
                  <c:v>30-Sep-26</c:v>
                </c:pt>
                <c:pt idx="9">
                  <c:v>01-Oct-26</c:v>
                </c:pt>
                <c:pt idx="10">
                  <c:v>02-Oct-26</c:v>
                </c:pt>
                <c:pt idx="11">
                  <c:v>03-Oct-26</c:v>
                </c:pt>
                <c:pt idx="12">
                  <c:v>04-Oct-26</c:v>
                </c:pt>
                <c:pt idx="13">
                  <c:v>05-Oct-26</c:v>
                </c:pt>
                <c:pt idx="14">
                  <c:v>06-Oct-26</c:v>
                </c:pt>
              </c:strCache>
            </c:strRef>
          </c:cat>
          <c:val>
            <c:numRef>
              <c:f>'Daily Data'!$N$5:$N$19</c:f>
              <c:numCache>
                <c:formatCode>#,##0</c:formatCode>
                <c:ptCount val="15"/>
                <c:pt idx="0">
                  <c:v>172</c:v>
                </c:pt>
                <c:pt idx="1">
                  <c:v>201</c:v>
                </c:pt>
                <c:pt idx="2">
                  <c:v>203</c:v>
                </c:pt>
                <c:pt idx="3">
                  <c:v>233</c:v>
                </c:pt>
                <c:pt idx="4">
                  <c:v>138</c:v>
                </c:pt>
                <c:pt idx="5">
                  <c:v>120</c:v>
                </c:pt>
                <c:pt idx="6">
                  <c:v>216</c:v>
                </c:pt>
                <c:pt idx="7">
                  <c:v>152</c:v>
                </c:pt>
                <c:pt idx="8">
                  <c:v>178</c:v>
                </c:pt>
                <c:pt idx="9">
                  <c:v>174</c:v>
                </c:pt>
                <c:pt idx="10">
                  <c:v>204</c:v>
                </c:pt>
                <c:pt idx="11">
                  <c:v>151</c:v>
                </c:pt>
                <c:pt idx="12">
                  <c:v>97</c:v>
                </c:pt>
                <c:pt idx="13">
                  <c:v>215</c:v>
                </c:pt>
                <c:pt idx="14">
                  <c:v>177</c:v>
                </c:pt>
              </c:numCache>
            </c:numRef>
          </c:val>
        </c:ser>
        <c:gapWidth val="50"/>
        <c:overlap val="100"/>
        <c:axId val="98308824"/>
        <c:axId val="10219073"/>
      </c:barChart>
      <c:catAx>
        <c:axId val="98308824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19073"/>
        <c:crosses val="autoZero"/>
        <c:auto val="1"/>
        <c:lblAlgn val="ctr"/>
        <c:lblOffset val="100"/>
        <c:noMultiLvlLbl val="0"/>
      </c:catAx>
      <c:valAx>
        <c:axId val="102190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088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Gap 1-Day vs 7-Day (pp) per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'Daily Data'!M4</c:f>
              <c:strCache>
                <c:ptCount val="1"/>
                <c:pt idx="0">
                  <c:v>Gap 1D vs 7D (pp)</c:v>
                </c:pt>
              </c:strCache>
            </c:strRef>
          </c:tx>
          <c:spPr>
            <a:solidFill>
              <a:srgbClr val="d9672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Data'!$A$5:$A$19</c:f>
              <c:strCache>
                <c:ptCount val="15"/>
                <c:pt idx="0">
                  <c:v>22-Sep-26</c:v>
                </c:pt>
                <c:pt idx="1">
                  <c:v>23-Sep-26</c:v>
                </c:pt>
                <c:pt idx="2">
                  <c:v>24-Sep-26</c:v>
                </c:pt>
                <c:pt idx="3">
                  <c:v>25-Sep-26</c:v>
                </c:pt>
                <c:pt idx="4">
                  <c:v>26-Sep-26</c:v>
                </c:pt>
                <c:pt idx="5">
                  <c:v>27-Sep-26</c:v>
                </c:pt>
                <c:pt idx="6">
                  <c:v>28-Sep-26</c:v>
                </c:pt>
                <c:pt idx="7">
                  <c:v>29-Sep-26</c:v>
                </c:pt>
                <c:pt idx="8">
                  <c:v>30-Sep-26</c:v>
                </c:pt>
                <c:pt idx="9">
                  <c:v>01-Oct-26</c:v>
                </c:pt>
                <c:pt idx="10">
                  <c:v>02-Oct-26</c:v>
                </c:pt>
                <c:pt idx="11">
                  <c:v>03-Oct-26</c:v>
                </c:pt>
                <c:pt idx="12">
                  <c:v>04-Oct-26</c:v>
                </c:pt>
                <c:pt idx="13">
                  <c:v>05-Oct-26</c:v>
                </c:pt>
                <c:pt idx="14">
                  <c:v>06-Oct-26</c:v>
                </c:pt>
              </c:strCache>
            </c:strRef>
          </c:cat>
          <c:val>
            <c:numRef>
              <c:f>'Daily Data'!$M$5:$M$19</c:f>
              <c:numCache>
                <c:formatCode>0.00</c:formatCode>
                <c:ptCount val="15"/>
                <c:pt idx="0">
                  <c:v>10.8380592312539</c:v>
                </c:pt>
                <c:pt idx="1">
                  <c:v>12.7457197209892</c:v>
                </c:pt>
                <c:pt idx="2">
                  <c:v>11.2092766427388</c:v>
                </c:pt>
                <c:pt idx="3">
                  <c:v>12.6630434782609</c:v>
                </c:pt>
                <c:pt idx="4">
                  <c:v>10.9350237717908</c:v>
                </c:pt>
                <c:pt idx="5">
                  <c:v>13.0718954248366</c:v>
                </c:pt>
                <c:pt idx="6">
                  <c:v>11.9733924611973</c:v>
                </c:pt>
                <c:pt idx="7">
                  <c:v>10.1468624833111</c:v>
                </c:pt>
                <c:pt idx="8">
                  <c:v>10.4952830188679</c:v>
                </c:pt>
                <c:pt idx="9">
                  <c:v>10.4066985645933</c:v>
                </c:pt>
                <c:pt idx="10">
                  <c:v>12.0496160661548</c:v>
                </c:pt>
                <c:pt idx="11">
                  <c:v>12.5938281901585</c:v>
                </c:pt>
                <c:pt idx="12">
                  <c:v>10.0831600831601</c:v>
                </c:pt>
                <c:pt idx="13">
                  <c:v>10.4521147301896</c:v>
                </c:pt>
                <c:pt idx="14">
                  <c:v>10.6948640483384</c:v>
                </c:pt>
              </c:numCache>
            </c:numRef>
          </c:val>
        </c:ser>
        <c:gapWidth val="50"/>
        <c:overlap val="0"/>
        <c:axId val="69682655"/>
        <c:axId val="92457866"/>
      </c:barChart>
      <c:catAx>
        <c:axId val="69682655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57866"/>
        <c:crosses val="autoZero"/>
        <c:auto val="1"/>
        <c:lblAlgn val="ctr"/>
        <c:lblOffset val="100"/>
        <c:noMultiLvlLbl val="0"/>
      </c:catAx>
      <c:valAx>
        <c:axId val="924578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826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Week-over-week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&amp; Weekday'!F5</c:f>
              <c:strCache>
                <c:ptCount val="1"/>
                <c:pt idx="0">
                  <c:v>1-Day AICR</c:v>
                </c:pt>
              </c:strCache>
            </c:strRef>
          </c:tx>
          <c:spPr>
            <a:solidFill>
              <a:srgbClr val="3b64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&amp; Weekday'!$A$6:$A$8</c:f>
              <c:strCache>
                <c:ptCount val="3"/>
                <c:pt idx="0">
                  <c:v>Wk1 (22-28 Sep)</c:v>
                </c:pt>
                <c:pt idx="1">
                  <c:v>Wk2 (29 Sep-5 Oct)</c:v>
                </c:pt>
                <c:pt idx="2">
                  <c:v>Wk3 (6 Oct, partial)</c:v>
                </c:pt>
              </c:strCache>
            </c:strRef>
          </c:cat>
          <c:val>
            <c:numRef>
              <c:f>'Weekly &amp; Weekday'!$F$6:$F$8</c:f>
              <c:numCache>
                <c:formatCode>0.00%</c:formatCode>
                <c:ptCount val="3"/>
                <c:pt idx="0">
                  <c:v>0.725159737012686</c:v>
                </c:pt>
                <c:pt idx="1">
                  <c:v>0.697596733784912</c:v>
                </c:pt>
                <c:pt idx="2">
                  <c:v>0.707552870090634</c:v>
                </c:pt>
              </c:numCache>
            </c:numRef>
          </c:val>
        </c:ser>
        <c:ser>
          <c:idx val="1"/>
          <c:order val="1"/>
          <c:tx>
            <c:strRef>
              <c:f>'Weekly &amp; Weekday'!H5</c:f>
              <c:strCache>
                <c:ptCount val="1"/>
                <c:pt idx="0">
                  <c:v>7-Day AICR</c:v>
                </c:pt>
              </c:strCache>
            </c:strRef>
          </c:tx>
          <c:spPr>
            <a:solidFill>
              <a:srgbClr val="0e9c9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&amp; Weekday'!$A$6:$A$8</c:f>
              <c:strCache>
                <c:ptCount val="3"/>
                <c:pt idx="0">
                  <c:v>Wk1 (22-28 Sep)</c:v>
                </c:pt>
                <c:pt idx="1">
                  <c:v>Wk2 (29 Sep-5 Oct)</c:v>
                </c:pt>
                <c:pt idx="2">
                  <c:v>Wk3 (6 Oct, partial)</c:v>
                </c:pt>
              </c:strCache>
            </c:strRef>
          </c:cat>
          <c:val>
            <c:numRef>
              <c:f>'Weekly &amp; Weekday'!$H$6:$H$8</c:f>
              <c:numCache>
                <c:formatCode>0.00%</c:formatCode>
                <c:ptCount val="3"/>
                <c:pt idx="0">
                  <c:v>0.606352440040745</c:v>
                </c:pt>
                <c:pt idx="1">
                  <c:v>0.588939407998515</c:v>
                </c:pt>
                <c:pt idx="2">
                  <c:v>0.600604229607251</c:v>
                </c:pt>
              </c:numCache>
            </c:numRef>
          </c:val>
        </c:ser>
        <c:gapWidth val="80"/>
        <c:overlap val="0"/>
        <c:axId val="53926248"/>
        <c:axId val="43533197"/>
      </c:barChart>
      <c:catAx>
        <c:axId val="5392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33197"/>
        <c:crosses val="autoZero"/>
        <c:auto val="1"/>
        <c:lblAlgn val="ctr"/>
        <c:lblOffset val="100"/>
        <c:noMultiLvlLbl val="0"/>
      </c:catAx>
      <c:valAx>
        <c:axId val="43533197"/>
        <c:scaling>
          <c:orientation val="minMax"/>
          <c:max val="0.8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262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Selected day vs previous day vs period average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'Day Picker'!C17</c:f>
              <c:strCache>
                <c:ptCount val="1"/>
                <c:pt idx="0">
                  <c:v>Selected day</c:v>
                </c:pt>
              </c:strCache>
            </c:strRef>
          </c:tx>
          <c:spPr>
            <a:solidFill>
              <a:srgbClr val="3b64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'Day Picker'!$B$18:$B$19</c:f>
              <c:strCache>
                <c:ptCount val="2"/>
                <c:pt idx="0">
                  <c:v>1-Day AICR</c:v>
                </c:pt>
                <c:pt idx="1">
                  <c:v>7-Day AICR</c:v>
                </c:pt>
              </c:strCache>
            </c:strRef>
          </c:cat>
          <c:val>
            <c:numRef>
              <c:f>'Day Picker'!$C$18:$C$19</c:f>
              <c:numCache>
                <c:formatCode>0.00%</c:formatCode>
                <c:ptCount val="2"/>
                <c:pt idx="0">
                  <c:v>0.707552870090634</c:v>
                </c:pt>
                <c:pt idx="1">
                  <c:v>0.600604229607251</c:v>
                </c:pt>
              </c:numCache>
            </c:numRef>
          </c:val>
        </c:ser>
        <c:ser>
          <c:idx val="1"/>
          <c:order val="1"/>
          <c:tx>
            <c:strRef>
              <c:f>'Day Picker'!D17</c:f>
              <c:strCache>
                <c:ptCount val="1"/>
                <c:pt idx="0">
                  <c:v>Previous day</c:v>
                </c:pt>
              </c:strCache>
            </c:strRef>
          </c:tx>
          <c:spPr>
            <a:solidFill>
              <a:srgbClr val="8fa8c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'Day Picker'!$B$18:$B$19</c:f>
              <c:strCache>
                <c:ptCount val="2"/>
                <c:pt idx="0">
                  <c:v>1-Day AICR</c:v>
                </c:pt>
                <c:pt idx="1">
                  <c:v>7-Day AICR</c:v>
                </c:pt>
              </c:strCache>
            </c:strRef>
          </c:cat>
          <c:val>
            <c:numRef>
              <c:f>'Day Picker'!$D$18:$D$19</c:f>
              <c:numCache>
                <c:formatCode>0.00%</c:formatCode>
                <c:ptCount val="2"/>
                <c:pt idx="0">
                  <c:v>0.698590179873602</c:v>
                </c:pt>
                <c:pt idx="1">
                  <c:v>0.594069032571706</c:v>
                </c:pt>
              </c:numCache>
            </c:numRef>
          </c:val>
        </c:ser>
        <c:ser>
          <c:idx val="2"/>
          <c:order val="2"/>
          <c:tx>
            <c:strRef>
              <c:f>'Day Picker'!E17</c:f>
              <c:strCache>
                <c:ptCount val="1"/>
                <c:pt idx="0">
                  <c:v>Period avg</c:v>
                </c:pt>
              </c:strCache>
            </c:strRef>
          </c:tx>
          <c:spPr>
            <a:solidFill>
              <a:srgbClr val="0e9c9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'Day Picker'!$B$18:$B$19</c:f>
              <c:strCache>
                <c:ptCount val="2"/>
                <c:pt idx="0">
                  <c:v>1-Day AICR</c:v>
                </c:pt>
                <c:pt idx="1">
                  <c:v>7-Day AICR</c:v>
                </c:pt>
              </c:strCache>
            </c:strRef>
          </c:cat>
          <c:val>
            <c:numRef>
              <c:f>'Day Picker'!$E$18:$E$19</c:f>
              <c:numCache>
                <c:formatCode>0.00%</c:formatCode>
                <c:ptCount val="2"/>
                <c:pt idx="0">
                  <c:v>0.71111876372089</c:v>
                </c:pt>
                <c:pt idx="1">
                  <c:v>0.597864921871637</c:v>
                </c:pt>
              </c:numCache>
            </c:numRef>
          </c:val>
        </c:ser>
        <c:gapWidth val="80"/>
        <c:overlap val="0"/>
        <c:axId val="51809618"/>
        <c:axId val="78002950"/>
      </c:barChart>
      <c:catAx>
        <c:axId val="518096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02950"/>
        <c:crosses val="autoZero"/>
        <c:auto val="1"/>
        <c:lblAlgn val="ctr"/>
        <c:lblOffset val="100"/>
        <c:noMultiLvlLbl val="0"/>
      </c:catAx>
      <c:valAx>
        <c:axId val="78002950"/>
        <c:scaling>
          <c:orientation val="minMax"/>
          <c:max val="0.8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096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AICR — 1-Day vs 7-Day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Data'!H4</c:f>
              <c:strCache>
                <c:ptCount val="1"/>
                <c:pt idx="0">
                  <c:v>1-Day AICR</c:v>
                </c:pt>
              </c:strCache>
            </c:strRef>
          </c:tx>
          <c:spPr>
            <a:solidFill>
              <a:srgbClr val="2a6fd0"/>
            </a:solidFill>
            <a:ln w="28080">
              <a:solidFill>
                <a:srgbClr val="2a6fd0"/>
              </a:solidFill>
              <a:round/>
            </a:ln>
          </c:spPr>
          <c:marker>
            <c:symbol val="circle"/>
            <c:size val="6"/>
            <c:spPr>
              <a:solidFill>
                <a:srgbClr val="2a6fd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Data'!$A$5:$A$19</c:f>
              <c:strCache>
                <c:ptCount val="15"/>
                <c:pt idx="0">
                  <c:v>22-Sep-26</c:v>
                </c:pt>
                <c:pt idx="1">
                  <c:v>23-Sep-26</c:v>
                </c:pt>
                <c:pt idx="2">
                  <c:v>24-Sep-26</c:v>
                </c:pt>
                <c:pt idx="3">
                  <c:v>25-Sep-26</c:v>
                </c:pt>
                <c:pt idx="4">
                  <c:v>26-Sep-26</c:v>
                </c:pt>
                <c:pt idx="5">
                  <c:v>27-Sep-26</c:v>
                </c:pt>
                <c:pt idx="6">
                  <c:v>28-Sep-26</c:v>
                </c:pt>
                <c:pt idx="7">
                  <c:v>29-Sep-26</c:v>
                </c:pt>
                <c:pt idx="8">
                  <c:v>30-Sep-26</c:v>
                </c:pt>
                <c:pt idx="9">
                  <c:v>01-Oct-26</c:v>
                </c:pt>
                <c:pt idx="10">
                  <c:v>02-Oct-26</c:v>
                </c:pt>
                <c:pt idx="11">
                  <c:v>03-Oct-26</c:v>
                </c:pt>
                <c:pt idx="12">
                  <c:v>04-Oct-26</c:v>
                </c:pt>
                <c:pt idx="13">
                  <c:v>05-Oct-26</c:v>
                </c:pt>
                <c:pt idx="14">
                  <c:v>06-Oct-26</c:v>
                </c:pt>
              </c:strCache>
            </c:strRef>
          </c:cat>
          <c:val>
            <c:numRef>
              <c:f>'Daily Data'!$H$5:$H$19</c:f>
              <c:numCache>
                <c:formatCode>0.00%</c:formatCode>
                <c:ptCount val="15"/>
                <c:pt idx="0">
                  <c:v>0.738500315059861</c:v>
                </c:pt>
                <c:pt idx="1">
                  <c:v>0.709575142675967</c:v>
                </c:pt>
                <c:pt idx="2">
                  <c:v>0.726670347874103</c:v>
                </c:pt>
                <c:pt idx="3">
                  <c:v>0.714130434782609</c:v>
                </c:pt>
                <c:pt idx="4">
                  <c:v>0.725039619651347</c:v>
                </c:pt>
                <c:pt idx="5">
                  <c:v>0.727668845315904</c:v>
                </c:pt>
                <c:pt idx="6">
                  <c:v>0.735587583148559</c:v>
                </c:pt>
                <c:pt idx="7">
                  <c:v>0.70694259012016</c:v>
                </c:pt>
                <c:pt idx="8">
                  <c:v>0.70813679245283</c:v>
                </c:pt>
                <c:pt idx="9">
                  <c:v>0.675239234449761</c:v>
                </c:pt>
                <c:pt idx="10">
                  <c:v>0.689899586532782</c:v>
                </c:pt>
                <c:pt idx="11">
                  <c:v>0.716430358632194</c:v>
                </c:pt>
                <c:pt idx="12">
                  <c:v>0.691268191268191</c:v>
                </c:pt>
                <c:pt idx="13">
                  <c:v>0.698590179873602</c:v>
                </c:pt>
                <c:pt idx="14">
                  <c:v>0.707552870090634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'Daily Data'!L4</c:f>
              <c:strCache>
                <c:ptCount val="1"/>
                <c:pt idx="0">
                  <c:v>7-Day AICR</c:v>
                </c:pt>
              </c:strCache>
            </c:strRef>
          </c:tx>
          <c:spPr>
            <a:solidFill>
              <a:srgbClr val="0e9c96"/>
            </a:solidFill>
            <a:ln w="28080">
              <a:solidFill>
                <a:srgbClr val="0e9c96"/>
              </a:solidFill>
              <a:round/>
            </a:ln>
          </c:spPr>
          <c:marker>
            <c:symbol val="circle"/>
            <c:size val="6"/>
            <c:spPr>
              <a:solidFill>
                <a:srgbClr val="0e9c9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Data'!$A$5:$A$19</c:f>
              <c:strCache>
                <c:ptCount val="15"/>
                <c:pt idx="0">
                  <c:v>22-Sep-26</c:v>
                </c:pt>
                <c:pt idx="1">
                  <c:v>23-Sep-26</c:v>
                </c:pt>
                <c:pt idx="2">
                  <c:v>24-Sep-26</c:v>
                </c:pt>
                <c:pt idx="3">
                  <c:v>25-Sep-26</c:v>
                </c:pt>
                <c:pt idx="4">
                  <c:v>26-Sep-26</c:v>
                </c:pt>
                <c:pt idx="5">
                  <c:v>27-Sep-26</c:v>
                </c:pt>
                <c:pt idx="6">
                  <c:v>28-Sep-26</c:v>
                </c:pt>
                <c:pt idx="7">
                  <c:v>29-Sep-26</c:v>
                </c:pt>
                <c:pt idx="8">
                  <c:v>30-Sep-26</c:v>
                </c:pt>
                <c:pt idx="9">
                  <c:v>01-Oct-26</c:v>
                </c:pt>
                <c:pt idx="10">
                  <c:v>02-Oct-26</c:v>
                </c:pt>
                <c:pt idx="11">
                  <c:v>03-Oct-26</c:v>
                </c:pt>
                <c:pt idx="12">
                  <c:v>04-Oct-26</c:v>
                </c:pt>
                <c:pt idx="13">
                  <c:v>05-Oct-26</c:v>
                </c:pt>
                <c:pt idx="14">
                  <c:v>06-Oct-26</c:v>
                </c:pt>
              </c:strCache>
            </c:strRef>
          </c:cat>
          <c:val>
            <c:numRef>
              <c:f>'Daily Data'!$L$5:$L$19</c:f>
              <c:numCache>
                <c:formatCode>0.00%</c:formatCode>
                <c:ptCount val="15"/>
                <c:pt idx="0">
                  <c:v>0.630119722747322</c:v>
                </c:pt>
                <c:pt idx="1">
                  <c:v>0.582117945466075</c:v>
                </c:pt>
                <c:pt idx="2">
                  <c:v>0.614577581446715</c:v>
                </c:pt>
                <c:pt idx="3">
                  <c:v>0.5875</c:v>
                </c:pt>
                <c:pt idx="4">
                  <c:v>0.615689381933439</c:v>
                </c:pt>
                <c:pt idx="5">
                  <c:v>0.596949891067538</c:v>
                </c:pt>
                <c:pt idx="6">
                  <c:v>0.615853658536585</c:v>
                </c:pt>
                <c:pt idx="7">
                  <c:v>0.605473965287049</c:v>
                </c:pt>
                <c:pt idx="8">
                  <c:v>0.603183962264151</c:v>
                </c:pt>
                <c:pt idx="9">
                  <c:v>0.571172248803828</c:v>
                </c:pt>
                <c:pt idx="10">
                  <c:v>0.569403425871235</c:v>
                </c:pt>
                <c:pt idx="11">
                  <c:v>0.590492076730609</c:v>
                </c:pt>
                <c:pt idx="12">
                  <c:v>0.590436590436591</c:v>
                </c:pt>
                <c:pt idx="13">
                  <c:v>0.594069032571706</c:v>
                </c:pt>
                <c:pt idx="14">
                  <c:v>0.600604229607251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339596"/>
        <c:axId val="6772409"/>
      </c:lineChart>
      <c:catAx>
        <c:axId val="513395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72409"/>
        <c:crosses val="autoZero"/>
        <c:auto val="1"/>
        <c:lblAlgn val="ctr"/>
        <c:lblOffset val="100"/>
        <c:noMultiLvlLbl val="0"/>
      </c:catAx>
      <c:valAx>
        <c:axId val="6772409"/>
        <c:scaling>
          <c:orientation val="minMax"/>
          <c:max val="0.8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AICR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395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Repeat contacts per day — within 1 day vs surfaced day 2-7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'Daily Data'!E4</c:f>
              <c:strCache>
                <c:ptCount val="1"/>
                <c:pt idx="0">
                  <c:v>1-Day Repeats</c:v>
                </c:pt>
              </c:strCache>
            </c:strRef>
          </c:tx>
          <c:spPr>
            <a:solidFill>
              <a:srgbClr val="2a6fd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Data'!$A$5:$A$19</c:f>
              <c:strCache>
                <c:ptCount val="15"/>
                <c:pt idx="0">
                  <c:v>22-Sep-26</c:v>
                </c:pt>
                <c:pt idx="1">
                  <c:v>23-Sep-26</c:v>
                </c:pt>
                <c:pt idx="2">
                  <c:v>24-Sep-26</c:v>
                </c:pt>
                <c:pt idx="3">
                  <c:v>25-Sep-26</c:v>
                </c:pt>
                <c:pt idx="4">
                  <c:v>26-Sep-26</c:v>
                </c:pt>
                <c:pt idx="5">
                  <c:v>27-Sep-26</c:v>
                </c:pt>
                <c:pt idx="6">
                  <c:v>28-Sep-26</c:v>
                </c:pt>
                <c:pt idx="7">
                  <c:v>29-Sep-26</c:v>
                </c:pt>
                <c:pt idx="8">
                  <c:v>30-Sep-26</c:v>
                </c:pt>
                <c:pt idx="9">
                  <c:v>01-Oct-26</c:v>
                </c:pt>
                <c:pt idx="10">
                  <c:v>02-Oct-26</c:v>
                </c:pt>
                <c:pt idx="11">
                  <c:v>03-Oct-26</c:v>
                </c:pt>
                <c:pt idx="12">
                  <c:v>04-Oct-26</c:v>
                </c:pt>
                <c:pt idx="13">
                  <c:v>05-Oct-26</c:v>
                </c:pt>
                <c:pt idx="14">
                  <c:v>06-Oct-26</c:v>
                </c:pt>
              </c:strCache>
            </c:strRef>
          </c:cat>
          <c:val>
            <c:numRef>
              <c:f>'Daily Data'!$E$5:$E$19</c:f>
              <c:numCache>
                <c:formatCode>#,##0</c:formatCode>
                <c:ptCount val="15"/>
                <c:pt idx="0">
                  <c:v>415</c:v>
                </c:pt>
                <c:pt idx="1">
                  <c:v>458</c:v>
                </c:pt>
                <c:pt idx="2">
                  <c:v>495</c:v>
                </c:pt>
                <c:pt idx="3">
                  <c:v>526</c:v>
                </c:pt>
                <c:pt idx="4">
                  <c:v>347</c:v>
                </c:pt>
                <c:pt idx="5">
                  <c:v>250</c:v>
                </c:pt>
                <c:pt idx="6">
                  <c:v>477</c:v>
                </c:pt>
                <c:pt idx="7">
                  <c:v>439</c:v>
                </c:pt>
                <c:pt idx="8">
                  <c:v>495</c:v>
                </c:pt>
                <c:pt idx="9">
                  <c:v>543</c:v>
                </c:pt>
                <c:pt idx="10">
                  <c:v>525</c:v>
                </c:pt>
                <c:pt idx="11">
                  <c:v>340</c:v>
                </c:pt>
                <c:pt idx="12">
                  <c:v>297</c:v>
                </c:pt>
                <c:pt idx="13">
                  <c:v>620</c:v>
                </c:pt>
                <c:pt idx="14">
                  <c:v>484</c:v>
                </c:pt>
              </c:numCache>
            </c:numRef>
          </c:val>
        </c:ser>
        <c:ser>
          <c:idx val="1"/>
          <c:order val="1"/>
          <c:tx>
            <c:strRef>
              <c:f>'Daily Data'!N4</c:f>
              <c:strCache>
                <c:ptCount val="1"/>
                <c:pt idx="0">
                  <c:v>Late Repeats (Day 2-7)</c:v>
                </c:pt>
              </c:strCache>
            </c:strRef>
          </c:tx>
          <c:spPr>
            <a:solidFill>
              <a:srgbClr val="d9672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Data'!$A$5:$A$19</c:f>
              <c:strCache>
                <c:ptCount val="15"/>
                <c:pt idx="0">
                  <c:v>22-Sep-26</c:v>
                </c:pt>
                <c:pt idx="1">
                  <c:v>23-Sep-26</c:v>
                </c:pt>
                <c:pt idx="2">
                  <c:v>24-Sep-26</c:v>
                </c:pt>
                <c:pt idx="3">
                  <c:v>25-Sep-26</c:v>
                </c:pt>
                <c:pt idx="4">
                  <c:v>26-Sep-26</c:v>
                </c:pt>
                <c:pt idx="5">
                  <c:v>27-Sep-26</c:v>
                </c:pt>
                <c:pt idx="6">
                  <c:v>28-Sep-26</c:v>
                </c:pt>
                <c:pt idx="7">
                  <c:v>29-Sep-26</c:v>
                </c:pt>
                <c:pt idx="8">
                  <c:v>30-Sep-26</c:v>
                </c:pt>
                <c:pt idx="9">
                  <c:v>01-Oct-26</c:v>
                </c:pt>
                <c:pt idx="10">
                  <c:v>02-Oct-26</c:v>
                </c:pt>
                <c:pt idx="11">
                  <c:v>03-Oct-26</c:v>
                </c:pt>
                <c:pt idx="12">
                  <c:v>04-Oct-26</c:v>
                </c:pt>
                <c:pt idx="13">
                  <c:v>05-Oct-26</c:v>
                </c:pt>
                <c:pt idx="14">
                  <c:v>06-Oct-26</c:v>
                </c:pt>
              </c:strCache>
            </c:strRef>
          </c:cat>
          <c:val>
            <c:numRef>
              <c:f>'Daily Data'!$N$5:$N$19</c:f>
              <c:numCache>
                <c:formatCode>#,##0</c:formatCode>
                <c:ptCount val="15"/>
                <c:pt idx="0">
                  <c:v>172</c:v>
                </c:pt>
                <c:pt idx="1">
                  <c:v>201</c:v>
                </c:pt>
                <c:pt idx="2">
                  <c:v>203</c:v>
                </c:pt>
                <c:pt idx="3">
                  <c:v>233</c:v>
                </c:pt>
                <c:pt idx="4">
                  <c:v>138</c:v>
                </c:pt>
                <c:pt idx="5">
                  <c:v>120</c:v>
                </c:pt>
                <c:pt idx="6">
                  <c:v>216</c:v>
                </c:pt>
                <c:pt idx="7">
                  <c:v>152</c:v>
                </c:pt>
                <c:pt idx="8">
                  <c:v>178</c:v>
                </c:pt>
                <c:pt idx="9">
                  <c:v>174</c:v>
                </c:pt>
                <c:pt idx="10">
                  <c:v>204</c:v>
                </c:pt>
                <c:pt idx="11">
                  <c:v>151</c:v>
                </c:pt>
                <c:pt idx="12">
                  <c:v>97</c:v>
                </c:pt>
                <c:pt idx="13">
                  <c:v>215</c:v>
                </c:pt>
                <c:pt idx="14">
                  <c:v>177</c:v>
                </c:pt>
              </c:numCache>
            </c:numRef>
          </c:val>
        </c:ser>
        <c:gapWidth val="60"/>
        <c:overlap val="100"/>
        <c:axId val="89261721"/>
        <c:axId val="79094163"/>
      </c:barChart>
      <c:catAx>
        <c:axId val="89261721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94163"/>
        <c:crosses val="autoZero"/>
        <c:auto val="1"/>
        <c:lblAlgn val="ctr"/>
        <c:lblOffset val="100"/>
        <c:noMultiLvlLbl val="0"/>
      </c:catAx>
      <c:valAx>
        <c:axId val="790941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Repeat contacts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617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Contacts received per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'Daily Data'!D4</c:f>
              <c:strCache>
                <c:ptCount val="1"/>
                <c:pt idx="0">
                  <c:v>Contacts Received</c:v>
                </c:pt>
              </c:strCache>
            </c:strRef>
          </c:tx>
          <c:spPr>
            <a:solidFill>
              <a:srgbClr val="8fa8c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Data'!$A$5:$A$19</c:f>
              <c:strCache>
                <c:ptCount val="15"/>
                <c:pt idx="0">
                  <c:v>22-Sep-26</c:v>
                </c:pt>
                <c:pt idx="1">
                  <c:v>23-Sep-26</c:v>
                </c:pt>
                <c:pt idx="2">
                  <c:v>24-Sep-26</c:v>
                </c:pt>
                <c:pt idx="3">
                  <c:v>25-Sep-26</c:v>
                </c:pt>
                <c:pt idx="4">
                  <c:v>26-Sep-26</c:v>
                </c:pt>
                <c:pt idx="5">
                  <c:v>27-Sep-26</c:v>
                </c:pt>
                <c:pt idx="6">
                  <c:v>28-Sep-26</c:v>
                </c:pt>
                <c:pt idx="7">
                  <c:v>29-Sep-26</c:v>
                </c:pt>
                <c:pt idx="8">
                  <c:v>30-Sep-26</c:v>
                </c:pt>
                <c:pt idx="9">
                  <c:v>01-Oct-26</c:v>
                </c:pt>
                <c:pt idx="10">
                  <c:v>02-Oct-26</c:v>
                </c:pt>
                <c:pt idx="11">
                  <c:v>03-Oct-26</c:v>
                </c:pt>
                <c:pt idx="12">
                  <c:v>04-Oct-26</c:v>
                </c:pt>
                <c:pt idx="13">
                  <c:v>05-Oct-26</c:v>
                </c:pt>
                <c:pt idx="14">
                  <c:v>06-Oct-26</c:v>
                </c:pt>
              </c:strCache>
            </c:strRef>
          </c:cat>
          <c:val>
            <c:numRef>
              <c:f>'Daily Data'!$D$5:$D$19</c:f>
              <c:numCache>
                <c:formatCode>#,##0</c:formatCode>
                <c:ptCount val="15"/>
                <c:pt idx="0">
                  <c:v>1587</c:v>
                </c:pt>
                <c:pt idx="1">
                  <c:v>1577</c:v>
                </c:pt>
                <c:pt idx="2">
                  <c:v>1811</c:v>
                </c:pt>
                <c:pt idx="3">
                  <c:v>1840</c:v>
                </c:pt>
                <c:pt idx="4">
                  <c:v>1262</c:v>
                </c:pt>
                <c:pt idx="5">
                  <c:v>918</c:v>
                </c:pt>
                <c:pt idx="6">
                  <c:v>1804</c:v>
                </c:pt>
                <c:pt idx="7">
                  <c:v>1498</c:v>
                </c:pt>
                <c:pt idx="8">
                  <c:v>1696</c:v>
                </c:pt>
                <c:pt idx="9">
                  <c:v>1672</c:v>
                </c:pt>
                <c:pt idx="10">
                  <c:v>1693</c:v>
                </c:pt>
                <c:pt idx="11">
                  <c:v>1199</c:v>
                </c:pt>
                <c:pt idx="12">
                  <c:v>962</c:v>
                </c:pt>
                <c:pt idx="13">
                  <c:v>2057</c:v>
                </c:pt>
                <c:pt idx="14">
                  <c:v>1655</c:v>
                </c:pt>
              </c:numCache>
            </c:numRef>
          </c:val>
        </c:ser>
        <c:gapWidth val="60"/>
        <c:overlap val="0"/>
        <c:axId val="69533199"/>
        <c:axId val="79760350"/>
      </c:barChart>
      <c:catAx>
        <c:axId val="69533199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760350"/>
        <c:crosses val="autoZero"/>
        <c:auto val="1"/>
        <c:lblAlgn val="ctr"/>
        <c:lblOffset val="100"/>
        <c:noMultiLvlLbl val="0"/>
      </c:catAx>
      <c:valAx>
        <c:axId val="797603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331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 repeats by channel (surfaced day 2-7)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'Channel Split'!F4</c:f>
              <c:strCache>
                <c:ptCount val="1"/>
                <c:pt idx="0">
                  <c:v>Late Call Repeats</c:v>
                </c:pt>
              </c:strCache>
            </c:strRef>
          </c:tx>
          <c:spPr>
            <a:solidFill>
              <a:srgbClr val="2a6fd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Split'!$A$5:$A$19</c:f>
              <c:strCache>
                <c:ptCount val="15"/>
                <c:pt idx="0">
                  <c:v>Tue 22-Sep</c:v>
                </c:pt>
                <c:pt idx="1">
                  <c:v>Wed 23-Sep</c:v>
                </c:pt>
                <c:pt idx="2">
                  <c:v>Thu 24-Sep</c:v>
                </c:pt>
                <c:pt idx="3">
                  <c:v>Fri 25-Sep</c:v>
                </c:pt>
                <c:pt idx="4">
                  <c:v>Sat 26-Sep</c:v>
                </c:pt>
                <c:pt idx="5">
                  <c:v>Sun 27-Sep</c:v>
                </c:pt>
                <c:pt idx="6">
                  <c:v>Mon 28-Sep</c:v>
                </c:pt>
                <c:pt idx="7">
                  <c:v>Tue 29-Sep</c:v>
                </c:pt>
                <c:pt idx="8">
                  <c:v>Wed 30-Sep</c:v>
                </c:pt>
                <c:pt idx="9">
                  <c:v>Thu 01-Oct</c:v>
                </c:pt>
                <c:pt idx="10">
                  <c:v>Fri 02-Oct</c:v>
                </c:pt>
                <c:pt idx="11">
                  <c:v>Sat 03-Oct</c:v>
                </c:pt>
                <c:pt idx="12">
                  <c:v>Sun 04-Oct</c:v>
                </c:pt>
                <c:pt idx="13">
                  <c:v>Mon 05-Oct</c:v>
                </c:pt>
                <c:pt idx="14">
                  <c:v>Tue 06-Oct</c:v>
                </c:pt>
              </c:strCache>
            </c:strRef>
          </c:cat>
          <c:val>
            <c:numRef>
              <c:f>'Channel Split'!$F$5:$F$19</c:f>
              <c:numCache>
                <c:formatCode>#,##0</c:formatCode>
                <c:ptCount val="15"/>
                <c:pt idx="0">
                  <c:v>150</c:v>
                </c:pt>
                <c:pt idx="1">
                  <c:v>182</c:v>
                </c:pt>
                <c:pt idx="2">
                  <c:v>189</c:v>
                </c:pt>
                <c:pt idx="3">
                  <c:v>217</c:v>
                </c:pt>
                <c:pt idx="4">
                  <c:v>127</c:v>
                </c:pt>
                <c:pt idx="5">
                  <c:v>107</c:v>
                </c:pt>
                <c:pt idx="6">
                  <c:v>197</c:v>
                </c:pt>
                <c:pt idx="7">
                  <c:v>138</c:v>
                </c:pt>
                <c:pt idx="8">
                  <c:v>162</c:v>
                </c:pt>
                <c:pt idx="9">
                  <c:v>157</c:v>
                </c:pt>
                <c:pt idx="10">
                  <c:v>177</c:v>
                </c:pt>
                <c:pt idx="11">
                  <c:v>134</c:v>
                </c:pt>
                <c:pt idx="12">
                  <c:v>91</c:v>
                </c:pt>
                <c:pt idx="13">
                  <c:v>193</c:v>
                </c:pt>
                <c:pt idx="14">
                  <c:v>163</c:v>
                </c:pt>
              </c:numCache>
            </c:numRef>
          </c:val>
        </c:ser>
        <c:ser>
          <c:idx val="1"/>
          <c:order val="1"/>
          <c:tx>
            <c:strRef>
              <c:f>'Channel Split'!J4</c:f>
              <c:strCache>
                <c:ptCount val="1"/>
                <c:pt idx="0">
                  <c:v>Late Chat Repeats</c:v>
                </c:pt>
              </c:strCache>
            </c:strRef>
          </c:tx>
          <c:spPr>
            <a:solidFill>
              <a:srgbClr val="d9672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Split'!$A$5:$A$19</c:f>
              <c:strCache>
                <c:ptCount val="15"/>
                <c:pt idx="0">
                  <c:v>Tue 22-Sep</c:v>
                </c:pt>
                <c:pt idx="1">
                  <c:v>Wed 23-Sep</c:v>
                </c:pt>
                <c:pt idx="2">
                  <c:v>Thu 24-Sep</c:v>
                </c:pt>
                <c:pt idx="3">
                  <c:v>Fri 25-Sep</c:v>
                </c:pt>
                <c:pt idx="4">
                  <c:v>Sat 26-Sep</c:v>
                </c:pt>
                <c:pt idx="5">
                  <c:v>Sun 27-Sep</c:v>
                </c:pt>
                <c:pt idx="6">
                  <c:v>Mon 28-Sep</c:v>
                </c:pt>
                <c:pt idx="7">
                  <c:v>Tue 29-Sep</c:v>
                </c:pt>
                <c:pt idx="8">
                  <c:v>Wed 30-Sep</c:v>
                </c:pt>
                <c:pt idx="9">
                  <c:v>Thu 01-Oct</c:v>
                </c:pt>
                <c:pt idx="10">
                  <c:v>Fri 02-Oct</c:v>
                </c:pt>
                <c:pt idx="11">
                  <c:v>Sat 03-Oct</c:v>
                </c:pt>
                <c:pt idx="12">
                  <c:v>Sun 04-Oct</c:v>
                </c:pt>
                <c:pt idx="13">
                  <c:v>Mon 05-Oct</c:v>
                </c:pt>
                <c:pt idx="14">
                  <c:v>Tue 06-Oct</c:v>
                </c:pt>
              </c:strCache>
            </c:strRef>
          </c:cat>
          <c:val>
            <c:numRef>
              <c:f>'Channel Split'!$J$5:$J$19</c:f>
              <c:numCache>
                <c:formatCode>#,##0</c:formatCode>
                <c:ptCount val="15"/>
                <c:pt idx="0">
                  <c:v>22</c:v>
                </c:pt>
                <c:pt idx="1">
                  <c:v>19</c:v>
                </c:pt>
                <c:pt idx="2">
                  <c:v>14</c:v>
                </c:pt>
                <c:pt idx="3">
                  <c:v>16</c:v>
                </c:pt>
                <c:pt idx="4">
                  <c:v>11</c:v>
                </c:pt>
                <c:pt idx="5">
                  <c:v>13</c:v>
                </c:pt>
                <c:pt idx="6">
                  <c:v>19</c:v>
                </c:pt>
                <c:pt idx="7">
                  <c:v>14</c:v>
                </c:pt>
                <c:pt idx="8">
                  <c:v>16</c:v>
                </c:pt>
                <c:pt idx="9">
                  <c:v>17</c:v>
                </c:pt>
                <c:pt idx="10">
                  <c:v>27</c:v>
                </c:pt>
                <c:pt idx="11">
                  <c:v>17</c:v>
                </c:pt>
                <c:pt idx="12">
                  <c:v>6</c:v>
                </c:pt>
                <c:pt idx="13">
                  <c:v>22</c:v>
                </c:pt>
                <c:pt idx="14">
                  <c:v>14</c:v>
                </c:pt>
              </c:numCache>
            </c:numRef>
          </c:val>
        </c:ser>
        <c:gapWidth val="60"/>
        <c:overlap val="100"/>
        <c:axId val="95608858"/>
        <c:axId val="16662405"/>
      </c:barChart>
      <c:catAx>
        <c:axId val="95608858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62405"/>
        <c:crosses val="autoZero"/>
        <c:auto val="1"/>
        <c:lblAlgn val="ctr"/>
        <c:lblOffset val="100"/>
        <c:noMultiLvlLbl val="0"/>
      </c:catAx>
      <c:valAx>
        <c:axId val="166624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088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AICR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&amp; Weekday'!F12</c:f>
              <c:strCache>
                <c:ptCount val="1"/>
                <c:pt idx="0">
                  <c:v>1-Day AICR</c:v>
                </c:pt>
              </c:strCache>
            </c:strRef>
          </c:tx>
          <c:spPr>
            <a:solidFill>
              <a:srgbClr val="2a6fd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&amp; Weekday'!$A$13:$A$19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'Weekly &amp; Weekday'!$F$13:$F$19</c:f>
              <c:numCache>
                <c:formatCode>0.00%</c:formatCode>
                <c:ptCount val="7"/>
                <c:pt idx="0">
                  <c:v>0.715876715876716</c:v>
                </c:pt>
                <c:pt idx="1">
                  <c:v>0.717721518987342</c:v>
                </c:pt>
                <c:pt idx="2">
                  <c:v>0.708829819737244</c:v>
                </c:pt>
                <c:pt idx="3">
                  <c:v>0.70198105081826</c:v>
                </c:pt>
                <c:pt idx="4">
                  <c:v>0.702519105575998</c:v>
                </c:pt>
                <c:pt idx="5">
                  <c:v>0.720845184884194</c:v>
                </c:pt>
                <c:pt idx="6">
                  <c:v>0.709042553191489</c:v>
                </c:pt>
              </c:numCache>
            </c:numRef>
          </c:val>
        </c:ser>
        <c:ser>
          <c:idx val="1"/>
          <c:order val="1"/>
          <c:tx>
            <c:strRef>
              <c:f>'Weekly &amp; Weekday'!H12</c:f>
              <c:strCache>
                <c:ptCount val="1"/>
                <c:pt idx="0">
                  <c:v>7-Day AICR</c:v>
                </c:pt>
              </c:strCache>
            </c:strRef>
          </c:tx>
          <c:spPr>
            <a:solidFill>
              <a:srgbClr val="0e9c9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&amp; Weekday'!$A$13:$A$19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'Weekly &amp; Weekday'!$H$13:$H$19</c:f>
              <c:numCache>
                <c:formatCode>0.00%</c:formatCode>
                <c:ptCount val="7"/>
                <c:pt idx="0">
                  <c:v>0.604247604247604</c:v>
                </c:pt>
                <c:pt idx="1">
                  <c:v>0.612025316455696</c:v>
                </c:pt>
                <c:pt idx="2">
                  <c:v>0.593033913840513</c:v>
                </c:pt>
                <c:pt idx="3">
                  <c:v>0.593741027849555</c:v>
                </c:pt>
                <c:pt idx="4">
                  <c:v>0.578828191338806</c:v>
                </c:pt>
                <c:pt idx="5">
                  <c:v>0.603413246647704</c:v>
                </c:pt>
                <c:pt idx="6">
                  <c:v>0.593617021276596</c:v>
                </c:pt>
              </c:numCache>
            </c:numRef>
          </c:val>
        </c:ser>
        <c:gapWidth val="80"/>
        <c:overlap val="0"/>
        <c:axId val="45145583"/>
        <c:axId val="58581510"/>
      </c:barChart>
      <c:catAx>
        <c:axId val="4514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81510"/>
        <c:crosses val="autoZero"/>
        <c:auto val="1"/>
        <c:lblAlgn val="ctr"/>
        <c:lblOffset val="100"/>
        <c:noMultiLvlLbl val="0"/>
      </c:catAx>
      <c:valAx>
        <c:axId val="58581510"/>
        <c:scaling>
          <c:orientation val="minMax"/>
          <c:max val="0.8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455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AICR fail calls by callback timeframe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'Callback Timeframe'!B4</c:f>
              <c:strCache>
                <c:ptCount val="1"/>
                <c:pt idx="0">
                  <c:v>AICR fail calls</c:v>
                </c:pt>
              </c:strCache>
            </c:strRef>
          </c:tx>
          <c:spPr>
            <a:solidFill>
              <a:srgbClr val="d9672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'Callback Timeframe'!$A$5:$A$12</c:f>
              <c:strCache>
                <c:ptCount val="8"/>
                <c:pt idx="0">
                  <c:v>0-30 Mins</c:v>
                </c:pt>
                <c:pt idx="1">
                  <c:v>30 Mins-1 Hour</c:v>
                </c:pt>
                <c:pt idx="2">
                  <c:v>1-2 Hours</c:v>
                </c:pt>
                <c:pt idx="3">
                  <c:v>2-4 Hours</c:v>
                </c:pt>
                <c:pt idx="4">
                  <c:v>4-24 Hours</c:v>
                </c:pt>
                <c:pt idx="5">
                  <c:v>1-2 Days</c:v>
                </c:pt>
                <c:pt idx="6">
                  <c:v>2-7 Days</c:v>
                </c:pt>
                <c:pt idx="7">
                  <c:v>7+ Days</c:v>
                </c:pt>
              </c:strCache>
            </c:strRef>
          </c:cat>
          <c:val>
            <c:numRef>
              <c:f>'Callback Timeframe'!$B$5:$B$12</c:f>
              <c:numCache>
                <c:formatCode>#,##0</c:formatCode>
                <c:ptCount val="8"/>
                <c:pt idx="0">
                  <c:v>2299</c:v>
                </c:pt>
                <c:pt idx="1">
                  <c:v>933</c:v>
                </c:pt>
                <c:pt idx="2">
                  <c:v>816</c:v>
                </c:pt>
                <c:pt idx="3">
                  <c:v>604</c:v>
                </c:pt>
                <c:pt idx="4">
                  <c:v>1479</c:v>
                </c:pt>
                <c:pt idx="5">
                  <c:v>701</c:v>
                </c:pt>
                <c:pt idx="6">
                  <c:v>1204</c:v>
                </c:pt>
                <c:pt idx="7">
                  <c:v>43</c:v>
                </c:pt>
              </c:numCache>
            </c:numRef>
          </c:val>
        </c:ser>
        <c:gapWidth val="50"/>
        <c:overlap val="0"/>
        <c:axId val="82529946"/>
        <c:axId val="75302765"/>
      </c:barChart>
      <c:catAx>
        <c:axId val="8252994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02765"/>
        <c:crosses val="autoZero"/>
        <c:auto val="1"/>
        <c:lblAlgn val="ctr"/>
        <c:lblOffset val="100"/>
        <c:noMultiLvlLbl val="0"/>
      </c:catAx>
      <c:valAx>
        <c:axId val="753027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299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28</xdr:row>
      <xdr:rowOff>0</xdr:rowOff>
    </xdr:from>
    <xdr:to>
      <xdr:col>13</xdr:col>
      <xdr:colOff>709200</xdr:colOff>
      <xdr:row>45</xdr:row>
      <xdr:rowOff>1080</xdr:rowOff>
    </xdr:to>
    <xdr:graphicFrame>
      <xdr:nvGraphicFramePr>
        <xdr:cNvPr id="0" name="Chart 1"/>
        <xdr:cNvGraphicFramePr/>
      </xdr:nvGraphicFramePr>
      <xdr:xfrm>
        <a:off x="141120" y="665784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28</xdr:row>
      <xdr:rowOff>0</xdr:rowOff>
    </xdr:from>
    <xdr:to>
      <xdr:col>24</xdr:col>
      <xdr:colOff>531360</xdr:colOff>
      <xdr:row>45</xdr:row>
      <xdr:rowOff>1080</xdr:rowOff>
    </xdr:to>
    <xdr:graphicFrame>
      <xdr:nvGraphicFramePr>
        <xdr:cNvPr id="1" name="Chart 2"/>
        <xdr:cNvGraphicFramePr/>
      </xdr:nvGraphicFramePr>
      <xdr:xfrm>
        <a:off x="7119720" y="665784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47</xdr:row>
      <xdr:rowOff>0</xdr:rowOff>
    </xdr:from>
    <xdr:to>
      <xdr:col>13</xdr:col>
      <xdr:colOff>709200</xdr:colOff>
      <xdr:row>62</xdr:row>
      <xdr:rowOff>22320</xdr:rowOff>
    </xdr:to>
    <xdr:graphicFrame>
      <xdr:nvGraphicFramePr>
        <xdr:cNvPr id="2" name="Chart 3"/>
        <xdr:cNvGraphicFramePr/>
      </xdr:nvGraphicFramePr>
      <xdr:xfrm>
        <a:off x="141120" y="1027764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47</xdr:row>
      <xdr:rowOff>0</xdr:rowOff>
    </xdr:from>
    <xdr:to>
      <xdr:col>24</xdr:col>
      <xdr:colOff>531360</xdr:colOff>
      <xdr:row>62</xdr:row>
      <xdr:rowOff>22320</xdr:rowOff>
    </xdr:to>
    <xdr:graphicFrame>
      <xdr:nvGraphicFramePr>
        <xdr:cNvPr id="3" name="Chart 4"/>
        <xdr:cNvGraphicFramePr/>
      </xdr:nvGraphicFramePr>
      <xdr:xfrm>
        <a:off x="7119720" y="1027764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26</xdr:row>
      <xdr:rowOff>0</xdr:rowOff>
    </xdr:from>
    <xdr:to>
      <xdr:col>9</xdr:col>
      <xdr:colOff>347040</xdr:colOff>
      <xdr:row>41</xdr:row>
      <xdr:rowOff>22320</xdr:rowOff>
    </xdr:to>
    <xdr:graphicFrame>
      <xdr:nvGraphicFramePr>
        <xdr:cNvPr id="4" name="Chart 1"/>
        <xdr:cNvGraphicFramePr/>
      </xdr:nvGraphicFramePr>
      <xdr:xfrm>
        <a:off x="141120" y="61912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36</xdr:row>
      <xdr:rowOff>0</xdr:rowOff>
    </xdr:from>
    <xdr:to>
      <xdr:col>7</xdr:col>
      <xdr:colOff>95760</xdr:colOff>
      <xdr:row>52</xdr:row>
      <xdr:rowOff>11520</xdr:rowOff>
    </xdr:to>
    <xdr:graphicFrame>
      <xdr:nvGraphicFramePr>
        <xdr:cNvPr id="5" name="Chart 1"/>
        <xdr:cNvGraphicFramePr/>
      </xdr:nvGraphicFramePr>
      <xdr:xfrm>
        <a:off x="211320" y="998208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7</xdr:col>
      <xdr:colOff>95760</xdr:colOff>
      <xdr:row>70</xdr:row>
      <xdr:rowOff>11520</xdr:rowOff>
    </xdr:to>
    <xdr:graphicFrame>
      <xdr:nvGraphicFramePr>
        <xdr:cNvPr id="6" name="Chart 2"/>
        <xdr:cNvGraphicFramePr/>
      </xdr:nvGraphicFramePr>
      <xdr:xfrm>
        <a:off x="211320" y="1341108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72</xdr:row>
      <xdr:rowOff>0</xdr:rowOff>
    </xdr:from>
    <xdr:to>
      <xdr:col>7</xdr:col>
      <xdr:colOff>95760</xdr:colOff>
      <xdr:row>88</xdr:row>
      <xdr:rowOff>11520</xdr:rowOff>
    </xdr:to>
    <xdr:graphicFrame>
      <xdr:nvGraphicFramePr>
        <xdr:cNvPr id="7" name="Chart 3"/>
        <xdr:cNvGraphicFramePr/>
      </xdr:nvGraphicFramePr>
      <xdr:xfrm>
        <a:off x="211320" y="1684008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21</xdr:row>
      <xdr:rowOff>0</xdr:rowOff>
    </xdr:from>
    <xdr:to>
      <xdr:col>15</xdr:col>
      <xdr:colOff>417960</xdr:colOff>
      <xdr:row>34</xdr:row>
      <xdr:rowOff>108000</xdr:rowOff>
    </xdr:to>
    <xdr:graphicFrame>
      <xdr:nvGraphicFramePr>
        <xdr:cNvPr id="8" name="Chart 1"/>
        <xdr:cNvGraphicFramePr/>
      </xdr:nvGraphicFramePr>
      <xdr:xfrm>
        <a:off x="5074920" y="44388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7</xdr:col>
      <xdr:colOff>136080</xdr:colOff>
      <xdr:row>41</xdr:row>
      <xdr:rowOff>22320</xdr:rowOff>
    </xdr:to>
    <xdr:graphicFrame>
      <xdr:nvGraphicFramePr>
        <xdr:cNvPr id="9" name="Chart 1"/>
        <xdr:cNvGraphicFramePr/>
      </xdr:nvGraphicFramePr>
      <xdr:xfrm>
        <a:off x="0" y="60390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17</xdr:col>
      <xdr:colOff>44640</xdr:colOff>
      <xdr:row>11</xdr:row>
      <xdr:rowOff>344160</xdr:rowOff>
    </xdr:to>
    <xdr:graphicFrame>
      <xdr:nvGraphicFramePr>
        <xdr:cNvPr id="10" name="Chart 1"/>
        <xdr:cNvGraphicFramePr/>
      </xdr:nvGraphicFramePr>
      <xdr:xfrm>
        <a:off x="6977880" y="7714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9C96"/>
    <pageSetUpPr fitToPage="false"/>
  </sheetPr>
  <dimension ref="A1:U2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" min="2" style="0" width="12"/>
    <col collapsed="false" customWidth="true" hidden="false" outlineLevel="0" max="5" min="5" style="0" width="1.51"/>
    <col collapsed="false" customWidth="true" hidden="false" outlineLevel="0" max="8" min="6" style="0" width="12"/>
    <col collapsed="false" customWidth="true" hidden="false" outlineLevel="0" max="9" min="9" style="0" width="1.51"/>
    <col collapsed="false" customWidth="true" hidden="false" outlineLevel="0" max="12" min="10" style="0" width="12"/>
    <col collapsed="false" customWidth="true" hidden="false" outlineLevel="0" max="13" min="13" style="0" width="1.51"/>
    <col collapsed="false" customWidth="true" hidden="false" outlineLevel="0" max="16" min="14" style="0" width="12"/>
    <col collapsed="false" customWidth="true" hidden="false" outlineLevel="0" max="17" min="17" style="0" width="1.51"/>
    <col collapsed="false" customWidth="true" hidden="false" outlineLevel="0" max="20" min="18" style="0" width="12"/>
    <col collapsed="false" customWidth="true" hidden="false" outlineLevel="0" max="21" min="21" style="0" width="2"/>
  </cols>
  <sheetData>
    <row r="1" customFormat="false" ht="15.7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customFormat="false" ht="30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customFormat="false" ht="15.75" hidden="false" customHeight="true" outlineLevel="0" collapsed="false">
      <c r="A3" s="1"/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</row>
    <row r="5" customFormat="false" ht="15.75" hidden="false" customHeight="true" outlineLevel="0" collapsed="false">
      <c r="B5" s="5" t="s">
        <v>3</v>
      </c>
      <c r="C5" s="5"/>
      <c r="D5" s="5"/>
      <c r="F5" s="6" t="s">
        <v>4</v>
      </c>
      <c r="G5" s="6"/>
      <c r="H5" s="6"/>
      <c r="J5" s="7" t="s">
        <v>5</v>
      </c>
      <c r="K5" s="7"/>
      <c r="L5" s="7"/>
      <c r="N5" s="8" t="s">
        <v>6</v>
      </c>
      <c r="O5" s="8"/>
      <c r="P5" s="8"/>
      <c r="R5" s="8" t="s">
        <v>7</v>
      </c>
      <c r="S5" s="8"/>
      <c r="T5" s="8"/>
    </row>
    <row r="6" customFormat="false" ht="21.75" hidden="false" customHeight="true" outlineLevel="0" collapsed="false">
      <c r="B6" s="9" t="n">
        <f aca="false">'Daily Data'!H20</f>
        <v>0.71111876372089</v>
      </c>
      <c r="C6" s="9"/>
      <c r="D6" s="9"/>
      <c r="F6" s="10" t="n">
        <f aca="false">'Daily Data'!L20</f>
        <v>0.597864921871637</v>
      </c>
      <c r="G6" s="10"/>
      <c r="H6" s="10"/>
      <c r="J6" s="11" t="n">
        <f aca="false">'Daily Data'!M20</f>
        <v>11.3253841849253</v>
      </c>
      <c r="K6" s="11"/>
      <c r="L6" s="11"/>
      <c r="N6" s="12" t="n">
        <f aca="false">'Daily Data'!N20</f>
        <v>2631</v>
      </c>
      <c r="O6" s="12"/>
      <c r="P6" s="12"/>
      <c r="R6" s="13" t="n">
        <f aca="false">'Daily Data'!O20</f>
        <v>0.281631342324984</v>
      </c>
      <c r="S6" s="13"/>
      <c r="T6" s="13"/>
    </row>
    <row r="7" customFormat="false" ht="13.5" hidden="false" customHeight="true" outlineLevel="0" collapsed="false">
      <c r="B7" s="9"/>
      <c r="C7" s="9"/>
      <c r="D7" s="9"/>
      <c r="F7" s="10"/>
      <c r="G7" s="10"/>
      <c r="H7" s="10"/>
      <c r="J7" s="11"/>
      <c r="K7" s="11"/>
      <c r="L7" s="11"/>
      <c r="N7" s="12"/>
      <c r="O7" s="12"/>
      <c r="P7" s="12"/>
      <c r="R7" s="13"/>
      <c r="S7" s="13"/>
      <c r="T7" s="13"/>
    </row>
    <row r="8" customFormat="false" ht="25.5" hidden="false" customHeight="true" outlineLevel="0" collapsed="false">
      <c r="B8" s="14" t="s">
        <v>8</v>
      </c>
      <c r="C8" s="14"/>
      <c r="D8" s="14"/>
      <c r="F8" s="15" t="s">
        <v>9</v>
      </c>
      <c r="G8" s="15"/>
      <c r="H8" s="15"/>
      <c r="J8" s="16" t="s">
        <v>10</v>
      </c>
      <c r="K8" s="16"/>
      <c r="L8" s="16"/>
      <c r="N8" s="17" t="s">
        <v>11</v>
      </c>
      <c r="O8" s="17"/>
      <c r="P8" s="17"/>
      <c r="R8" s="17" t="s">
        <v>12</v>
      </c>
      <c r="S8" s="17"/>
      <c r="T8" s="17"/>
    </row>
    <row r="10" customFormat="false" ht="15.75" hidden="false" customHeight="true" outlineLevel="0" collapsed="false">
      <c r="B10" s="18" t="s">
        <v>13</v>
      </c>
      <c r="C10" s="18"/>
      <c r="D10" s="18"/>
      <c r="F10" s="18" t="s">
        <v>14</v>
      </c>
      <c r="G10" s="18"/>
      <c r="H10" s="18"/>
      <c r="J10" s="19" t="s">
        <v>15</v>
      </c>
      <c r="K10" s="19"/>
      <c r="L10" s="19"/>
      <c r="N10" s="20" t="s">
        <v>16</v>
      </c>
      <c r="O10" s="20"/>
      <c r="P10" s="20"/>
      <c r="R10" s="8" t="s">
        <v>17</v>
      </c>
      <c r="S10" s="8"/>
      <c r="T10" s="8"/>
    </row>
    <row r="11" customFormat="false" ht="21.75" hidden="false" customHeight="true" outlineLevel="0" collapsed="false">
      <c r="B11" s="21" t="n">
        <f aca="false">'Daily Data'!D20</f>
        <v>23231</v>
      </c>
      <c r="C11" s="21"/>
      <c r="D11" s="21"/>
      <c r="F11" s="21" t="n">
        <f aca="false">ROUND('Daily Data'!D20/15,0)</f>
        <v>1549</v>
      </c>
      <c r="G11" s="21"/>
      <c r="H11" s="21"/>
      <c r="J11" s="22" t="n">
        <f aca="false">'Daily Data'!C24</f>
        <v>0.738500315059861</v>
      </c>
      <c r="K11" s="22"/>
      <c r="L11" s="22"/>
      <c r="N11" s="23" t="n">
        <f aca="false">'Daily Data'!C25</f>
        <v>0.675239234449761</v>
      </c>
      <c r="O11" s="23"/>
      <c r="P11" s="23"/>
      <c r="R11" s="24" t="n">
        <f aca="false">'Weekly &amp; Weekday'!F9</f>
        <v>-2.75630032277741</v>
      </c>
      <c r="S11" s="24"/>
      <c r="T11" s="24"/>
    </row>
    <row r="12" customFormat="false" ht="13.5" hidden="false" customHeight="true" outlineLevel="0" collapsed="false">
      <c r="B12" s="21"/>
      <c r="C12" s="21"/>
      <c r="D12" s="21"/>
      <c r="F12" s="21"/>
      <c r="G12" s="21"/>
      <c r="H12" s="21"/>
      <c r="J12" s="22"/>
      <c r="K12" s="22"/>
      <c r="L12" s="22"/>
      <c r="N12" s="23"/>
      <c r="O12" s="23"/>
      <c r="P12" s="23"/>
      <c r="R12" s="24"/>
      <c r="S12" s="24"/>
      <c r="T12" s="24"/>
    </row>
    <row r="13" customFormat="false" ht="25.5" hidden="false" customHeight="true" outlineLevel="0" collapsed="false">
      <c r="B13" s="25" t="s">
        <v>18</v>
      </c>
      <c r="C13" s="25"/>
      <c r="D13" s="25"/>
      <c r="F13" s="25" t="s">
        <v>19</v>
      </c>
      <c r="G13" s="25"/>
      <c r="H13" s="25"/>
      <c r="J13" s="26" t="str">
        <f aca="false">TEXT('Daily Data'!D24,"ddd dd mmm")</f>
        <v>Tue 22 Sep</v>
      </c>
      <c r="K13" s="26"/>
      <c r="L13" s="26"/>
      <c r="N13" s="27" t="str">
        <f aca="false">TEXT('Daily Data'!D25,"ddd dd mmm")</f>
        <v>Thu 01 Oct</v>
      </c>
      <c r="O13" s="27"/>
      <c r="P13" s="27"/>
      <c r="R13" s="17" t="str">
        <f aca="false">"7-Day: "&amp;TEXT('Weekly &amp; Weekday'!H9,"+0.00;-0.00")&amp;" pp"</f>
        <v>7-Day: -1.74 pp</v>
      </c>
      <c r="S13" s="17"/>
      <c r="T13" s="17"/>
    </row>
    <row r="15" customFormat="false" ht="19.5" hidden="false" customHeight="true" outlineLevel="0" collapsed="false">
      <c r="B15" s="28" t="s">
        <v>20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</row>
    <row r="16" customFormat="false" ht="33.75" hidden="false" customHeight="true" outlineLevel="0" collapsed="false">
      <c r="B16" s="29" t="s">
        <v>21</v>
      </c>
      <c r="C16" s="29" t="s">
        <v>22</v>
      </c>
      <c r="D16" s="29" t="s">
        <v>23</v>
      </c>
      <c r="E16" s="29" t="s">
        <v>24</v>
      </c>
      <c r="F16" s="29"/>
      <c r="G16" s="29" t="s">
        <v>25</v>
      </c>
      <c r="H16" s="29"/>
      <c r="I16" s="29"/>
      <c r="J16" s="29" t="s">
        <v>26</v>
      </c>
      <c r="K16" s="29"/>
      <c r="L16" s="29"/>
    </row>
    <row r="17" customFormat="false" ht="19.5" hidden="false" customHeight="true" outlineLevel="0" collapsed="false">
      <c r="B17" s="30" t="s">
        <v>27</v>
      </c>
      <c r="C17" s="31" t="n">
        <f aca="false">'Daily Data'!H20</f>
        <v>0.71111876372089</v>
      </c>
      <c r="D17" s="32" t="n">
        <f aca="false">'Targets &amp; Notes'!C5</f>
        <v>0.75</v>
      </c>
      <c r="E17" s="33" t="n">
        <f aca="false">(C17-D17)*100</f>
        <v>-3.88812362791098</v>
      </c>
      <c r="F17" s="33"/>
      <c r="G17" s="34" t="str">
        <f aca="false">IF(E17&gt;=0,"On / above target","Below target by "&amp;TEXT(-E17,"0.00")&amp;" pp")</f>
        <v>Below target by 3.89 pp</v>
      </c>
      <c r="H17" s="34"/>
      <c r="I17" s="34"/>
      <c r="J17" s="33" t="n">
        <f aca="false">'Daily Data'!R20</f>
        <v>-3.0947444969227</v>
      </c>
      <c r="K17" s="33"/>
      <c r="L17" s="33"/>
    </row>
    <row r="18" customFormat="false" ht="19.5" hidden="false" customHeight="true" outlineLevel="0" collapsed="false">
      <c r="B18" s="30" t="s">
        <v>28</v>
      </c>
      <c r="C18" s="31" t="n">
        <f aca="false">'Daily Data'!L20</f>
        <v>0.597864921871637</v>
      </c>
      <c r="D18" s="32" t="n">
        <f aca="false">'Targets &amp; Notes'!C6</f>
        <v>0.65</v>
      </c>
      <c r="E18" s="33" t="n">
        <f aca="false">(C18-D18)*100</f>
        <v>-5.21350781283631</v>
      </c>
      <c r="F18" s="33"/>
      <c r="G18" s="34" t="str">
        <f aca="false">IF(E18&gt;=0,"On / above target","Below target by "&amp;TEXT(-E18,"0.00")&amp;" pp")</f>
        <v>Below target by 5.21 pp</v>
      </c>
      <c r="H18" s="34"/>
      <c r="I18" s="34"/>
      <c r="J18" s="33" t="n">
        <f aca="false">'Daily Data'!S20</f>
        <v>-2.95154931400713</v>
      </c>
      <c r="K18" s="33"/>
      <c r="L18" s="33"/>
    </row>
    <row r="20" customFormat="false" ht="19.5" hidden="false" customHeight="true" outlineLevel="0" collapsed="false">
      <c r="B20" s="28" t="s">
        <v>29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customFormat="false" ht="18" hidden="false" customHeight="true" outlineLevel="0" collapsed="false">
      <c r="B21" s="35" t="s">
        <v>30</v>
      </c>
      <c r="C21" s="36" t="n">
        <f aca="false">'Daily Data'!A5</f>
        <v>46287</v>
      </c>
      <c r="D21" s="36" t="n">
        <f aca="false">'Daily Data'!A6</f>
        <v>46288</v>
      </c>
      <c r="E21" s="36" t="n">
        <f aca="false">'Daily Data'!A7</f>
        <v>46289</v>
      </c>
      <c r="F21" s="36" t="n">
        <f aca="false">'Daily Data'!A8</f>
        <v>46290</v>
      </c>
      <c r="G21" s="36" t="n">
        <f aca="false">'Daily Data'!A9</f>
        <v>46291</v>
      </c>
      <c r="H21" s="36" t="n">
        <f aca="false">'Daily Data'!A10</f>
        <v>46292</v>
      </c>
      <c r="I21" s="36" t="n">
        <f aca="false">'Daily Data'!A11</f>
        <v>46293</v>
      </c>
      <c r="J21" s="36" t="n">
        <f aca="false">'Daily Data'!A12</f>
        <v>46294</v>
      </c>
      <c r="K21" s="36" t="n">
        <f aca="false">'Daily Data'!A13</f>
        <v>46295</v>
      </c>
      <c r="L21" s="36" t="n">
        <f aca="false">'Daily Data'!A14</f>
        <v>46296</v>
      </c>
      <c r="M21" s="36" t="n">
        <f aca="false">'Daily Data'!A15</f>
        <v>46297</v>
      </c>
      <c r="N21" s="36" t="n">
        <f aca="false">'Daily Data'!A16</f>
        <v>46298</v>
      </c>
      <c r="O21" s="36" t="n">
        <f aca="false">'Daily Data'!A17</f>
        <v>46299</v>
      </c>
      <c r="P21" s="36" t="n">
        <f aca="false">'Daily Data'!A18</f>
        <v>46300</v>
      </c>
      <c r="Q21" s="36" t="n">
        <f aca="false">'Daily Data'!A19</f>
        <v>46301</v>
      </c>
    </row>
    <row r="22" customFormat="false" ht="18" hidden="false" customHeight="true" outlineLevel="0" collapsed="false">
      <c r="B22" s="35" t="s">
        <v>31</v>
      </c>
      <c r="C22" s="37" t="n">
        <f aca="false">'Daily Data'!H5</f>
        <v>0.738500315059861</v>
      </c>
      <c r="D22" s="37" t="n">
        <f aca="false">'Daily Data'!H6</f>
        <v>0.709575142675967</v>
      </c>
      <c r="E22" s="37" t="n">
        <f aca="false">'Daily Data'!H7</f>
        <v>0.726670347874103</v>
      </c>
      <c r="F22" s="37" t="n">
        <f aca="false">'Daily Data'!H8</f>
        <v>0.714130434782609</v>
      </c>
      <c r="G22" s="37" t="n">
        <f aca="false">'Daily Data'!H9</f>
        <v>0.725039619651347</v>
      </c>
      <c r="H22" s="37" t="n">
        <f aca="false">'Daily Data'!H10</f>
        <v>0.727668845315904</v>
      </c>
      <c r="I22" s="37" t="n">
        <f aca="false">'Daily Data'!H11</f>
        <v>0.735587583148559</v>
      </c>
      <c r="J22" s="37" t="n">
        <f aca="false">'Daily Data'!H12</f>
        <v>0.70694259012016</v>
      </c>
      <c r="K22" s="37" t="n">
        <f aca="false">'Daily Data'!H13</f>
        <v>0.70813679245283</v>
      </c>
      <c r="L22" s="37" t="n">
        <f aca="false">'Daily Data'!H14</f>
        <v>0.675239234449761</v>
      </c>
      <c r="M22" s="37" t="n">
        <f aca="false">'Daily Data'!H15</f>
        <v>0.689899586532782</v>
      </c>
      <c r="N22" s="37" t="n">
        <f aca="false">'Daily Data'!H16</f>
        <v>0.716430358632194</v>
      </c>
      <c r="O22" s="37" t="n">
        <f aca="false">'Daily Data'!H17</f>
        <v>0.691268191268191</v>
      </c>
      <c r="P22" s="37" t="n">
        <f aca="false">'Daily Data'!H18</f>
        <v>0.698590179873602</v>
      </c>
      <c r="Q22" s="37" t="n">
        <f aca="false">'Daily Data'!H19</f>
        <v>0.707552870090634</v>
      </c>
    </row>
    <row r="23" customFormat="false" ht="18" hidden="false" customHeight="true" outlineLevel="0" collapsed="false">
      <c r="B23" s="35" t="s">
        <v>32</v>
      </c>
      <c r="C23" s="38"/>
      <c r="D23" s="38" t="n">
        <f aca="false">'Daily Data'!R6</f>
        <v>-2.89251723838943</v>
      </c>
      <c r="E23" s="38" t="n">
        <f aca="false">'Daily Data'!R7</f>
        <v>1.70952051981357</v>
      </c>
      <c r="F23" s="38" t="n">
        <f aca="false">'Daily Data'!R8</f>
        <v>-1.2539913091494</v>
      </c>
      <c r="G23" s="38" t="n">
        <f aca="false">'Daily Data'!R9</f>
        <v>1.09091848687384</v>
      </c>
      <c r="H23" s="38" t="n">
        <f aca="false">'Daily Data'!R10</f>
        <v>0.262922566455703</v>
      </c>
      <c r="I23" s="38" t="n">
        <f aca="false">'Daily Data'!R11</f>
        <v>0.791873783265462</v>
      </c>
      <c r="J23" s="38" t="n">
        <f aca="false">'Daily Data'!R12</f>
        <v>-2.86449930283985</v>
      </c>
      <c r="K23" s="38" t="n">
        <f aca="false">'Daily Data'!R13</f>
        <v>0.119420233266987</v>
      </c>
      <c r="L23" s="38" t="n">
        <f aca="false">'Daily Data'!R14</f>
        <v>-3.28975580030694</v>
      </c>
      <c r="M23" s="38" t="n">
        <f aca="false">'Daily Data'!R15</f>
        <v>1.46603520830213</v>
      </c>
      <c r="N23" s="38" t="n">
        <f aca="false">'Daily Data'!R16</f>
        <v>2.65307720994115</v>
      </c>
      <c r="O23" s="38" t="n">
        <f aca="false">'Daily Data'!R17</f>
        <v>-2.51621673640022</v>
      </c>
      <c r="P23" s="38" t="n">
        <f aca="false">'Daily Data'!R18</f>
        <v>0.7321988605411</v>
      </c>
      <c r="Q23" s="38" t="n">
        <f aca="false">'Daily Data'!R19</f>
        <v>0.896269021703211</v>
      </c>
    </row>
    <row r="24" customFormat="false" ht="18" hidden="false" customHeight="true" outlineLevel="0" collapsed="false">
      <c r="B24" s="35" t="s">
        <v>33</v>
      </c>
      <c r="C24" s="37" t="n">
        <f aca="false">'Daily Data'!L5</f>
        <v>0.630119722747322</v>
      </c>
      <c r="D24" s="37" t="n">
        <f aca="false">'Daily Data'!L6</f>
        <v>0.582117945466075</v>
      </c>
      <c r="E24" s="37" t="n">
        <f aca="false">'Daily Data'!L7</f>
        <v>0.614577581446715</v>
      </c>
      <c r="F24" s="37" t="n">
        <f aca="false">'Daily Data'!L8</f>
        <v>0.5875</v>
      </c>
      <c r="G24" s="37" t="n">
        <f aca="false">'Daily Data'!L9</f>
        <v>0.615689381933439</v>
      </c>
      <c r="H24" s="37" t="n">
        <f aca="false">'Daily Data'!L10</f>
        <v>0.596949891067538</v>
      </c>
      <c r="I24" s="37" t="n">
        <f aca="false">'Daily Data'!L11</f>
        <v>0.615853658536585</v>
      </c>
      <c r="J24" s="37" t="n">
        <f aca="false">'Daily Data'!L12</f>
        <v>0.605473965287049</v>
      </c>
      <c r="K24" s="37" t="n">
        <f aca="false">'Daily Data'!L13</f>
        <v>0.603183962264151</v>
      </c>
      <c r="L24" s="37" t="n">
        <f aca="false">'Daily Data'!L14</f>
        <v>0.571172248803828</v>
      </c>
      <c r="M24" s="37" t="n">
        <f aca="false">'Daily Data'!L15</f>
        <v>0.569403425871235</v>
      </c>
      <c r="N24" s="37" t="n">
        <f aca="false">'Daily Data'!L16</f>
        <v>0.590492076730609</v>
      </c>
      <c r="O24" s="37" t="n">
        <f aca="false">'Daily Data'!L17</f>
        <v>0.590436590436591</v>
      </c>
      <c r="P24" s="37" t="n">
        <f aca="false">'Daily Data'!L18</f>
        <v>0.594069032571706</v>
      </c>
      <c r="Q24" s="37" t="n">
        <f aca="false">'Daily Data'!L19</f>
        <v>0.600604229607251</v>
      </c>
    </row>
    <row r="25" customFormat="false" ht="18" hidden="false" customHeight="true" outlineLevel="0" collapsed="false">
      <c r="B25" s="35" t="s">
        <v>32</v>
      </c>
      <c r="C25" s="38"/>
      <c r="D25" s="38" t="n">
        <f aca="false">'Daily Data'!S6</f>
        <v>-4.80017772812472</v>
      </c>
      <c r="E25" s="38" t="n">
        <f aca="false">'Daily Data'!S7</f>
        <v>3.24596359806397</v>
      </c>
      <c r="F25" s="38" t="n">
        <f aca="false">'Daily Data'!S8</f>
        <v>-2.70775814467145</v>
      </c>
      <c r="G25" s="38" t="n">
        <f aca="false">'Daily Data'!S9</f>
        <v>2.8189381933439</v>
      </c>
      <c r="H25" s="38" t="n">
        <f aca="false">'Daily Data'!S10</f>
        <v>-1.87394908659009</v>
      </c>
      <c r="I25" s="38" t="n">
        <f aca="false">'Daily Data'!S11</f>
        <v>1.89037674690472</v>
      </c>
      <c r="J25" s="38" t="n">
        <f aca="false">'Daily Data'!S12</f>
        <v>-1.0379693249536</v>
      </c>
      <c r="K25" s="38" t="n">
        <f aca="false">'Daily Data'!S13</f>
        <v>-0.229000302289839</v>
      </c>
      <c r="L25" s="38" t="n">
        <f aca="false">'Daily Data'!S14</f>
        <v>-3.20117134603232</v>
      </c>
      <c r="M25" s="38" t="n">
        <f aca="false">'Daily Data'!S15</f>
        <v>-0.176882293259328</v>
      </c>
      <c r="N25" s="38" t="n">
        <f aca="false">'Daily Data'!S16</f>
        <v>2.10886508593743</v>
      </c>
      <c r="O25" s="38" t="n">
        <f aca="false">'Daily Data'!S17</f>
        <v>-0.00554862940183032</v>
      </c>
      <c r="P25" s="38" t="n">
        <f aca="false">'Daily Data'!S18</f>
        <v>0.363244213511593</v>
      </c>
      <c r="Q25" s="38" t="n">
        <f aca="false">'Daily Data'!S19</f>
        <v>0.653519703554428</v>
      </c>
    </row>
    <row r="26" customFormat="false" ht="18" hidden="false" customHeight="true" outlineLevel="0" collapsed="false">
      <c r="B26" s="35" t="s">
        <v>34</v>
      </c>
      <c r="C26" s="39" t="n">
        <f aca="false">'Daily Data'!D5</f>
        <v>1587</v>
      </c>
      <c r="D26" s="39" t="n">
        <f aca="false">'Daily Data'!D6</f>
        <v>1577</v>
      </c>
      <c r="E26" s="39" t="n">
        <f aca="false">'Daily Data'!D7</f>
        <v>1811</v>
      </c>
      <c r="F26" s="39" t="n">
        <f aca="false">'Daily Data'!D8</f>
        <v>1840</v>
      </c>
      <c r="G26" s="39" t="n">
        <f aca="false">'Daily Data'!D9</f>
        <v>1262</v>
      </c>
      <c r="H26" s="39" t="n">
        <f aca="false">'Daily Data'!D10</f>
        <v>918</v>
      </c>
      <c r="I26" s="39" t="n">
        <f aca="false">'Daily Data'!D11</f>
        <v>1804</v>
      </c>
      <c r="J26" s="39" t="n">
        <f aca="false">'Daily Data'!D12</f>
        <v>1498</v>
      </c>
      <c r="K26" s="39" t="n">
        <f aca="false">'Daily Data'!D13</f>
        <v>1696</v>
      </c>
      <c r="L26" s="39" t="n">
        <f aca="false">'Daily Data'!D14</f>
        <v>1672</v>
      </c>
      <c r="M26" s="39" t="n">
        <f aca="false">'Daily Data'!D15</f>
        <v>1693</v>
      </c>
      <c r="N26" s="39" t="n">
        <f aca="false">'Daily Data'!D16</f>
        <v>1199</v>
      </c>
      <c r="O26" s="39" t="n">
        <f aca="false">'Daily Data'!D17</f>
        <v>962</v>
      </c>
      <c r="P26" s="39" t="n">
        <f aca="false">'Daily Data'!D18</f>
        <v>2057</v>
      </c>
      <c r="Q26" s="39" t="n">
        <f aca="false">'Daily Data'!D19</f>
        <v>1655</v>
      </c>
    </row>
  </sheetData>
  <mergeCells count="44">
    <mergeCell ref="B1:T1"/>
    <mergeCell ref="B2:T2"/>
    <mergeCell ref="B3:T3"/>
    <mergeCell ref="B5:D5"/>
    <mergeCell ref="F5:H5"/>
    <mergeCell ref="J5:L5"/>
    <mergeCell ref="N5:P5"/>
    <mergeCell ref="R5:T5"/>
    <mergeCell ref="B6:D7"/>
    <mergeCell ref="F6:H7"/>
    <mergeCell ref="J6:L7"/>
    <mergeCell ref="N6:P7"/>
    <mergeCell ref="R6:T7"/>
    <mergeCell ref="B8:D8"/>
    <mergeCell ref="F8:H8"/>
    <mergeCell ref="J8:L8"/>
    <mergeCell ref="N8:P8"/>
    <mergeCell ref="R8:T8"/>
    <mergeCell ref="B10:D10"/>
    <mergeCell ref="F10:H10"/>
    <mergeCell ref="J10:L10"/>
    <mergeCell ref="N10:P10"/>
    <mergeCell ref="R10:T10"/>
    <mergeCell ref="B11:D12"/>
    <mergeCell ref="F11:H12"/>
    <mergeCell ref="J11:L12"/>
    <mergeCell ref="N11:P12"/>
    <mergeCell ref="R11:T12"/>
    <mergeCell ref="B13:D13"/>
    <mergeCell ref="F13:H13"/>
    <mergeCell ref="J13:L13"/>
    <mergeCell ref="N13:P13"/>
    <mergeCell ref="R13:T13"/>
    <mergeCell ref="B15:L15"/>
    <mergeCell ref="E16:F16"/>
    <mergeCell ref="G16:I16"/>
    <mergeCell ref="J16:L16"/>
    <mergeCell ref="E17:F17"/>
    <mergeCell ref="G17:I17"/>
    <mergeCell ref="J17:L17"/>
    <mergeCell ref="E18:F18"/>
    <mergeCell ref="G18:I18"/>
    <mergeCell ref="J18:L18"/>
    <mergeCell ref="B20:T20"/>
  </mergeCells>
  <conditionalFormatting sqref="E17:E18">
    <cfRule type="iconSet" priority="2">
      <iconSet iconSet="3Arrows">
        <cfvo type="num" val="-1000"/>
        <cfvo type="num" val="0"/>
        <cfvo type="num" val="0.0001"/>
      </iconSet>
    </cfRule>
  </conditionalFormatting>
  <conditionalFormatting sqref="J17:J18">
    <cfRule type="iconSet" priority="3">
      <iconSet iconSet="3Arrows">
        <cfvo type="num" val="-1000"/>
        <cfvo type="num" val="0"/>
        <cfvo type="num" val="0.0001"/>
      </iconSet>
    </cfRule>
  </conditionalFormatting>
  <conditionalFormatting sqref="G17:G18">
    <cfRule type="expression" priority="4" aboveAverage="0" equalAverage="0" bottom="0" percent="0" rank="0" text="" dxfId="0">
      <formula>E17&lt;0</formula>
    </cfRule>
    <cfRule type="expression" priority="5" aboveAverage="0" equalAverage="0" bottom="0" percent="0" rank="0" text="" dxfId="1">
      <formula>E17&gt;=0</formula>
    </cfRule>
  </conditionalFormatting>
  <conditionalFormatting sqref="C22:Q22">
    <cfRule type="colorScale" priority="6">
      <colorScale>
        <cfvo type="min" val="0"/>
        <cfvo type="max" val="0"/>
        <color rgb="FFFFFFFF"/>
        <color rgb="FF43BFB7"/>
      </colorScale>
    </cfRule>
  </conditionalFormatting>
  <conditionalFormatting sqref="C24:Q24">
    <cfRule type="colorScale" priority="7">
      <colorScale>
        <cfvo type="min" val="0"/>
        <cfvo type="max" val="0"/>
        <color rgb="FFFFFFFF"/>
        <color rgb="FF43BFB7"/>
      </colorScale>
    </cfRule>
  </conditionalFormatting>
  <conditionalFormatting sqref="C26:Q26">
    <cfRule type="dataBar" priority="8">
      <dataBar showValue="1" minLength="10" maxLength="90">
        <cfvo type="num" val="0"/>
        <cfvo type="max" val="0"/>
        <color rgb="FF9DB8E8"/>
      </dataBar>
      <extLst>
        <ext xmlns:x14="http://schemas.microsoft.com/office/spreadsheetml/2009/9/main" uri="{B025F937-C7B1-47D3-B67F-A62EFF666E3E}">
          <x14:id>{3CE9C52D-7B4E-435E-9520-FFDBE7C8F237}</x14:id>
        </ext>
      </extLst>
    </cfRule>
  </conditionalFormatting>
  <conditionalFormatting sqref="D23:Q23">
    <cfRule type="iconSet" priority="9">
      <iconSet iconSet="3Arrows">
        <cfvo type="num" val="-1000"/>
        <cfvo type="num" val="0"/>
        <cfvo type="num" val="0.0001"/>
      </iconSet>
    </cfRule>
  </conditionalFormatting>
  <conditionalFormatting sqref="D25:Q25">
    <cfRule type="iconSet" priority="10">
      <iconSet iconSet="3Arrows">
        <cfvo type="num" val="-1000"/>
        <cfvo type="num" val="0"/>
        <cfvo type="num" val="0.0001"/>
      </iconSe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E9C52D-7B4E-435E-9520-FFDBE7C8F237}">
            <x14:dataBar minLength="10" maxLength="90" axisPosition="none" gradient="true">
              <x14:cfvo type="num">
                <xm:f>0</xm:f>
              </x14:cfvo>
              <x14:cfvo type="max"/>
              <x14:negativeFillColor rgb="FF9DB8E8"/>
              <x14:axisColor rgb="FF000000"/>
            </x14:dataBar>
          </x14:cfRule>
          <xm:sqref>C26:Q26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9C96"/>
    <pageSetUpPr fitToPage="false"/>
  </sheetPr>
  <dimension ref="A1:Q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" min="2" style="0" width="14"/>
    <col collapsed="false" customWidth="true" hidden="false" outlineLevel="0" max="5" min="5" style="0" width="1.51"/>
    <col collapsed="false" customWidth="true" hidden="false" outlineLevel="0" max="8" min="6" style="0" width="14"/>
    <col collapsed="false" customWidth="true" hidden="false" outlineLevel="0" max="9" min="9" style="0" width="1.51"/>
    <col collapsed="false" customWidth="true" hidden="false" outlineLevel="0" max="12" min="10" style="0" width="14"/>
    <col collapsed="false" customWidth="true" hidden="false" outlineLevel="0" max="13" min="13" style="0" width="1.51"/>
    <col collapsed="false" customWidth="true" hidden="false" outlineLevel="0" max="16" min="14" style="0" width="14"/>
    <col collapsed="false" customWidth="true" hidden="false" outlineLevel="0" max="17" min="17" style="0" width="2"/>
  </cols>
  <sheetData>
    <row r="1" customFormat="false" ht="25.5" hidden="false" customHeight="true" outlineLevel="0" collapsed="false">
      <c r="A1" s="1"/>
      <c r="B1" s="40" t="s">
        <v>35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1"/>
    </row>
    <row r="2" customFormat="false" ht="15.75" hidden="false" customHeight="true" outlineLevel="0" collapsed="false">
      <c r="A2" s="1"/>
      <c r="B2" s="41" t="s">
        <v>36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1"/>
    </row>
    <row r="4" customFormat="false" ht="24" hidden="false" customHeight="true" outlineLevel="0" collapsed="false">
      <c r="B4" s="42" t="s">
        <v>37</v>
      </c>
      <c r="C4" s="43" t="n">
        <v>46301</v>
      </c>
      <c r="D4" s="43"/>
      <c r="F4" s="44" t="s">
        <v>38</v>
      </c>
      <c r="G4" s="44" t="n">
        <f aca="false">MATCH($C$4,'Daily Data'!$A$5:$A$19,0)</f>
        <v>15</v>
      </c>
      <c r="J4" s="44" t="s">
        <v>39</v>
      </c>
      <c r="K4" s="45" t="n">
        <f aca="false">IF($G$4=1,"—",INDEX('Daily Data'!$A$5:$A$19,$G$4-1))</f>
        <v>46300</v>
      </c>
    </row>
    <row r="6" customFormat="false" ht="15.75" hidden="false" customHeight="true" outlineLevel="0" collapsed="false">
      <c r="B6" s="5" t="s">
        <v>3</v>
      </c>
      <c r="C6" s="5"/>
      <c r="D6" s="5"/>
      <c r="F6" s="6" t="s">
        <v>4</v>
      </c>
      <c r="G6" s="6"/>
      <c r="H6" s="6"/>
      <c r="J6" s="7" t="s">
        <v>40</v>
      </c>
      <c r="K6" s="7"/>
      <c r="L6" s="7"/>
      <c r="N6" s="8" t="s">
        <v>41</v>
      </c>
      <c r="O6" s="8"/>
      <c r="P6" s="8"/>
    </row>
    <row r="7" customFormat="false" ht="21.75" hidden="false" customHeight="true" outlineLevel="0" collapsed="false">
      <c r="B7" s="9" t="n">
        <f aca="false">INDEX('Daily Data'!$H$5:$H$19,$G$4)</f>
        <v>0.707552870090634</v>
      </c>
      <c r="C7" s="9"/>
      <c r="D7" s="9"/>
      <c r="F7" s="10" t="n">
        <f aca="false">INDEX('Daily Data'!$L$5:$L$19,$G$4)</f>
        <v>0.600604229607251</v>
      </c>
      <c r="G7" s="10"/>
      <c r="H7" s="10"/>
      <c r="J7" s="11" t="n">
        <f aca="false">INDEX('Daily Data'!$M$5:$M$19,$G$4)</f>
        <v>10.6948640483384</v>
      </c>
      <c r="K7" s="11"/>
      <c r="L7" s="11"/>
      <c r="N7" s="46" t="n">
        <f aca="false">RANK(INDEX('Daily Data'!$H$5:$H$19,$G$4),'Daily Data'!$H$5:$H$19)</f>
        <v>10</v>
      </c>
      <c r="O7" s="46"/>
      <c r="P7" s="46"/>
    </row>
    <row r="8" customFormat="false" ht="13.5" hidden="false" customHeight="true" outlineLevel="0" collapsed="false">
      <c r="B8" s="9"/>
      <c r="C8" s="9"/>
      <c r="D8" s="9"/>
      <c r="F8" s="10"/>
      <c r="G8" s="10"/>
      <c r="H8" s="10"/>
      <c r="J8" s="11"/>
      <c r="K8" s="11"/>
      <c r="L8" s="11"/>
      <c r="N8" s="46"/>
      <c r="O8" s="46"/>
      <c r="P8" s="46"/>
    </row>
    <row r="9" customFormat="false" ht="25.5" hidden="false" customHeight="true" outlineLevel="0" collapsed="false">
      <c r="B9" s="14" t="str">
        <f aca="false">IF($G$4=1,"first day",TEXT((INDEX('Daily Data'!$H$5:$H$19,$G$4)-IF($G$4=1,NA(),INDEX('Daily Data'!$H$5:$H$19,$G$4-1)))*100,"+0.00;-0.00")&amp;" pp vs previous day")</f>
        <v>+0.90 pp vs previous day</v>
      </c>
      <c r="C9" s="14"/>
      <c r="D9" s="14"/>
      <c r="F9" s="15" t="str">
        <f aca="false">IF($G$4=1,"first day",TEXT((INDEX('Daily Data'!$L$5:$L$19,$G$4)-IF($G$4=1,NA(),INDEX('Daily Data'!$L$5:$L$19,$G$4-1)))*100,"+0.00;-0.00")&amp;" pp vs previous day")</f>
        <v>+0.65 pp vs previous day</v>
      </c>
      <c r="G9" s="15"/>
      <c r="H9" s="15"/>
      <c r="J9" s="16" t="str">
        <f aca="false">"period avg "&amp;TEXT('Daily Data'!M20,"0.00")&amp;" pp"</f>
        <v>period avg 11.33 pp</v>
      </c>
      <c r="K9" s="16"/>
      <c r="L9" s="16"/>
      <c r="N9" s="17" t="str">
        <f aca="false">"7-Day rank #"&amp;RANK(INDEX('Daily Data'!$L$5:$L$19,$G$4),'Daily Data'!$L$5:$L$19)</f>
        <v>7-Day rank #7</v>
      </c>
      <c r="O9" s="17"/>
      <c r="P9" s="17"/>
    </row>
    <row r="11" customFormat="false" ht="15.75" hidden="false" customHeight="true" outlineLevel="0" collapsed="false">
      <c r="B11" s="18" t="s">
        <v>13</v>
      </c>
      <c r="C11" s="18"/>
      <c r="D11" s="18"/>
      <c r="F11" s="18" t="s">
        <v>42</v>
      </c>
      <c r="G11" s="18"/>
      <c r="H11" s="18"/>
      <c r="J11" s="18" t="s">
        <v>43</v>
      </c>
      <c r="K11" s="18"/>
      <c r="L11" s="18"/>
      <c r="N11" s="18" t="s">
        <v>6</v>
      </c>
      <c r="O11" s="18"/>
      <c r="P11" s="18"/>
    </row>
    <row r="12" customFormat="false" ht="21.75" hidden="false" customHeight="true" outlineLevel="0" collapsed="false">
      <c r="B12" s="21" t="n">
        <f aca="false">INDEX('Daily Data'!$D$5:$D$19,$G$4)</f>
        <v>1655</v>
      </c>
      <c r="C12" s="21"/>
      <c r="D12" s="21"/>
      <c r="F12" s="21" t="n">
        <f aca="false">INDEX('Daily Data'!$E$5:$E$19,$G$4)</f>
        <v>484</v>
      </c>
      <c r="G12" s="21"/>
      <c r="H12" s="21"/>
      <c r="J12" s="21" t="n">
        <f aca="false">INDEX('Daily Data'!$I$5:$I$19,$G$4)</f>
        <v>661</v>
      </c>
      <c r="K12" s="21"/>
      <c r="L12" s="21"/>
      <c r="N12" s="21" t="n">
        <f aca="false">INDEX('Daily Data'!$N$5:$N$19,$G$4)</f>
        <v>177</v>
      </c>
      <c r="O12" s="21"/>
      <c r="P12" s="21"/>
    </row>
    <row r="13" customFormat="false" ht="13.5" hidden="false" customHeight="true" outlineLevel="0" collapsed="false">
      <c r="B13" s="21"/>
      <c r="C13" s="21"/>
      <c r="D13" s="21"/>
      <c r="F13" s="21"/>
      <c r="G13" s="21"/>
      <c r="H13" s="21"/>
      <c r="J13" s="21"/>
      <c r="K13" s="21"/>
      <c r="L13" s="21"/>
      <c r="N13" s="21"/>
      <c r="O13" s="21"/>
      <c r="P13" s="21"/>
    </row>
    <row r="14" customFormat="false" ht="25.5" hidden="false" customHeight="true" outlineLevel="0" collapsed="false">
      <c r="B14" s="25" t="str">
        <f aca="false">IF($G$4=1,"first day",TEXT(INDEX('Daily Data'!$D$5:$D$19,$G$4)-IF($G$4=1,NA(),INDEX('Daily Data'!$D$5:$D$19,$G$4-1)),"+#,##0;-#,##0")&amp;" vs previous day")</f>
        <v>-402 vs previous day</v>
      </c>
      <c r="C14" s="25"/>
      <c r="D14" s="25"/>
      <c r="F14" s="25" t="str">
        <f aca="false">"call "&amp;INDEX('Daily Data'!$F$5:$F$19,$G$4)&amp;" · chat "&amp;INDEX('Daily Data'!$G$5:$G$19,$G$4)</f>
        <v>call 459 · chat 25</v>
      </c>
      <c r="G14" s="25"/>
      <c r="H14" s="25"/>
      <c r="J14" s="25" t="str">
        <f aca="false">"call "&amp;INDEX('Daily Data'!$J$5:$J$19,$G$4)&amp;" · chat "&amp;INDEX('Daily Data'!$K$5:$K$19,$G$4)</f>
        <v>call 622 · chat 39</v>
      </c>
      <c r="K14" s="25"/>
      <c r="L14" s="25"/>
      <c r="N14" s="25" t="str">
        <f aca="false">"late share "&amp;TEXT(INDEX('Daily Data'!$O$5:$O$19,$G$4),"0.0%")</f>
        <v>late share 26.8%</v>
      </c>
      <c r="O14" s="25"/>
      <c r="P14" s="25"/>
    </row>
    <row r="16" customFormat="false" ht="19.5" hidden="false" customHeight="true" outlineLevel="0" collapsed="false">
      <c r="B16" s="28" t="s">
        <v>44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customFormat="false" ht="33.75" hidden="false" customHeight="true" outlineLevel="0" collapsed="false">
      <c r="B17" s="29" t="s">
        <v>21</v>
      </c>
      <c r="C17" s="29" t="s">
        <v>45</v>
      </c>
      <c r="D17" s="29" t="s">
        <v>39</v>
      </c>
      <c r="E17" s="29" t="s">
        <v>46</v>
      </c>
      <c r="F17" s="29"/>
      <c r="G17" s="29"/>
      <c r="H17" s="29"/>
      <c r="I17" s="29" t="s">
        <v>47</v>
      </c>
      <c r="J17" s="29"/>
      <c r="K17" s="29" t="s">
        <v>48</v>
      </c>
      <c r="L17" s="29"/>
      <c r="M17" s="29"/>
      <c r="N17" s="29"/>
      <c r="O17" s="29"/>
      <c r="P17" s="29"/>
    </row>
    <row r="18" customFormat="false" ht="18" hidden="false" customHeight="true" outlineLevel="0" collapsed="false">
      <c r="B18" s="30" t="s">
        <v>27</v>
      </c>
      <c r="C18" s="31" t="n">
        <f aca="false">INDEX('Daily Data'!$H$5:$H$19,$G$4)</f>
        <v>0.707552870090634</v>
      </c>
      <c r="D18" s="47" t="n">
        <f aca="false">IF($G$4=1,"—",IF($G$4=1,NA(),INDEX('Daily Data'!$H$5:$H$19,$G$4-1)))</f>
        <v>0.698590179873602</v>
      </c>
      <c r="E18" s="47" t="n">
        <f aca="false">'Daily Data'!H20</f>
        <v>0.71111876372089</v>
      </c>
      <c r="F18" s="33" t="n">
        <f aca="false">IF($G$4=1,"—",(C18-D18)*100)</f>
        <v>0.896269021703211</v>
      </c>
      <c r="G18" s="33"/>
      <c r="H18" s="33"/>
      <c r="I18" s="33" t="n">
        <f aca="false">(C18-E18)*100</f>
        <v>-0.356589363025583</v>
      </c>
      <c r="J18" s="33"/>
      <c r="K18" s="48" t="str">
        <f aca="false">IF(I18&gt;=0,"▲ above period average","▼ below period average")&amp;IF($G$4=1,""," · "&amp;IF(F18&gt;=0,"improved vs previous day","declined vs previous day"))</f>
        <v>▼ below period average · improved vs previous day</v>
      </c>
      <c r="L18" s="48"/>
      <c r="M18" s="48"/>
      <c r="N18" s="48"/>
      <c r="O18" s="48"/>
      <c r="P18" s="48"/>
    </row>
    <row r="19" customFormat="false" ht="18" hidden="false" customHeight="true" outlineLevel="0" collapsed="false">
      <c r="B19" s="49" t="s">
        <v>28</v>
      </c>
      <c r="C19" s="50" t="n">
        <f aca="false">INDEX('Daily Data'!$L$5:$L$19,$G$4)</f>
        <v>0.600604229607251</v>
      </c>
      <c r="D19" s="51" t="n">
        <f aca="false">IF($G$4=1,"—",IF($G$4=1,NA(),INDEX('Daily Data'!$L$5:$L$19,$G$4-1)))</f>
        <v>0.594069032571706</v>
      </c>
      <c r="E19" s="51" t="n">
        <f aca="false">'Daily Data'!L20</f>
        <v>0.597864921871637</v>
      </c>
      <c r="F19" s="52" t="n">
        <f aca="false">IF($G$4=1,"—",(C19-D19)*100)</f>
        <v>0.653519703554428</v>
      </c>
      <c r="G19" s="52"/>
      <c r="H19" s="52"/>
      <c r="I19" s="52" t="n">
        <f aca="false">(C19-E19)*100</f>
        <v>0.273930773561371</v>
      </c>
      <c r="J19" s="52"/>
      <c r="K19" s="53" t="str">
        <f aca="false">IF(I19&gt;=0,"▲ above period average","▼ below period average")&amp;IF($G$4=1,""," · "&amp;IF(F19&gt;=0,"improved vs previous day","declined vs previous day"))</f>
        <v>▲ above period average · improved vs previous day</v>
      </c>
      <c r="L19" s="53"/>
      <c r="M19" s="53"/>
      <c r="N19" s="53"/>
      <c r="O19" s="53"/>
      <c r="P19" s="53"/>
    </row>
    <row r="20" customFormat="false" ht="18" hidden="false" customHeight="true" outlineLevel="0" collapsed="false">
      <c r="B20" s="30" t="s">
        <v>49</v>
      </c>
      <c r="C20" s="31" t="n">
        <f aca="false">INDEX('Daily Data'!$O$5:$O$19,$G$4)</f>
        <v>0.267776096822995</v>
      </c>
      <c r="D20" s="47" t="n">
        <f aca="false">IF($G$4=1,"—",IF($G$4=1,NA(),INDEX('Daily Data'!$O$5:$O$19,$G$4-1)))</f>
        <v>0.25748502994012</v>
      </c>
      <c r="E20" s="47" t="n">
        <f aca="false">'Daily Data'!O20</f>
        <v>0.281631342324984</v>
      </c>
      <c r="F20" s="33" t="n">
        <f aca="false">IF($G$4=1,"—",(C20-D20)*100)</f>
        <v>1.02910668828757</v>
      </c>
      <c r="G20" s="33"/>
      <c r="H20" s="33"/>
      <c r="I20" s="33" t="n">
        <f aca="false">(C20-E20)*100</f>
        <v>-1.38552455019885</v>
      </c>
      <c r="J20" s="33"/>
      <c r="K20" s="48" t="str">
        <f aca="false">IF(I20&lt;=0,"▲ better (lower) than period average","▼ worse (higher) than period average")</f>
        <v>▲ better (lower) than period average</v>
      </c>
      <c r="L20" s="48"/>
      <c r="M20" s="48"/>
      <c r="N20" s="48"/>
      <c r="O20" s="48"/>
      <c r="P20" s="48"/>
    </row>
    <row r="21" customFormat="false" ht="18" hidden="false" customHeight="true" outlineLevel="0" collapsed="false">
      <c r="B21" s="49" t="s">
        <v>24</v>
      </c>
      <c r="C21" s="54" t="n">
        <f aca="false">INDEX('Daily Data'!$M$5:$M$19,$G$4)</f>
        <v>10.6948640483384</v>
      </c>
      <c r="D21" s="55" t="n">
        <f aca="false">IF($G$4=1,"—",IF($G$4=1,NA(),INDEX('Daily Data'!$M$5:$M$19,$G$4-1)))</f>
        <v>10.4521147301896</v>
      </c>
      <c r="E21" s="55" t="n">
        <f aca="false">'Daily Data'!M20</f>
        <v>11.3253841849253</v>
      </c>
      <c r="F21" s="56" t="n">
        <f aca="false">IF($G$4=1,"—",(C21-D21))</f>
        <v>0.242749318148782</v>
      </c>
      <c r="G21" s="56"/>
      <c r="H21" s="56"/>
      <c r="I21" s="56" t="n">
        <f aca="false">(C21-E21)</f>
        <v>-0.630520136586954</v>
      </c>
      <c r="J21" s="56"/>
      <c r="K21" s="53" t="str">
        <f aca="false">IF(I21&lt;=0,"▲ better (lower) than period average","▼ worse (higher) than period average")</f>
        <v>▲ better (lower) than period average</v>
      </c>
      <c r="L21" s="53"/>
      <c r="M21" s="53"/>
      <c r="N21" s="53"/>
      <c r="O21" s="53"/>
      <c r="P21" s="53"/>
    </row>
    <row r="22" customFormat="false" ht="18" hidden="false" customHeight="true" outlineLevel="0" collapsed="false">
      <c r="B22" s="30" t="s">
        <v>50</v>
      </c>
      <c r="C22" s="57" t="n">
        <f aca="false">INDEX('Daily Data'!$D$5:$D$19,$G$4)</f>
        <v>1655</v>
      </c>
      <c r="D22" s="39" t="n">
        <f aca="false">IF($G$4=1,"—",IF($G$4=1,NA(),INDEX('Daily Data'!$D$5:$D$19,$G$4-1)))</f>
        <v>2057</v>
      </c>
      <c r="E22" s="39" t="n">
        <f aca="false">'Daily Data'!D20/15</f>
        <v>1548.73333333333</v>
      </c>
      <c r="F22" s="58" t="n">
        <f aca="false">IF($G$4=1,"—",(C22-D22))</f>
        <v>-402</v>
      </c>
      <c r="G22" s="58"/>
      <c r="H22" s="58"/>
      <c r="I22" s="58" t="n">
        <f aca="false">(C22-E22)</f>
        <v>106.266666666667</v>
      </c>
      <c r="J22" s="58"/>
      <c r="K22" s="48" t="str">
        <f aca="false">IF(I22&gt;=0,"above period average","below period average")</f>
        <v>above period average</v>
      </c>
      <c r="L22" s="48"/>
      <c r="M22" s="48"/>
      <c r="N22" s="48"/>
      <c r="O22" s="48"/>
      <c r="P22" s="48"/>
    </row>
    <row r="23" customFormat="false" ht="18" hidden="false" customHeight="true" outlineLevel="0" collapsed="false">
      <c r="B23" s="49" t="s">
        <v>51</v>
      </c>
      <c r="C23" s="59" t="n">
        <f aca="false">INDEX('Daily Data'!$E$5:$E$19,$G$4)</f>
        <v>484</v>
      </c>
      <c r="D23" s="60" t="n">
        <f aca="false">IF($G$4=1,"—",IF($G$4=1,NA(),INDEX('Daily Data'!$E$5:$E$19,$G$4-1)))</f>
        <v>620</v>
      </c>
      <c r="E23" s="60" t="n">
        <f aca="false">'Daily Data'!E20</f>
        <v>6711</v>
      </c>
      <c r="F23" s="61" t="n">
        <f aca="false">IF($G$4=1,"—",(C23-D23))</f>
        <v>-136</v>
      </c>
      <c r="G23" s="61"/>
      <c r="H23" s="61"/>
      <c r="I23" s="61" t="n">
        <f aca="false">(C23-E23)</f>
        <v>-6227</v>
      </c>
      <c r="J23" s="61"/>
      <c r="K23" s="53" t="str">
        <f aca="false">IF(I23&gt;=0,"above period average","below period average")</f>
        <v>below period average</v>
      </c>
      <c r="L23" s="53"/>
      <c r="M23" s="53"/>
      <c r="N23" s="53"/>
      <c r="O23" s="53"/>
      <c r="P23" s="53"/>
    </row>
    <row r="24" customFormat="false" ht="18" hidden="false" customHeight="true" outlineLevel="0" collapsed="false">
      <c r="B24" s="30" t="s">
        <v>52</v>
      </c>
      <c r="C24" s="57" t="n">
        <f aca="false">INDEX('Daily Data'!$I$5:$I$19,$G$4)</f>
        <v>661</v>
      </c>
      <c r="D24" s="39" t="n">
        <f aca="false">IF($G$4=1,"—",IF($G$4=1,NA(),INDEX('Daily Data'!$I$5:$I$19,$G$4-1)))</f>
        <v>835</v>
      </c>
      <c r="E24" s="39" t="n">
        <f aca="false">'Daily Data'!I20</f>
        <v>9342</v>
      </c>
      <c r="F24" s="58" t="n">
        <f aca="false">IF($G$4=1,"—",(C24-D24))</f>
        <v>-174</v>
      </c>
      <c r="G24" s="58"/>
      <c r="H24" s="58"/>
      <c r="I24" s="58" t="n">
        <f aca="false">(C24-E24)</f>
        <v>-8681</v>
      </c>
      <c r="J24" s="58"/>
      <c r="K24" s="48" t="str">
        <f aca="false">IF(I24&gt;=0,"above period average","below period average")</f>
        <v>below period average</v>
      </c>
      <c r="L24" s="48"/>
      <c r="M24" s="48"/>
      <c r="N24" s="48"/>
      <c r="O24" s="48"/>
      <c r="P24" s="48"/>
    </row>
    <row r="26" customFormat="false" ht="15" hidden="false" customHeight="false" outlineLevel="0" collapsed="false">
      <c r="B26" s="62" t="s">
        <v>53</v>
      </c>
    </row>
  </sheetData>
  <mergeCells count="52">
    <mergeCell ref="B1:P1"/>
    <mergeCell ref="B2:P2"/>
    <mergeCell ref="C4:D4"/>
    <mergeCell ref="B6:D6"/>
    <mergeCell ref="F6:H6"/>
    <mergeCell ref="J6:L6"/>
    <mergeCell ref="N6:P6"/>
    <mergeCell ref="B7:D8"/>
    <mergeCell ref="F7:H8"/>
    <mergeCell ref="J7:L8"/>
    <mergeCell ref="N7:P8"/>
    <mergeCell ref="B9:D9"/>
    <mergeCell ref="F9:H9"/>
    <mergeCell ref="J9:L9"/>
    <mergeCell ref="N9:P9"/>
    <mergeCell ref="B11:D11"/>
    <mergeCell ref="F11:H11"/>
    <mergeCell ref="J11:L11"/>
    <mergeCell ref="N11:P11"/>
    <mergeCell ref="B12:D13"/>
    <mergeCell ref="F12:H13"/>
    <mergeCell ref="J12:L13"/>
    <mergeCell ref="N12:P13"/>
    <mergeCell ref="B14:D14"/>
    <mergeCell ref="F14:H14"/>
    <mergeCell ref="J14:L14"/>
    <mergeCell ref="N14:P14"/>
    <mergeCell ref="B16:P16"/>
    <mergeCell ref="F17:H17"/>
    <mergeCell ref="I17:J17"/>
    <mergeCell ref="K17:P17"/>
    <mergeCell ref="F18:H18"/>
    <mergeCell ref="I18:J18"/>
    <mergeCell ref="K18:P18"/>
    <mergeCell ref="F19:H19"/>
    <mergeCell ref="I19:J19"/>
    <mergeCell ref="K19:P19"/>
    <mergeCell ref="F20:H20"/>
    <mergeCell ref="I20:J20"/>
    <mergeCell ref="K20:P20"/>
    <mergeCell ref="F21:H21"/>
    <mergeCell ref="I21:J21"/>
    <mergeCell ref="K21:P21"/>
    <mergeCell ref="F22:H22"/>
    <mergeCell ref="I22:J22"/>
    <mergeCell ref="K22:P22"/>
    <mergeCell ref="F23:H23"/>
    <mergeCell ref="I23:J23"/>
    <mergeCell ref="K23:P23"/>
    <mergeCell ref="F24:H24"/>
    <mergeCell ref="I24:J24"/>
    <mergeCell ref="K24:P24"/>
  </mergeCells>
  <conditionalFormatting sqref="F18">
    <cfRule type="iconSet" priority="2">
      <iconSet iconSet="3Arrows">
        <cfvo type="num" val="-1000"/>
        <cfvo type="num" val="0"/>
        <cfvo type="num" val="0.0001"/>
      </iconSet>
    </cfRule>
  </conditionalFormatting>
  <conditionalFormatting sqref="I18">
    <cfRule type="iconSet" priority="3">
      <iconSet iconSet="3Arrows">
        <cfvo type="num" val="-1000"/>
        <cfvo type="num" val="0"/>
        <cfvo type="num" val="0.0001"/>
      </iconSet>
    </cfRule>
  </conditionalFormatting>
  <conditionalFormatting sqref="K18">
    <cfRule type="expression" priority="4" aboveAverage="0" equalAverage="0" bottom="0" percent="0" rank="0" text="" dxfId="2">
      <formula>I18&lt;0</formula>
    </cfRule>
    <cfRule type="expression" priority="5" aboveAverage="0" equalAverage="0" bottom="0" percent="0" rank="0" text="" dxfId="3">
      <formula>I18&gt;=0</formula>
    </cfRule>
  </conditionalFormatting>
  <conditionalFormatting sqref="F19">
    <cfRule type="iconSet" priority="6">
      <iconSet iconSet="3Arrows">
        <cfvo type="num" val="-1000"/>
        <cfvo type="num" val="0"/>
        <cfvo type="num" val="0.0001"/>
      </iconSet>
    </cfRule>
  </conditionalFormatting>
  <conditionalFormatting sqref="I19">
    <cfRule type="iconSet" priority="7">
      <iconSet iconSet="3Arrows">
        <cfvo type="num" val="-1000"/>
        <cfvo type="num" val="0"/>
        <cfvo type="num" val="0.0001"/>
      </iconSet>
    </cfRule>
  </conditionalFormatting>
  <conditionalFormatting sqref="K19">
    <cfRule type="expression" priority="8" aboveAverage="0" equalAverage="0" bottom="0" percent="0" rank="0" text="" dxfId="2">
      <formula>I19&lt;0</formula>
    </cfRule>
    <cfRule type="expression" priority="9" aboveAverage="0" equalAverage="0" bottom="0" percent="0" rank="0" text="" dxfId="3">
      <formula>I19&gt;=0</formula>
    </cfRule>
  </conditionalFormatting>
  <dataValidations count="1">
    <dataValidation allowBlank="false" errorStyle="stop" operator="between" showDropDown="false" showErrorMessage="false" showInputMessage="false" sqref="C4" type="list">
      <formula1>'Daily Data'!$A$5:$A$19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9C96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9" min="3" style="0" width="12"/>
    <col collapsed="false" customWidth="true" hidden="false" outlineLevel="0" max="10" min="10" style="0" width="2"/>
    <col collapsed="false" customWidth="true" hidden="false" outlineLevel="0" max="11" min="11" style="0" width="14"/>
    <col collapsed="false" customWidth="true" hidden="false" outlineLevel="0" max="18" min="12" style="0" width="12"/>
  </cols>
  <sheetData>
    <row r="1" customFormat="false" ht="25.5" hidden="false" customHeight="true" outlineLevel="0" collapsed="false">
      <c r="A1" s="1"/>
      <c r="B1" s="40" t="s">
        <v>54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customFormat="false" ht="15.75" hidden="false" customHeight="true" outlineLevel="0" collapsed="false">
      <c r="A2" s="1"/>
      <c r="B2" s="41" t="s">
        <v>55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4" customFormat="false" ht="19.5" hidden="false" customHeight="true" outlineLevel="0" collapsed="false">
      <c r="B4" s="28" t="s">
        <v>56</v>
      </c>
      <c r="C4" s="28"/>
      <c r="D4" s="28"/>
      <c r="E4" s="28"/>
      <c r="F4" s="28"/>
      <c r="G4" s="28"/>
      <c r="H4" s="28"/>
      <c r="I4" s="28"/>
      <c r="K4" s="28" t="s">
        <v>57</v>
      </c>
      <c r="L4" s="28"/>
      <c r="M4" s="28"/>
      <c r="N4" s="28"/>
      <c r="O4" s="28"/>
      <c r="P4" s="28"/>
      <c r="Q4" s="28"/>
      <c r="R4" s="28"/>
    </row>
    <row r="5" customFormat="false" ht="33.75" hidden="false" customHeight="true" outlineLevel="0" collapsed="false">
      <c r="B5" s="29" t="s">
        <v>58</v>
      </c>
      <c r="C5" s="29" t="s">
        <v>59</v>
      </c>
      <c r="D5" s="29" t="s">
        <v>60</v>
      </c>
      <c r="E5" s="29" t="s">
        <v>61</v>
      </c>
      <c r="F5" s="29" t="s">
        <v>62</v>
      </c>
      <c r="G5" s="29" t="s">
        <v>63</v>
      </c>
      <c r="H5" s="29" t="s">
        <v>64</v>
      </c>
      <c r="I5" s="29" t="s">
        <v>65</v>
      </c>
      <c r="K5" s="29" t="s">
        <v>58</v>
      </c>
      <c r="L5" s="29" t="s">
        <v>59</v>
      </c>
      <c r="M5" s="29" t="s">
        <v>60</v>
      </c>
      <c r="N5" s="29" t="s">
        <v>61</v>
      </c>
      <c r="O5" s="29" t="s">
        <v>62</v>
      </c>
      <c r="P5" s="29" t="s">
        <v>63</v>
      </c>
      <c r="Q5" s="29" t="s">
        <v>64</v>
      </c>
      <c r="R5" s="29" t="s">
        <v>65</v>
      </c>
    </row>
    <row r="6" customFormat="false" ht="13.5" hidden="false" customHeight="true" outlineLevel="0" collapsed="false">
      <c r="B6" s="63" t="s">
        <v>66</v>
      </c>
      <c r="C6" s="64" t="n">
        <v>46286</v>
      </c>
      <c r="D6" s="64" t="n">
        <v>46287</v>
      </c>
      <c r="E6" s="64" t="n">
        <v>46288</v>
      </c>
      <c r="F6" s="64" t="n">
        <v>46289</v>
      </c>
      <c r="G6" s="64" t="n">
        <v>46290</v>
      </c>
      <c r="H6" s="64" t="n">
        <v>46291</v>
      </c>
      <c r="I6" s="64" t="n">
        <v>46292</v>
      </c>
      <c r="K6" s="63" t="s">
        <v>66</v>
      </c>
      <c r="L6" s="64" t="n">
        <v>46286</v>
      </c>
      <c r="M6" s="64" t="n">
        <v>46287</v>
      </c>
      <c r="N6" s="64" t="n">
        <v>46288</v>
      </c>
      <c r="O6" s="64" t="n">
        <v>46289</v>
      </c>
      <c r="P6" s="64" t="n">
        <v>46290</v>
      </c>
      <c r="Q6" s="64" t="n">
        <v>46291</v>
      </c>
      <c r="R6" s="64" t="n">
        <v>46292</v>
      </c>
    </row>
    <row r="7" customFormat="false" ht="25.5" hidden="false" customHeight="true" outlineLevel="0" collapsed="false">
      <c r="B7" s="63"/>
      <c r="C7" s="37" t="str">
        <f aca="false">IFERROR(INDEX('Daily Data'!$H$5:$H$19,MATCH(C6,'Daily Data'!$A$5:$A$19,0)),"")</f>
        <v/>
      </c>
      <c r="D7" s="37" t="n">
        <f aca="false">IFERROR(INDEX('Daily Data'!$H$5:$H$19,MATCH(D6,'Daily Data'!$A$5:$A$19,0)),"")</f>
        <v>0.738500315059861</v>
      </c>
      <c r="E7" s="37" t="n">
        <f aca="false">IFERROR(INDEX('Daily Data'!$H$5:$H$19,MATCH(E6,'Daily Data'!$A$5:$A$19,0)),"")</f>
        <v>0.709575142675967</v>
      </c>
      <c r="F7" s="37" t="n">
        <f aca="false">IFERROR(INDEX('Daily Data'!$H$5:$H$19,MATCH(F6,'Daily Data'!$A$5:$A$19,0)),"")</f>
        <v>0.726670347874103</v>
      </c>
      <c r="G7" s="37" t="n">
        <f aca="false">IFERROR(INDEX('Daily Data'!$H$5:$H$19,MATCH(G6,'Daily Data'!$A$5:$A$19,0)),"")</f>
        <v>0.714130434782609</v>
      </c>
      <c r="H7" s="37" t="n">
        <f aca="false">IFERROR(INDEX('Daily Data'!$H$5:$H$19,MATCH(H6,'Daily Data'!$A$5:$A$19,0)),"")</f>
        <v>0.725039619651347</v>
      </c>
      <c r="I7" s="37" t="n">
        <f aca="false">IFERROR(INDEX('Daily Data'!$H$5:$H$19,MATCH(I6,'Daily Data'!$A$5:$A$19,0)),"")</f>
        <v>0.727668845315904</v>
      </c>
      <c r="K7" s="63"/>
      <c r="L7" s="37" t="str">
        <f aca="false">IFERROR(INDEX('Daily Data'!$L$5:$L$19,MATCH(L6,'Daily Data'!$A$5:$A$19,0)),"")</f>
        <v/>
      </c>
      <c r="M7" s="37" t="n">
        <f aca="false">IFERROR(INDEX('Daily Data'!$L$5:$L$19,MATCH(M6,'Daily Data'!$A$5:$A$19,0)),"")</f>
        <v>0.630119722747322</v>
      </c>
      <c r="N7" s="37" t="n">
        <f aca="false">IFERROR(INDEX('Daily Data'!$L$5:$L$19,MATCH(N6,'Daily Data'!$A$5:$A$19,0)),"")</f>
        <v>0.582117945466075</v>
      </c>
      <c r="O7" s="37" t="n">
        <f aca="false">IFERROR(INDEX('Daily Data'!$L$5:$L$19,MATCH(O6,'Daily Data'!$A$5:$A$19,0)),"")</f>
        <v>0.614577581446715</v>
      </c>
      <c r="P7" s="37" t="n">
        <f aca="false">IFERROR(INDEX('Daily Data'!$L$5:$L$19,MATCH(P6,'Daily Data'!$A$5:$A$19,0)),"")</f>
        <v>0.5875</v>
      </c>
      <c r="Q7" s="37" t="n">
        <f aca="false">IFERROR(INDEX('Daily Data'!$L$5:$L$19,MATCH(Q6,'Daily Data'!$A$5:$A$19,0)),"")</f>
        <v>0.615689381933439</v>
      </c>
      <c r="R7" s="37" t="n">
        <f aca="false">IFERROR(INDEX('Daily Data'!$L$5:$L$19,MATCH(R6,'Daily Data'!$A$5:$A$19,0)),"")</f>
        <v>0.596949891067538</v>
      </c>
    </row>
    <row r="8" customFormat="false" ht="13.5" hidden="false" customHeight="true" outlineLevel="0" collapsed="false">
      <c r="B8" s="63" t="s">
        <v>67</v>
      </c>
      <c r="C8" s="64" t="n">
        <v>46293</v>
      </c>
      <c r="D8" s="64" t="n">
        <v>46294</v>
      </c>
      <c r="E8" s="64" t="n">
        <v>46295</v>
      </c>
      <c r="F8" s="64" t="n">
        <v>46296</v>
      </c>
      <c r="G8" s="64" t="n">
        <v>46297</v>
      </c>
      <c r="H8" s="64" t="n">
        <v>46298</v>
      </c>
      <c r="I8" s="64" t="n">
        <v>46299</v>
      </c>
      <c r="K8" s="63" t="s">
        <v>67</v>
      </c>
      <c r="L8" s="64" t="n">
        <v>46293</v>
      </c>
      <c r="M8" s="64" t="n">
        <v>46294</v>
      </c>
      <c r="N8" s="64" t="n">
        <v>46295</v>
      </c>
      <c r="O8" s="64" t="n">
        <v>46296</v>
      </c>
      <c r="P8" s="64" t="n">
        <v>46297</v>
      </c>
      <c r="Q8" s="64" t="n">
        <v>46298</v>
      </c>
      <c r="R8" s="64" t="n">
        <v>46299</v>
      </c>
    </row>
    <row r="9" customFormat="false" ht="25.5" hidden="false" customHeight="true" outlineLevel="0" collapsed="false">
      <c r="B9" s="63"/>
      <c r="C9" s="37" t="n">
        <f aca="false">IFERROR(INDEX('Daily Data'!$H$5:$H$19,MATCH(C8,'Daily Data'!$A$5:$A$19,0)),"")</f>
        <v>0.735587583148559</v>
      </c>
      <c r="D9" s="37" t="n">
        <f aca="false">IFERROR(INDEX('Daily Data'!$H$5:$H$19,MATCH(D8,'Daily Data'!$A$5:$A$19,0)),"")</f>
        <v>0.70694259012016</v>
      </c>
      <c r="E9" s="37" t="n">
        <f aca="false">IFERROR(INDEX('Daily Data'!$H$5:$H$19,MATCH(E8,'Daily Data'!$A$5:$A$19,0)),"")</f>
        <v>0.70813679245283</v>
      </c>
      <c r="F9" s="37" t="n">
        <f aca="false">IFERROR(INDEX('Daily Data'!$H$5:$H$19,MATCH(F8,'Daily Data'!$A$5:$A$19,0)),"")</f>
        <v>0.675239234449761</v>
      </c>
      <c r="G9" s="37" t="n">
        <f aca="false">IFERROR(INDEX('Daily Data'!$H$5:$H$19,MATCH(G8,'Daily Data'!$A$5:$A$19,0)),"")</f>
        <v>0.689899586532782</v>
      </c>
      <c r="H9" s="37" t="n">
        <f aca="false">IFERROR(INDEX('Daily Data'!$H$5:$H$19,MATCH(H8,'Daily Data'!$A$5:$A$19,0)),"")</f>
        <v>0.716430358632194</v>
      </c>
      <c r="I9" s="37" t="n">
        <f aca="false">IFERROR(INDEX('Daily Data'!$H$5:$H$19,MATCH(I8,'Daily Data'!$A$5:$A$19,0)),"")</f>
        <v>0.691268191268191</v>
      </c>
      <c r="K9" s="63"/>
      <c r="L9" s="37" t="n">
        <f aca="false">IFERROR(INDEX('Daily Data'!$L$5:$L$19,MATCH(L8,'Daily Data'!$A$5:$A$19,0)),"")</f>
        <v>0.615853658536585</v>
      </c>
      <c r="M9" s="37" t="n">
        <f aca="false">IFERROR(INDEX('Daily Data'!$L$5:$L$19,MATCH(M8,'Daily Data'!$A$5:$A$19,0)),"")</f>
        <v>0.605473965287049</v>
      </c>
      <c r="N9" s="37" t="n">
        <f aca="false">IFERROR(INDEX('Daily Data'!$L$5:$L$19,MATCH(N8,'Daily Data'!$A$5:$A$19,0)),"")</f>
        <v>0.603183962264151</v>
      </c>
      <c r="O9" s="37" t="n">
        <f aca="false">IFERROR(INDEX('Daily Data'!$L$5:$L$19,MATCH(O8,'Daily Data'!$A$5:$A$19,0)),"")</f>
        <v>0.571172248803828</v>
      </c>
      <c r="P9" s="37" t="n">
        <f aca="false">IFERROR(INDEX('Daily Data'!$L$5:$L$19,MATCH(P8,'Daily Data'!$A$5:$A$19,0)),"")</f>
        <v>0.569403425871235</v>
      </c>
      <c r="Q9" s="37" t="n">
        <f aca="false">IFERROR(INDEX('Daily Data'!$L$5:$L$19,MATCH(Q8,'Daily Data'!$A$5:$A$19,0)),"")</f>
        <v>0.590492076730609</v>
      </c>
      <c r="R9" s="37" t="n">
        <f aca="false">IFERROR(INDEX('Daily Data'!$L$5:$L$19,MATCH(R8,'Daily Data'!$A$5:$A$19,0)),"")</f>
        <v>0.590436590436591</v>
      </c>
    </row>
    <row r="10" customFormat="false" ht="13.5" hidden="false" customHeight="true" outlineLevel="0" collapsed="false">
      <c r="B10" s="63" t="s">
        <v>68</v>
      </c>
      <c r="C10" s="64" t="n">
        <v>46300</v>
      </c>
      <c r="D10" s="64" t="n">
        <v>46301</v>
      </c>
      <c r="E10" s="64" t="n">
        <v>46302</v>
      </c>
      <c r="F10" s="64" t="n">
        <v>46303</v>
      </c>
      <c r="G10" s="64" t="n">
        <v>46304</v>
      </c>
      <c r="H10" s="64" t="n">
        <v>46305</v>
      </c>
      <c r="I10" s="64" t="n">
        <v>46306</v>
      </c>
      <c r="K10" s="63" t="s">
        <v>68</v>
      </c>
      <c r="L10" s="64" t="n">
        <v>46300</v>
      </c>
      <c r="M10" s="64" t="n">
        <v>46301</v>
      </c>
      <c r="N10" s="64" t="n">
        <v>46302</v>
      </c>
      <c r="O10" s="64" t="n">
        <v>46303</v>
      </c>
      <c r="P10" s="64" t="n">
        <v>46304</v>
      </c>
      <c r="Q10" s="64" t="n">
        <v>46305</v>
      </c>
      <c r="R10" s="64" t="n">
        <v>46306</v>
      </c>
    </row>
    <row r="11" customFormat="false" ht="25.5" hidden="false" customHeight="true" outlineLevel="0" collapsed="false">
      <c r="B11" s="63"/>
      <c r="C11" s="37" t="n">
        <f aca="false">IFERROR(INDEX('Daily Data'!$H$5:$H$19,MATCH(C10,'Daily Data'!$A$5:$A$19,0)),"")</f>
        <v>0.698590179873602</v>
      </c>
      <c r="D11" s="37" t="n">
        <f aca="false">IFERROR(INDEX('Daily Data'!$H$5:$H$19,MATCH(D10,'Daily Data'!$A$5:$A$19,0)),"")</f>
        <v>0.707552870090634</v>
      </c>
      <c r="E11" s="37" t="str">
        <f aca="false">IFERROR(INDEX('Daily Data'!$H$5:$H$19,MATCH(E10,'Daily Data'!$A$5:$A$19,0)),"")</f>
        <v/>
      </c>
      <c r="F11" s="37" t="str">
        <f aca="false">IFERROR(INDEX('Daily Data'!$H$5:$H$19,MATCH(F10,'Daily Data'!$A$5:$A$19,0)),"")</f>
        <v/>
      </c>
      <c r="G11" s="37" t="str">
        <f aca="false">IFERROR(INDEX('Daily Data'!$H$5:$H$19,MATCH(G10,'Daily Data'!$A$5:$A$19,0)),"")</f>
        <v/>
      </c>
      <c r="H11" s="37" t="str">
        <f aca="false">IFERROR(INDEX('Daily Data'!$H$5:$H$19,MATCH(H10,'Daily Data'!$A$5:$A$19,0)),"")</f>
        <v/>
      </c>
      <c r="I11" s="37" t="str">
        <f aca="false">IFERROR(INDEX('Daily Data'!$H$5:$H$19,MATCH(I10,'Daily Data'!$A$5:$A$19,0)),"")</f>
        <v/>
      </c>
      <c r="K11" s="63"/>
      <c r="L11" s="37" t="n">
        <f aca="false">IFERROR(INDEX('Daily Data'!$L$5:$L$19,MATCH(L10,'Daily Data'!$A$5:$A$19,0)),"")</f>
        <v>0.594069032571706</v>
      </c>
      <c r="M11" s="37" t="n">
        <f aca="false">IFERROR(INDEX('Daily Data'!$L$5:$L$19,MATCH(M10,'Daily Data'!$A$5:$A$19,0)),"")</f>
        <v>0.600604229607251</v>
      </c>
      <c r="N11" s="37" t="str">
        <f aca="false">IFERROR(INDEX('Daily Data'!$L$5:$L$19,MATCH(N10,'Daily Data'!$A$5:$A$19,0)),"")</f>
        <v/>
      </c>
      <c r="O11" s="37" t="str">
        <f aca="false">IFERROR(INDEX('Daily Data'!$L$5:$L$19,MATCH(O10,'Daily Data'!$A$5:$A$19,0)),"")</f>
        <v/>
      </c>
      <c r="P11" s="37" t="str">
        <f aca="false">IFERROR(INDEX('Daily Data'!$L$5:$L$19,MATCH(P10,'Daily Data'!$A$5:$A$19,0)),"")</f>
        <v/>
      </c>
      <c r="Q11" s="37" t="str">
        <f aca="false">IFERROR(INDEX('Daily Data'!$L$5:$L$19,MATCH(Q10,'Daily Data'!$A$5:$A$19,0)),"")</f>
        <v/>
      </c>
      <c r="R11" s="37" t="str">
        <f aca="false">IFERROR(INDEX('Daily Data'!$L$5:$L$19,MATCH(R10,'Daily Data'!$A$5:$A$19,0)),"")</f>
        <v/>
      </c>
    </row>
    <row r="13" customFormat="false" ht="19.5" hidden="false" customHeight="true" outlineLevel="0" collapsed="false">
      <c r="B13" s="28" t="s">
        <v>69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</row>
    <row r="14" customFormat="false" ht="33.75" hidden="false" customHeight="true" outlineLevel="0" collapsed="false">
      <c r="B14" s="29" t="s">
        <v>30</v>
      </c>
      <c r="C14" s="29" t="s">
        <v>34</v>
      </c>
      <c r="D14" s="29" t="s">
        <v>27</v>
      </c>
      <c r="E14" s="29" t="s">
        <v>70</v>
      </c>
      <c r="F14" s="29" t="s">
        <v>28</v>
      </c>
      <c r="G14" s="29" t="s">
        <v>71</v>
      </c>
      <c r="H14" s="29" t="s">
        <v>24</v>
      </c>
      <c r="I14" s="29" t="s">
        <v>72</v>
      </c>
      <c r="J14" s="29" t="s">
        <v>49</v>
      </c>
      <c r="K14" s="29" t="s">
        <v>73</v>
      </c>
      <c r="L14" s="29" t="s">
        <v>74</v>
      </c>
      <c r="M14" s="29" t="s">
        <v>75</v>
      </c>
      <c r="N14" s="29" t="s">
        <v>76</v>
      </c>
      <c r="O14" s="29" t="s">
        <v>77</v>
      </c>
      <c r="P14" s="29" t="s">
        <v>58</v>
      </c>
    </row>
    <row r="15" customFormat="false" ht="18" hidden="false" customHeight="true" outlineLevel="0" collapsed="false">
      <c r="B15" s="65" t="n">
        <f aca="false">'Daily Data'!A5</f>
        <v>46287</v>
      </c>
      <c r="C15" s="39" t="n">
        <f aca="false">'Daily Data'!D5</f>
        <v>1587</v>
      </c>
      <c r="D15" s="31" t="n">
        <f aca="false">'Daily Data'!H5</f>
        <v>0.738500315059861</v>
      </c>
      <c r="E15" s="66" t="s">
        <v>78</v>
      </c>
      <c r="F15" s="31" t="n">
        <f aca="false">'Daily Data'!L5</f>
        <v>0.630119722747322</v>
      </c>
      <c r="G15" s="66" t="s">
        <v>78</v>
      </c>
      <c r="H15" s="67" t="n">
        <f aca="false">'Daily Data'!M5</f>
        <v>10.8380592312539</v>
      </c>
      <c r="I15" s="39" t="n">
        <f aca="false">'Daily Data'!N5</f>
        <v>172</v>
      </c>
      <c r="J15" s="47" t="n">
        <f aca="false">'Daily Data'!O5</f>
        <v>0.293015332197615</v>
      </c>
      <c r="K15" s="47" t="n">
        <f aca="false">'Daily Data'!P5</f>
        <v>0.261499684940139</v>
      </c>
      <c r="L15" s="47" t="n">
        <f aca="false">'Daily Data'!Q5</f>
        <v>0.369880277252678</v>
      </c>
      <c r="M15" s="47" t="n">
        <f aca="false">'Daily Data'!X5</f>
        <v>0.0562180579216354</v>
      </c>
      <c r="N15" s="66" t="n">
        <f aca="false">'Daily Data'!Y5</f>
        <v>2.73815513389711</v>
      </c>
      <c r="O15" s="66" t="n">
        <f aca="false">'Daily Data'!Z5</f>
        <v>3.2254800875685</v>
      </c>
      <c r="P15" s="68" t="str">
        <f aca="false">'Daily Data'!C5</f>
        <v>Wk1 (22-28 Sep)</v>
      </c>
    </row>
    <row r="16" customFormat="false" ht="18" hidden="false" customHeight="true" outlineLevel="0" collapsed="false">
      <c r="B16" s="65" t="n">
        <f aca="false">'Daily Data'!A6</f>
        <v>46288</v>
      </c>
      <c r="C16" s="39" t="n">
        <f aca="false">'Daily Data'!D6</f>
        <v>1577</v>
      </c>
      <c r="D16" s="31" t="n">
        <f aca="false">'Daily Data'!H6</f>
        <v>0.709575142675967</v>
      </c>
      <c r="E16" s="66" t="n">
        <f aca="false">'Daily Data'!R6</f>
        <v>-2.89251723838943</v>
      </c>
      <c r="F16" s="31" t="n">
        <f aca="false">'Daily Data'!L6</f>
        <v>0.582117945466075</v>
      </c>
      <c r="G16" s="66" t="n">
        <f aca="false">'Daily Data'!S6</f>
        <v>-4.80017772812472</v>
      </c>
      <c r="H16" s="67" t="n">
        <f aca="false">'Daily Data'!M6</f>
        <v>12.7457197209892</v>
      </c>
      <c r="I16" s="39" t="n">
        <f aca="false">'Daily Data'!N6</f>
        <v>201</v>
      </c>
      <c r="J16" s="47" t="n">
        <f aca="false">'Daily Data'!O6</f>
        <v>0.305007587253414</v>
      </c>
      <c r="K16" s="47" t="n">
        <f aca="false">'Daily Data'!P6</f>
        <v>0.290424857324033</v>
      </c>
      <c r="L16" s="47" t="n">
        <f aca="false">'Daily Data'!Q6</f>
        <v>0.417882054533925</v>
      </c>
      <c r="M16" s="47" t="n">
        <f aca="false">'Daily Data'!X6</f>
        <v>0.0531107738998483</v>
      </c>
      <c r="N16" s="66" t="n">
        <f aca="false">'Daily Data'!Y6</f>
        <v>-0.154362104492312</v>
      </c>
      <c r="O16" s="66" t="n">
        <f aca="false">'Daily Data'!Z6</f>
        <v>-1.57469764055622</v>
      </c>
      <c r="P16" s="68" t="str">
        <f aca="false">'Daily Data'!C6</f>
        <v>Wk1 (22-28 Sep)</v>
      </c>
    </row>
    <row r="17" customFormat="false" ht="18" hidden="false" customHeight="true" outlineLevel="0" collapsed="false">
      <c r="B17" s="65" t="n">
        <f aca="false">'Daily Data'!A7</f>
        <v>46289</v>
      </c>
      <c r="C17" s="39" t="n">
        <f aca="false">'Daily Data'!D7</f>
        <v>1811</v>
      </c>
      <c r="D17" s="31" t="n">
        <f aca="false">'Daily Data'!H7</f>
        <v>0.726670347874103</v>
      </c>
      <c r="E17" s="66" t="n">
        <f aca="false">'Daily Data'!R7</f>
        <v>1.70952051981357</v>
      </c>
      <c r="F17" s="31" t="n">
        <f aca="false">'Daily Data'!L7</f>
        <v>0.614577581446715</v>
      </c>
      <c r="G17" s="66" t="n">
        <f aca="false">'Daily Data'!S7</f>
        <v>3.24596359806397</v>
      </c>
      <c r="H17" s="67" t="n">
        <f aca="false">'Daily Data'!M7</f>
        <v>11.2092766427388</v>
      </c>
      <c r="I17" s="39" t="n">
        <f aca="false">'Daily Data'!N7</f>
        <v>203</v>
      </c>
      <c r="J17" s="47" t="n">
        <f aca="false">'Daily Data'!O7</f>
        <v>0.290830945558739</v>
      </c>
      <c r="K17" s="47" t="n">
        <f aca="false">'Daily Data'!P7</f>
        <v>0.273329652125897</v>
      </c>
      <c r="L17" s="47" t="n">
        <f aca="false">'Daily Data'!Q7</f>
        <v>0.385422418553285</v>
      </c>
      <c r="M17" s="47" t="n">
        <f aca="false">'Daily Data'!X7</f>
        <v>0.0530085959885387</v>
      </c>
      <c r="N17" s="66" t="n">
        <f aca="false">'Daily Data'!Y7</f>
        <v>1.55515841532126</v>
      </c>
      <c r="O17" s="66" t="n">
        <f aca="false">'Daily Data'!Z7</f>
        <v>1.67126595750775</v>
      </c>
      <c r="P17" s="68" t="str">
        <f aca="false">'Daily Data'!C7</f>
        <v>Wk1 (22-28 Sep)</v>
      </c>
    </row>
    <row r="18" customFormat="false" ht="18" hidden="false" customHeight="true" outlineLevel="0" collapsed="false">
      <c r="B18" s="65" t="n">
        <f aca="false">'Daily Data'!A8</f>
        <v>46290</v>
      </c>
      <c r="C18" s="39" t="n">
        <f aca="false">'Daily Data'!D8</f>
        <v>1840</v>
      </c>
      <c r="D18" s="31" t="n">
        <f aca="false">'Daily Data'!H8</f>
        <v>0.714130434782609</v>
      </c>
      <c r="E18" s="66" t="n">
        <f aca="false">'Daily Data'!R8</f>
        <v>-1.2539913091494</v>
      </c>
      <c r="F18" s="31" t="n">
        <f aca="false">'Daily Data'!L8</f>
        <v>0.5875</v>
      </c>
      <c r="G18" s="66" t="n">
        <f aca="false">'Daily Data'!S8</f>
        <v>-2.70775814467145</v>
      </c>
      <c r="H18" s="67" t="n">
        <f aca="false">'Daily Data'!M8</f>
        <v>12.6630434782609</v>
      </c>
      <c r="I18" s="39" t="n">
        <f aca="false">'Daily Data'!N8</f>
        <v>233</v>
      </c>
      <c r="J18" s="47" t="n">
        <f aca="false">'Daily Data'!O8</f>
        <v>0.306982872200264</v>
      </c>
      <c r="K18" s="47" t="n">
        <f aca="false">'Daily Data'!P8</f>
        <v>0.285869565217391</v>
      </c>
      <c r="L18" s="47" t="n">
        <f aca="false">'Daily Data'!Q8</f>
        <v>0.4125</v>
      </c>
      <c r="M18" s="47" t="n">
        <f aca="false">'Daily Data'!X8</f>
        <v>0.0368906455862978</v>
      </c>
      <c r="N18" s="66" t="n">
        <f aca="false">'Daily Data'!Y8</f>
        <v>0.301167106171851</v>
      </c>
      <c r="O18" s="66" t="n">
        <f aca="false">'Daily Data'!Z8</f>
        <v>-1.0364921871637</v>
      </c>
      <c r="P18" s="68" t="str">
        <f aca="false">'Daily Data'!C8</f>
        <v>Wk1 (22-28 Sep)</v>
      </c>
    </row>
    <row r="19" customFormat="false" ht="18" hidden="false" customHeight="true" outlineLevel="0" collapsed="false">
      <c r="B19" s="65" t="n">
        <f aca="false">'Daily Data'!A9</f>
        <v>46291</v>
      </c>
      <c r="C19" s="39" t="n">
        <f aca="false">'Daily Data'!D9</f>
        <v>1262</v>
      </c>
      <c r="D19" s="31" t="n">
        <f aca="false">'Daily Data'!H9</f>
        <v>0.725039619651347</v>
      </c>
      <c r="E19" s="66" t="n">
        <f aca="false">'Daily Data'!R9</f>
        <v>1.09091848687384</v>
      </c>
      <c r="F19" s="31" t="n">
        <f aca="false">'Daily Data'!L9</f>
        <v>0.615689381933439</v>
      </c>
      <c r="G19" s="66" t="n">
        <f aca="false">'Daily Data'!S9</f>
        <v>2.8189381933439</v>
      </c>
      <c r="H19" s="67" t="n">
        <f aca="false">'Daily Data'!M9</f>
        <v>10.9350237717908</v>
      </c>
      <c r="I19" s="39" t="n">
        <f aca="false">'Daily Data'!N9</f>
        <v>138</v>
      </c>
      <c r="J19" s="47" t="n">
        <f aca="false">'Daily Data'!O9</f>
        <v>0.284536082474227</v>
      </c>
      <c r="K19" s="47" t="n">
        <f aca="false">'Daily Data'!P9</f>
        <v>0.274960380348653</v>
      </c>
      <c r="L19" s="47" t="n">
        <f aca="false">'Daily Data'!Q9</f>
        <v>0.384310618066561</v>
      </c>
      <c r="M19" s="47" t="n">
        <f aca="false">'Daily Data'!X9</f>
        <v>0.0639175257731959</v>
      </c>
      <c r="N19" s="66" t="n">
        <f aca="false">'Daily Data'!Y9</f>
        <v>1.39208559304569</v>
      </c>
      <c r="O19" s="66" t="n">
        <f aca="false">'Daily Data'!Z9</f>
        <v>1.78244600618021</v>
      </c>
      <c r="P19" s="68" t="str">
        <f aca="false">'Daily Data'!C9</f>
        <v>Wk1 (22-28 Sep)</v>
      </c>
    </row>
    <row r="20" customFormat="false" ht="18" hidden="false" customHeight="true" outlineLevel="0" collapsed="false">
      <c r="B20" s="65" t="n">
        <f aca="false">'Daily Data'!A10</f>
        <v>46292</v>
      </c>
      <c r="C20" s="39" t="n">
        <f aca="false">'Daily Data'!D10</f>
        <v>918</v>
      </c>
      <c r="D20" s="31" t="n">
        <f aca="false">'Daily Data'!H10</f>
        <v>0.727668845315904</v>
      </c>
      <c r="E20" s="66" t="n">
        <f aca="false">'Daily Data'!R10</f>
        <v>0.262922566455703</v>
      </c>
      <c r="F20" s="31" t="n">
        <f aca="false">'Daily Data'!L10</f>
        <v>0.596949891067538</v>
      </c>
      <c r="G20" s="66" t="n">
        <f aca="false">'Daily Data'!S10</f>
        <v>-1.87394908659009</v>
      </c>
      <c r="H20" s="67" t="n">
        <f aca="false">'Daily Data'!M10</f>
        <v>13.0718954248366</v>
      </c>
      <c r="I20" s="39" t="n">
        <f aca="false">'Daily Data'!N10</f>
        <v>120</v>
      </c>
      <c r="J20" s="47" t="n">
        <f aca="false">'Daily Data'!O10</f>
        <v>0.324324324324324</v>
      </c>
      <c r="K20" s="47" t="n">
        <f aca="false">'Daily Data'!P10</f>
        <v>0.272331154684096</v>
      </c>
      <c r="L20" s="47" t="n">
        <f aca="false">'Daily Data'!Q10</f>
        <v>0.403050108932462</v>
      </c>
      <c r="M20" s="47" t="n">
        <f aca="false">'Daily Data'!X10</f>
        <v>0.0594594594594595</v>
      </c>
      <c r="N20" s="66" t="n">
        <f aca="false">'Daily Data'!Y10</f>
        <v>1.65500815950139</v>
      </c>
      <c r="O20" s="66" t="n">
        <f aca="false">'Daily Data'!Z10</f>
        <v>-0.0915030804098826</v>
      </c>
      <c r="P20" s="68" t="str">
        <f aca="false">'Daily Data'!C10</f>
        <v>Wk1 (22-28 Sep)</v>
      </c>
    </row>
    <row r="21" customFormat="false" ht="18" hidden="false" customHeight="true" outlineLevel="0" collapsed="false">
      <c r="B21" s="65" t="n">
        <f aca="false">'Daily Data'!A11</f>
        <v>46293</v>
      </c>
      <c r="C21" s="39" t="n">
        <f aca="false">'Daily Data'!D11</f>
        <v>1804</v>
      </c>
      <c r="D21" s="31" t="n">
        <f aca="false">'Daily Data'!H11</f>
        <v>0.735587583148559</v>
      </c>
      <c r="E21" s="66" t="n">
        <f aca="false">'Daily Data'!R11</f>
        <v>0.791873783265462</v>
      </c>
      <c r="F21" s="31" t="n">
        <f aca="false">'Daily Data'!L11</f>
        <v>0.615853658536585</v>
      </c>
      <c r="G21" s="66" t="n">
        <f aca="false">'Daily Data'!S11</f>
        <v>1.89037674690472</v>
      </c>
      <c r="H21" s="67" t="n">
        <f aca="false">'Daily Data'!M11</f>
        <v>11.9733924611973</v>
      </c>
      <c r="I21" s="39" t="n">
        <f aca="false">'Daily Data'!N11</f>
        <v>216</v>
      </c>
      <c r="J21" s="47" t="n">
        <f aca="false">'Daily Data'!O11</f>
        <v>0.311688311688312</v>
      </c>
      <c r="K21" s="47" t="n">
        <f aca="false">'Daily Data'!P11</f>
        <v>0.264412416851441</v>
      </c>
      <c r="L21" s="47" t="n">
        <f aca="false">'Daily Data'!Q11</f>
        <v>0.384146341463415</v>
      </c>
      <c r="M21" s="47" t="n">
        <f aca="false">'Daily Data'!X11</f>
        <v>0.0562770562770563</v>
      </c>
      <c r="N21" s="66" t="n">
        <f aca="false">'Daily Data'!Y11</f>
        <v>2.44688194276685</v>
      </c>
      <c r="O21" s="66" t="n">
        <f aca="false">'Daily Data'!Z11</f>
        <v>1.79887366649484</v>
      </c>
      <c r="P21" s="68" t="str">
        <f aca="false">'Daily Data'!C11</f>
        <v>Wk1 (22-28 Sep)</v>
      </c>
    </row>
    <row r="22" customFormat="false" ht="18" hidden="false" customHeight="true" outlineLevel="0" collapsed="false">
      <c r="B22" s="65" t="n">
        <f aca="false">'Daily Data'!A12</f>
        <v>46294</v>
      </c>
      <c r="C22" s="39" t="n">
        <f aca="false">'Daily Data'!D12</f>
        <v>1498</v>
      </c>
      <c r="D22" s="31" t="n">
        <f aca="false">'Daily Data'!H12</f>
        <v>0.70694259012016</v>
      </c>
      <c r="E22" s="66" t="n">
        <f aca="false">'Daily Data'!R12</f>
        <v>-2.86449930283985</v>
      </c>
      <c r="F22" s="31" t="n">
        <f aca="false">'Daily Data'!L12</f>
        <v>0.605473965287049</v>
      </c>
      <c r="G22" s="66" t="n">
        <f aca="false">'Daily Data'!S12</f>
        <v>-1.0379693249536</v>
      </c>
      <c r="H22" s="67" t="n">
        <f aca="false">'Daily Data'!M12</f>
        <v>10.1468624833111</v>
      </c>
      <c r="I22" s="39" t="n">
        <f aca="false">'Daily Data'!N12</f>
        <v>152</v>
      </c>
      <c r="J22" s="47" t="n">
        <f aca="false">'Daily Data'!O12</f>
        <v>0.257191201353638</v>
      </c>
      <c r="K22" s="47" t="n">
        <f aca="false">'Daily Data'!P12</f>
        <v>0.29305740987984</v>
      </c>
      <c r="L22" s="47" t="n">
        <f aca="false">'Daily Data'!Q12</f>
        <v>0.394526034712951</v>
      </c>
      <c r="M22" s="47" t="n">
        <f aca="false">'Daily Data'!X12</f>
        <v>0.0541455160744501</v>
      </c>
      <c r="N22" s="66" t="n">
        <f aca="false">'Daily Data'!Y12</f>
        <v>-0.417617360072997</v>
      </c>
      <c r="O22" s="66" t="n">
        <f aca="false">'Daily Data'!Z12</f>
        <v>0.760904341541235</v>
      </c>
      <c r="P22" s="68" t="str">
        <f aca="false">'Daily Data'!C12</f>
        <v>Wk2 (29 Sep-5 Oct)</v>
      </c>
    </row>
    <row r="23" customFormat="false" ht="18" hidden="false" customHeight="true" outlineLevel="0" collapsed="false">
      <c r="B23" s="65" t="n">
        <f aca="false">'Daily Data'!A13</f>
        <v>46295</v>
      </c>
      <c r="C23" s="39" t="n">
        <f aca="false">'Daily Data'!D13</f>
        <v>1696</v>
      </c>
      <c r="D23" s="31" t="n">
        <f aca="false">'Daily Data'!H13</f>
        <v>0.70813679245283</v>
      </c>
      <c r="E23" s="66" t="n">
        <f aca="false">'Daily Data'!R13</f>
        <v>0.119420233266987</v>
      </c>
      <c r="F23" s="31" t="n">
        <f aca="false">'Daily Data'!L13</f>
        <v>0.603183962264151</v>
      </c>
      <c r="G23" s="66" t="n">
        <f aca="false">'Daily Data'!S13</f>
        <v>-0.229000302289839</v>
      </c>
      <c r="H23" s="67" t="n">
        <f aca="false">'Daily Data'!M13</f>
        <v>10.4952830188679</v>
      </c>
      <c r="I23" s="39" t="n">
        <f aca="false">'Daily Data'!N13</f>
        <v>178</v>
      </c>
      <c r="J23" s="47" t="n">
        <f aca="false">'Daily Data'!O13</f>
        <v>0.264487369985141</v>
      </c>
      <c r="K23" s="47" t="n">
        <f aca="false">'Daily Data'!P13</f>
        <v>0.29186320754717</v>
      </c>
      <c r="L23" s="47" t="n">
        <f aca="false">'Daily Data'!Q13</f>
        <v>0.396816037735849</v>
      </c>
      <c r="M23" s="47" t="n">
        <f aca="false">'Daily Data'!X13</f>
        <v>0.0653789004457652</v>
      </c>
      <c r="N23" s="66" t="n">
        <f aca="false">'Daily Data'!Y13</f>
        <v>-0.29819712680601</v>
      </c>
      <c r="O23" s="66" t="n">
        <f aca="false">'Daily Data'!Z13</f>
        <v>0.531904039251396</v>
      </c>
      <c r="P23" s="68" t="str">
        <f aca="false">'Daily Data'!C13</f>
        <v>Wk2 (29 Sep-5 Oct)</v>
      </c>
    </row>
    <row r="24" customFormat="false" ht="18" hidden="false" customHeight="true" outlineLevel="0" collapsed="false">
      <c r="B24" s="65" t="n">
        <f aca="false">'Daily Data'!A14</f>
        <v>46296</v>
      </c>
      <c r="C24" s="39" t="n">
        <f aca="false">'Daily Data'!D14</f>
        <v>1672</v>
      </c>
      <c r="D24" s="31" t="n">
        <f aca="false">'Daily Data'!H14</f>
        <v>0.675239234449761</v>
      </c>
      <c r="E24" s="66" t="n">
        <f aca="false">'Daily Data'!R14</f>
        <v>-3.28975580030694</v>
      </c>
      <c r="F24" s="31" t="n">
        <f aca="false">'Daily Data'!L14</f>
        <v>0.571172248803828</v>
      </c>
      <c r="G24" s="66" t="n">
        <f aca="false">'Daily Data'!S14</f>
        <v>-3.20117134603232</v>
      </c>
      <c r="H24" s="67" t="n">
        <f aca="false">'Daily Data'!M14</f>
        <v>10.4066985645933</v>
      </c>
      <c r="I24" s="39" t="n">
        <f aca="false">'Daily Data'!N14</f>
        <v>174</v>
      </c>
      <c r="J24" s="47" t="n">
        <f aca="false">'Daily Data'!O14</f>
        <v>0.242677824267782</v>
      </c>
      <c r="K24" s="47" t="n">
        <f aca="false">'Daily Data'!P14</f>
        <v>0.324760765550239</v>
      </c>
      <c r="L24" s="47" t="n">
        <f aca="false">'Daily Data'!Q14</f>
        <v>0.428827751196172</v>
      </c>
      <c r="M24" s="47" t="n">
        <f aca="false">'Daily Data'!X14</f>
        <v>0.0516039051603905</v>
      </c>
      <c r="N24" s="66" t="n">
        <f aca="false">'Daily Data'!Y14</f>
        <v>-3.58795292711295</v>
      </c>
      <c r="O24" s="66" t="n">
        <f aca="false">'Daily Data'!Z14</f>
        <v>-2.66926730678092</v>
      </c>
      <c r="P24" s="68" t="str">
        <f aca="false">'Daily Data'!C14</f>
        <v>Wk2 (29 Sep-5 Oct)</v>
      </c>
    </row>
    <row r="25" customFormat="false" ht="18" hidden="false" customHeight="true" outlineLevel="0" collapsed="false">
      <c r="B25" s="65" t="n">
        <f aca="false">'Daily Data'!A15</f>
        <v>46297</v>
      </c>
      <c r="C25" s="39" t="n">
        <f aca="false">'Daily Data'!D15</f>
        <v>1693</v>
      </c>
      <c r="D25" s="31" t="n">
        <f aca="false">'Daily Data'!H15</f>
        <v>0.689899586532782</v>
      </c>
      <c r="E25" s="66" t="n">
        <f aca="false">'Daily Data'!R15</f>
        <v>1.46603520830213</v>
      </c>
      <c r="F25" s="31" t="n">
        <f aca="false">'Daily Data'!L15</f>
        <v>0.569403425871235</v>
      </c>
      <c r="G25" s="66" t="n">
        <f aca="false">'Daily Data'!S15</f>
        <v>-0.176882293259328</v>
      </c>
      <c r="H25" s="67" t="n">
        <f aca="false">'Daily Data'!M15</f>
        <v>12.0496160661548</v>
      </c>
      <c r="I25" s="39" t="n">
        <f aca="false">'Daily Data'!N15</f>
        <v>204</v>
      </c>
      <c r="J25" s="47" t="n">
        <f aca="false">'Daily Data'!O15</f>
        <v>0.279835390946502</v>
      </c>
      <c r="K25" s="47" t="n">
        <f aca="false">'Daily Data'!P15</f>
        <v>0.310100413467218</v>
      </c>
      <c r="L25" s="47" t="n">
        <f aca="false">'Daily Data'!Q15</f>
        <v>0.430596574128766</v>
      </c>
      <c r="M25" s="47" t="n">
        <f aca="false">'Daily Data'!X15</f>
        <v>0.0754458161865569</v>
      </c>
      <c r="N25" s="66" t="n">
        <f aca="false">'Daily Data'!Y15</f>
        <v>-2.12191771881082</v>
      </c>
      <c r="O25" s="66" t="n">
        <f aca="false">'Daily Data'!Z15</f>
        <v>-2.84614960004025</v>
      </c>
      <c r="P25" s="68" t="str">
        <f aca="false">'Daily Data'!C15</f>
        <v>Wk2 (29 Sep-5 Oct)</v>
      </c>
    </row>
    <row r="26" customFormat="false" ht="18" hidden="false" customHeight="true" outlineLevel="0" collapsed="false">
      <c r="B26" s="65" t="n">
        <f aca="false">'Daily Data'!A16</f>
        <v>46298</v>
      </c>
      <c r="C26" s="39" t="n">
        <f aca="false">'Daily Data'!D16</f>
        <v>1199</v>
      </c>
      <c r="D26" s="31" t="n">
        <f aca="false">'Daily Data'!H16</f>
        <v>0.716430358632194</v>
      </c>
      <c r="E26" s="66" t="n">
        <f aca="false">'Daily Data'!R16</f>
        <v>2.65307720994115</v>
      </c>
      <c r="F26" s="31" t="n">
        <f aca="false">'Daily Data'!L16</f>
        <v>0.590492076730609</v>
      </c>
      <c r="G26" s="66" t="n">
        <f aca="false">'Daily Data'!S16</f>
        <v>2.10886508593743</v>
      </c>
      <c r="H26" s="67" t="n">
        <f aca="false">'Daily Data'!M16</f>
        <v>12.5938281901585</v>
      </c>
      <c r="I26" s="39" t="n">
        <f aca="false">'Daily Data'!N16</f>
        <v>151</v>
      </c>
      <c r="J26" s="47" t="n">
        <f aca="false">'Daily Data'!O16</f>
        <v>0.307535641547862</v>
      </c>
      <c r="K26" s="47" t="n">
        <f aca="false">'Daily Data'!P16</f>
        <v>0.283569641367807</v>
      </c>
      <c r="L26" s="47" t="n">
        <f aca="false">'Daily Data'!Q16</f>
        <v>0.409507923269391</v>
      </c>
      <c r="M26" s="47" t="n">
        <f aca="false">'Daily Data'!X16</f>
        <v>0.0610997963340122</v>
      </c>
      <c r="N26" s="66" t="n">
        <f aca="false">'Daily Data'!Y16</f>
        <v>0.531159491130329</v>
      </c>
      <c r="O26" s="66" t="n">
        <f aca="false">'Daily Data'!Z16</f>
        <v>-0.737284514102821</v>
      </c>
      <c r="P26" s="68" t="str">
        <f aca="false">'Daily Data'!C16</f>
        <v>Wk2 (29 Sep-5 Oct)</v>
      </c>
    </row>
    <row r="27" customFormat="false" ht="18" hidden="false" customHeight="true" outlineLevel="0" collapsed="false">
      <c r="B27" s="65" t="n">
        <f aca="false">'Daily Data'!A17</f>
        <v>46299</v>
      </c>
      <c r="C27" s="39" t="n">
        <f aca="false">'Daily Data'!D17</f>
        <v>962</v>
      </c>
      <c r="D27" s="31" t="n">
        <f aca="false">'Daily Data'!H17</f>
        <v>0.691268191268191</v>
      </c>
      <c r="E27" s="66" t="n">
        <f aca="false">'Daily Data'!R17</f>
        <v>-2.51621673640022</v>
      </c>
      <c r="F27" s="31" t="n">
        <f aca="false">'Daily Data'!L17</f>
        <v>0.590436590436591</v>
      </c>
      <c r="G27" s="66" t="n">
        <f aca="false">'Daily Data'!S17</f>
        <v>-0.00554862940183032</v>
      </c>
      <c r="H27" s="67" t="n">
        <f aca="false">'Daily Data'!M17</f>
        <v>10.0831600831601</v>
      </c>
      <c r="I27" s="39" t="n">
        <f aca="false">'Daily Data'!N17</f>
        <v>97</v>
      </c>
      <c r="J27" s="47" t="n">
        <f aca="false">'Daily Data'!O17</f>
        <v>0.246192893401015</v>
      </c>
      <c r="K27" s="47" t="n">
        <f aca="false">'Daily Data'!P17</f>
        <v>0.308731808731809</v>
      </c>
      <c r="L27" s="47" t="n">
        <f aca="false">'Daily Data'!Q17</f>
        <v>0.40956340956341</v>
      </c>
      <c r="M27" s="47" t="n">
        <f aca="false">'Daily Data'!X17</f>
        <v>0.0634517766497462</v>
      </c>
      <c r="N27" s="66" t="n">
        <f aca="false">'Daily Data'!Y17</f>
        <v>-1.98505724526989</v>
      </c>
      <c r="O27" s="66" t="n">
        <f aca="false">'Daily Data'!Z17</f>
        <v>-0.742833143504651</v>
      </c>
      <c r="P27" s="68" t="str">
        <f aca="false">'Daily Data'!C17</f>
        <v>Wk2 (29 Sep-5 Oct)</v>
      </c>
    </row>
    <row r="28" customFormat="false" ht="18" hidden="false" customHeight="true" outlineLevel="0" collapsed="false">
      <c r="B28" s="65" t="n">
        <f aca="false">'Daily Data'!A18</f>
        <v>46300</v>
      </c>
      <c r="C28" s="39" t="n">
        <f aca="false">'Daily Data'!D18</f>
        <v>2057</v>
      </c>
      <c r="D28" s="31" t="n">
        <f aca="false">'Daily Data'!H18</f>
        <v>0.698590179873602</v>
      </c>
      <c r="E28" s="66" t="n">
        <f aca="false">'Daily Data'!R18</f>
        <v>0.7321988605411</v>
      </c>
      <c r="F28" s="31" t="n">
        <f aca="false">'Daily Data'!L18</f>
        <v>0.594069032571706</v>
      </c>
      <c r="G28" s="66" t="n">
        <f aca="false">'Daily Data'!S18</f>
        <v>0.363244213511593</v>
      </c>
      <c r="H28" s="67" t="n">
        <f aca="false">'Daily Data'!M18</f>
        <v>10.4521147301896</v>
      </c>
      <c r="I28" s="39" t="n">
        <f aca="false">'Daily Data'!N18</f>
        <v>215</v>
      </c>
      <c r="J28" s="47" t="n">
        <f aca="false">'Daily Data'!O18</f>
        <v>0.25748502994012</v>
      </c>
      <c r="K28" s="47" t="n">
        <f aca="false">'Daily Data'!P18</f>
        <v>0.301409820126398</v>
      </c>
      <c r="L28" s="47" t="n">
        <f aca="false">'Daily Data'!Q18</f>
        <v>0.405930967428294</v>
      </c>
      <c r="M28" s="47" t="n">
        <f aca="false">'Daily Data'!X18</f>
        <v>0.0658682634730539</v>
      </c>
      <c r="N28" s="66" t="n">
        <f aca="false">'Daily Data'!Y18</f>
        <v>-1.25285838472879</v>
      </c>
      <c r="O28" s="66" t="n">
        <f aca="false">'Daily Data'!Z18</f>
        <v>-0.379588929993058</v>
      </c>
      <c r="P28" s="68" t="str">
        <f aca="false">'Daily Data'!C18</f>
        <v>Wk2 (29 Sep-5 Oct)</v>
      </c>
    </row>
    <row r="29" customFormat="false" ht="18" hidden="false" customHeight="true" outlineLevel="0" collapsed="false">
      <c r="B29" s="65" t="n">
        <f aca="false">'Daily Data'!A19</f>
        <v>46301</v>
      </c>
      <c r="C29" s="39" t="n">
        <f aca="false">'Daily Data'!D19</f>
        <v>1655</v>
      </c>
      <c r="D29" s="31" t="n">
        <f aca="false">'Daily Data'!H19</f>
        <v>0.707552870090634</v>
      </c>
      <c r="E29" s="66" t="n">
        <f aca="false">'Daily Data'!R19</f>
        <v>0.896269021703211</v>
      </c>
      <c r="F29" s="31" t="n">
        <f aca="false">'Daily Data'!L19</f>
        <v>0.600604229607251</v>
      </c>
      <c r="G29" s="66" t="n">
        <f aca="false">'Daily Data'!S19</f>
        <v>0.653519703554428</v>
      </c>
      <c r="H29" s="67" t="n">
        <f aca="false">'Daily Data'!M19</f>
        <v>10.6948640483384</v>
      </c>
      <c r="I29" s="39" t="n">
        <f aca="false">'Daily Data'!N19</f>
        <v>177</v>
      </c>
      <c r="J29" s="47" t="n">
        <f aca="false">'Daily Data'!O19</f>
        <v>0.267776096822995</v>
      </c>
      <c r="K29" s="47" t="n">
        <f aca="false">'Daily Data'!P19</f>
        <v>0.292447129909366</v>
      </c>
      <c r="L29" s="47" t="n">
        <f aca="false">'Daily Data'!Q19</f>
        <v>0.399395770392749</v>
      </c>
      <c r="M29" s="47" t="n">
        <f aca="false">'Daily Data'!X19</f>
        <v>0.0590015128593041</v>
      </c>
      <c r="N29" s="66" t="n">
        <f aca="false">'Daily Data'!Y19</f>
        <v>-0.356589363025583</v>
      </c>
      <c r="O29" s="66" t="n">
        <f aca="false">'Daily Data'!Z19</f>
        <v>0.273930773561371</v>
      </c>
      <c r="P29" s="68" t="str">
        <f aca="false">'Daily Data'!C19</f>
        <v>Wk3 (6 Oct, partial)</v>
      </c>
    </row>
  </sheetData>
  <mergeCells count="11">
    <mergeCell ref="B1:R1"/>
    <mergeCell ref="B2:R2"/>
    <mergeCell ref="B4:I4"/>
    <mergeCell ref="K4:R4"/>
    <mergeCell ref="B6:B7"/>
    <mergeCell ref="K6:K7"/>
    <mergeCell ref="B8:B9"/>
    <mergeCell ref="K8:K9"/>
    <mergeCell ref="B10:B11"/>
    <mergeCell ref="K10:K11"/>
    <mergeCell ref="B13:R13"/>
  </mergeCells>
  <conditionalFormatting sqref="C7:I11">
    <cfRule type="colorScale" priority="2">
      <colorScale>
        <cfvo type="min" val="0"/>
        <cfvo type="max" val="0"/>
        <color rgb="FFE6F6F5"/>
        <color rgb="FF0E9C96"/>
      </colorScale>
    </cfRule>
  </conditionalFormatting>
  <conditionalFormatting sqref="L7:R11">
    <cfRule type="colorScale" priority="3">
      <colorScale>
        <cfvo type="min" val="0"/>
        <cfvo type="max" val="0"/>
        <color rgb="FFE6F6F5"/>
        <color rgb="FF0E9C96"/>
      </colorScale>
    </cfRule>
  </conditionalFormatting>
  <conditionalFormatting sqref="C15:C29">
    <cfRule type="dataBar" priority="4">
      <dataBar showValue="1" minLength="10" maxLength="90">
        <cfvo type="num" val="0"/>
        <cfvo type="max" val="0"/>
        <color rgb="FF9DB8E8"/>
      </dataBar>
      <extLst>
        <ext xmlns:x14="http://schemas.microsoft.com/office/spreadsheetml/2009/9/main" uri="{B025F937-C7B1-47D3-B67F-A62EFF666E3E}">
          <x14:id>{84BE9337-A6F0-4D68-8271-EEFC87B9F0D9}</x14:id>
        </ext>
      </extLst>
    </cfRule>
  </conditionalFormatting>
  <conditionalFormatting sqref="D15:D29">
    <cfRule type="colorScale" priority="5">
      <colorScale>
        <cfvo type="min" val="0"/>
        <cfvo type="percentile" val="50"/>
        <cfvo type="max" val="0"/>
        <color rgb="FFF4B6A8"/>
        <color rgb="FFFFFFFF"/>
        <color rgb="FF43BFB7"/>
      </colorScale>
    </cfRule>
  </conditionalFormatting>
  <conditionalFormatting sqref="E15:E29">
    <cfRule type="colorScale" priority="6">
      <colorScale>
        <cfvo type="min" val="0"/>
        <cfvo type="percentile" val="50"/>
        <cfvo type="max" val="0"/>
        <color rgb="FFF4B6A8"/>
        <color rgb="FFFFFFFF"/>
        <color rgb="FF43BFB7"/>
      </colorScale>
    </cfRule>
  </conditionalFormatting>
  <conditionalFormatting sqref="F15:F29">
    <cfRule type="colorScale" priority="7">
      <colorScale>
        <cfvo type="min" val="0"/>
        <cfvo type="percentile" val="50"/>
        <cfvo type="max" val="0"/>
        <color rgb="FFF4B6A8"/>
        <color rgb="FFFFFFFF"/>
        <color rgb="FF43BFB7"/>
      </colorScale>
    </cfRule>
  </conditionalFormatting>
  <conditionalFormatting sqref="G15:G29">
    <cfRule type="colorScale" priority="8">
      <colorScale>
        <cfvo type="min" val="0"/>
        <cfvo type="percentile" val="50"/>
        <cfvo type="max" val="0"/>
        <color rgb="FFF4B6A8"/>
        <color rgb="FFFFFFFF"/>
        <color rgb="FF43BFB7"/>
      </colorScale>
    </cfRule>
  </conditionalFormatting>
  <conditionalFormatting sqref="H15:H29">
    <cfRule type="colorScale" priority="9">
      <colorScale>
        <cfvo type="min" val="0"/>
        <cfvo type="percentile" val="50"/>
        <cfvo type="max" val="0"/>
        <color rgb="FF43BFB7"/>
        <color rgb="FFFFFFFF"/>
        <color rgb="FFF4B6A8"/>
      </colorScale>
    </cfRule>
  </conditionalFormatting>
  <conditionalFormatting sqref="I15:I29">
    <cfRule type="colorScale" priority="10">
      <colorScale>
        <cfvo type="min" val="0"/>
        <cfvo type="percentile" val="50"/>
        <cfvo type="max" val="0"/>
        <color rgb="FF43BFB7"/>
        <color rgb="FFFFFFFF"/>
        <color rgb="FFF4B6A8"/>
      </colorScale>
    </cfRule>
  </conditionalFormatting>
  <conditionalFormatting sqref="J15:J29">
    <cfRule type="colorScale" priority="11">
      <colorScale>
        <cfvo type="min" val="0"/>
        <cfvo type="percentile" val="50"/>
        <cfvo type="max" val="0"/>
        <color rgb="FF43BFB7"/>
        <color rgb="FFFFFFFF"/>
        <color rgb="FFF4B6A8"/>
      </colorScale>
    </cfRule>
  </conditionalFormatting>
  <conditionalFormatting sqref="K15:K29">
    <cfRule type="colorScale" priority="12">
      <colorScale>
        <cfvo type="min" val="0"/>
        <cfvo type="percentile" val="50"/>
        <cfvo type="max" val="0"/>
        <color rgb="FF43BFB7"/>
        <color rgb="FFFFFFFF"/>
        <color rgb="FFF4B6A8"/>
      </colorScale>
    </cfRule>
  </conditionalFormatting>
  <conditionalFormatting sqref="L15:L29">
    <cfRule type="colorScale" priority="13">
      <colorScale>
        <cfvo type="min" val="0"/>
        <cfvo type="percentile" val="50"/>
        <cfvo type="max" val="0"/>
        <color rgb="FF43BFB7"/>
        <color rgb="FFFFFFFF"/>
        <color rgb="FFF4B6A8"/>
      </colorScale>
    </cfRule>
  </conditionalFormatting>
  <conditionalFormatting sqref="M15:M29">
    <cfRule type="colorScale" priority="14">
      <colorScale>
        <cfvo type="min" val="0"/>
        <cfvo type="percentile" val="50"/>
        <cfvo type="max" val="0"/>
        <color rgb="FF43BFB7"/>
        <color rgb="FFFFFFFF"/>
        <color rgb="FFF4B6A8"/>
      </colorScale>
    </cfRule>
  </conditionalFormatting>
  <conditionalFormatting sqref="N15:N29">
    <cfRule type="colorScale" priority="15">
      <colorScale>
        <cfvo type="min" val="0"/>
        <cfvo type="percentile" val="50"/>
        <cfvo type="max" val="0"/>
        <color rgb="FFF4B6A8"/>
        <color rgb="FFFFFFFF"/>
        <color rgb="FF43BFB7"/>
      </colorScale>
    </cfRule>
  </conditionalFormatting>
  <conditionalFormatting sqref="O15:O29">
    <cfRule type="colorScale" priority="16">
      <colorScale>
        <cfvo type="min" val="0"/>
        <cfvo type="percentile" val="50"/>
        <cfvo type="max" val="0"/>
        <color rgb="FFF4B6A8"/>
        <color rgb="FFFFFFFF"/>
        <color rgb="FF43BFB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BE9337-A6F0-4D68-8271-EEFC87B9F0D9}">
            <x14:dataBar minLength="10" maxLength="90" axisPosition="none" gradient="true">
              <x14:cfvo type="num">
                <xm:f>0</xm:f>
              </x14:cfvo>
              <x14:cfvo type="max"/>
              <x14:negativeFillColor rgb="FF9DB8E8"/>
              <x14:axisColor rgb="FF000000"/>
            </x14:dataBar>
          </x14:cfRule>
          <xm:sqref>C15:C29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false"/>
  </sheetPr>
  <dimension ref="A1:L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3"/>
    <col collapsed="false" customWidth="true" hidden="false" outlineLevel="0" max="7" min="7" style="0" width="30"/>
    <col collapsed="false" customWidth="true" hidden="false" outlineLevel="0" max="10" min="8" style="0" width="16"/>
    <col collapsed="false" customWidth="true" hidden="false" outlineLevel="0" max="12" min="11" style="0" width="3"/>
  </cols>
  <sheetData>
    <row r="1" customFormat="false" ht="27.75" hidden="false" customHeight="true" outlineLevel="0" collapsed="false">
      <c r="A1" s="69" t="s">
        <v>79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customFormat="false" ht="18" hidden="false" customHeight="true" outlineLevel="0" collapsed="false">
      <c r="A2" s="70" t="s">
        <v>80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4" customFormat="false" ht="19.5" hidden="false" customHeight="true" outlineLevel="0" collapsed="false">
      <c r="B4" s="28" t="s">
        <v>81</v>
      </c>
      <c r="C4" s="28"/>
      <c r="D4" s="28"/>
      <c r="E4" s="28"/>
      <c r="F4" s="28"/>
      <c r="G4" s="28"/>
      <c r="H4" s="28"/>
      <c r="I4" s="28"/>
      <c r="J4" s="28"/>
      <c r="K4" s="28"/>
    </row>
    <row r="5" customFormat="false" ht="33.75" hidden="false" customHeight="true" outlineLevel="0" collapsed="false">
      <c r="B5" s="29" t="s">
        <v>82</v>
      </c>
      <c r="C5" s="29" t="s">
        <v>83</v>
      </c>
      <c r="D5" s="29"/>
      <c r="E5" s="29"/>
      <c r="G5" s="29" t="s">
        <v>82</v>
      </c>
      <c r="H5" s="29" t="s">
        <v>83</v>
      </c>
      <c r="I5" s="29"/>
      <c r="J5" s="29"/>
    </row>
    <row r="6" customFormat="false" ht="21.75" hidden="false" customHeight="true" outlineLevel="0" collapsed="false">
      <c r="B6" s="48" t="s">
        <v>50</v>
      </c>
      <c r="C6" s="71" t="n">
        <f aca="false">'Daily Data'!D20</f>
        <v>23231</v>
      </c>
      <c r="D6" s="71"/>
      <c r="E6" s="71"/>
      <c r="G6" s="48" t="s">
        <v>84</v>
      </c>
      <c r="H6" s="72" t="n">
        <f aca="false">'Daily Data'!M20</f>
        <v>11.3253841849253</v>
      </c>
      <c r="I6" s="72"/>
      <c r="J6" s="72"/>
    </row>
    <row r="7" customFormat="false" ht="21.75" hidden="false" customHeight="true" outlineLevel="0" collapsed="false">
      <c r="B7" s="48" t="s">
        <v>85</v>
      </c>
      <c r="C7" s="71" t="n">
        <f aca="false">'Daily Data'!E20</f>
        <v>6711</v>
      </c>
      <c r="D7" s="71"/>
      <c r="E7" s="71"/>
      <c r="G7" s="48" t="s">
        <v>86</v>
      </c>
      <c r="H7" s="71" t="n">
        <f aca="false">'Daily Data'!N20</f>
        <v>2631</v>
      </c>
      <c r="I7" s="71"/>
      <c r="J7" s="71"/>
    </row>
    <row r="8" customFormat="false" ht="21.75" hidden="false" customHeight="true" outlineLevel="0" collapsed="false">
      <c r="B8" s="48" t="s">
        <v>87</v>
      </c>
      <c r="C8" s="71" t="n">
        <f aca="false">'Daily Data'!I20</f>
        <v>9342</v>
      </c>
      <c r="D8" s="71"/>
      <c r="E8" s="71"/>
      <c r="G8" s="48" t="s">
        <v>88</v>
      </c>
      <c r="H8" s="73" t="n">
        <f aca="false">'Daily Data'!O20</f>
        <v>0.281631342324984</v>
      </c>
      <c r="I8" s="73"/>
      <c r="J8" s="73"/>
    </row>
    <row r="9" customFormat="false" ht="21.75" hidden="false" customHeight="true" outlineLevel="0" collapsed="false">
      <c r="B9" s="48" t="s">
        <v>27</v>
      </c>
      <c r="C9" s="73" t="n">
        <f aca="false">'Daily Data'!H20</f>
        <v>0.71111876372089</v>
      </c>
      <c r="D9" s="73"/>
      <c r="E9" s="73"/>
      <c r="G9" s="48" t="s">
        <v>73</v>
      </c>
      <c r="H9" s="73" t="n">
        <f aca="false">'Daily Data'!P20</f>
        <v>0.28888123627911</v>
      </c>
      <c r="I9" s="73"/>
      <c r="J9" s="73"/>
    </row>
    <row r="10" customFormat="false" ht="21.75" hidden="false" customHeight="true" outlineLevel="0" collapsed="false">
      <c r="B10" s="48" t="s">
        <v>28</v>
      </c>
      <c r="C10" s="73" t="n">
        <f aca="false">'Daily Data'!L20</f>
        <v>0.597864921871637</v>
      </c>
      <c r="D10" s="73"/>
      <c r="E10" s="73"/>
      <c r="G10" s="48" t="s">
        <v>74</v>
      </c>
      <c r="H10" s="73" t="n">
        <f aca="false">'Daily Data'!Q20</f>
        <v>0.402135078128363</v>
      </c>
      <c r="I10" s="73"/>
      <c r="J10" s="73"/>
    </row>
    <row r="12" customFormat="false" ht="19.5" hidden="false" customHeight="true" outlineLevel="0" collapsed="false">
      <c r="B12" s="28" t="s">
        <v>89</v>
      </c>
      <c r="C12" s="28"/>
      <c r="D12" s="28"/>
      <c r="E12" s="28"/>
      <c r="F12" s="28"/>
      <c r="G12" s="28"/>
      <c r="H12" s="28"/>
      <c r="I12" s="28"/>
      <c r="J12" s="28"/>
      <c r="K12" s="28"/>
    </row>
    <row r="13" customFormat="false" ht="33.75" hidden="false" customHeight="true" outlineLevel="0" collapsed="false">
      <c r="B13" s="29" t="s">
        <v>21</v>
      </c>
      <c r="C13" s="29" t="s">
        <v>22</v>
      </c>
      <c r="D13" s="29" t="s">
        <v>23</v>
      </c>
      <c r="E13" s="29" t="s">
        <v>90</v>
      </c>
      <c r="F13" s="29"/>
      <c r="G13" s="29" t="s">
        <v>25</v>
      </c>
      <c r="H13" s="29"/>
    </row>
    <row r="14" customFormat="false" ht="15" hidden="false" customHeight="false" outlineLevel="0" collapsed="false">
      <c r="B14" s="48" t="s">
        <v>27</v>
      </c>
      <c r="C14" s="31" t="n">
        <f aca="false">'Daily Data'!H20</f>
        <v>0.71111876372089</v>
      </c>
      <c r="D14" s="32" t="n">
        <f aca="false">'Targets &amp; Notes'!C5</f>
        <v>0.75</v>
      </c>
      <c r="E14" s="33" t="n">
        <f aca="false">(C14-D14)*100</f>
        <v>-3.88812362791098</v>
      </c>
      <c r="F14" s="74"/>
      <c r="G14" s="75" t="str">
        <f aca="false">IF(E14&gt;=0,"✔ On / above target","✖ Below target by "&amp;TEXT(-E14,"0.00")&amp;" pp")</f>
        <v>✖ Below target by 3.89 pp</v>
      </c>
      <c r="H14" s="75"/>
    </row>
    <row r="15" customFormat="false" ht="15" hidden="false" customHeight="false" outlineLevel="0" collapsed="false">
      <c r="B15" s="48" t="s">
        <v>28</v>
      </c>
      <c r="C15" s="31" t="n">
        <f aca="false">'Daily Data'!L20</f>
        <v>0.597864921871637</v>
      </c>
      <c r="D15" s="32" t="n">
        <f aca="false">'Targets &amp; Notes'!C6</f>
        <v>0.65</v>
      </c>
      <c r="E15" s="33" t="n">
        <f aca="false">(C15-D15)*100</f>
        <v>-5.21350781283631</v>
      </c>
      <c r="F15" s="74"/>
      <c r="G15" s="75" t="str">
        <f aca="false">IF(E15&gt;=0,"✔ On / above target","✖ Below target by "&amp;TEXT(-E15,"0.00")&amp;" pp")</f>
        <v>✖ Below target by 5.21 pp</v>
      </c>
      <c r="H15" s="75"/>
    </row>
    <row r="17" customFormat="false" ht="19.5" hidden="false" customHeight="true" outlineLevel="0" collapsed="false">
      <c r="B17" s="28" t="s">
        <v>91</v>
      </c>
      <c r="C17" s="28"/>
      <c r="D17" s="28"/>
      <c r="E17" s="28"/>
      <c r="F17" s="28"/>
      <c r="G17" s="28"/>
      <c r="H17" s="28"/>
      <c r="I17" s="28"/>
      <c r="J17" s="28"/>
      <c r="K17" s="28"/>
    </row>
    <row r="18" customFormat="false" ht="33.75" hidden="false" customHeight="true" outlineLevel="0" collapsed="false">
      <c r="B18" s="29" t="s">
        <v>58</v>
      </c>
      <c r="C18" s="29" t="s">
        <v>34</v>
      </c>
      <c r="D18" s="29" t="s">
        <v>27</v>
      </c>
      <c r="E18" s="29" t="s">
        <v>28</v>
      </c>
      <c r="F18" s="29"/>
      <c r="G18" s="29" t="s">
        <v>24</v>
      </c>
      <c r="H18" s="29" t="s">
        <v>72</v>
      </c>
      <c r="I18" s="29" t="s">
        <v>49</v>
      </c>
      <c r="J18" s="29" t="s">
        <v>92</v>
      </c>
    </row>
    <row r="19" customFormat="false" ht="15" hidden="false" customHeight="false" outlineLevel="0" collapsed="false">
      <c r="B19" s="48" t="s">
        <v>93</v>
      </c>
      <c r="C19" s="39" t="n">
        <f aca="false">SUMIFS('Daily Data'!$D$5:$D$19,'Daily Data'!$C$5:$C$19,B19)</f>
        <v>10799</v>
      </c>
      <c r="D19" s="31" t="n">
        <f aca="false">1-SUMIFS('Daily Data'!$E$5:$E$19,'Daily Data'!$C$5:$C$19,B19)/C19</f>
        <v>0.725159737012686</v>
      </c>
      <c r="E19" s="31" t="n">
        <f aca="false">1-SUMIFS('Daily Data'!$I$5:$I$19,'Daily Data'!$C$5:$C$19,B19)/C19</f>
        <v>0.606352440040745</v>
      </c>
      <c r="F19" s="31"/>
      <c r="G19" s="67" t="n">
        <f aca="false">(D19-E19)*100</f>
        <v>11.8807296971942</v>
      </c>
      <c r="H19" s="39" t="n">
        <f aca="false">SUMIFS('Daily Data'!$N$5:$N$19,'Daily Data'!$C$5:$C$19,B19)</f>
        <v>1283</v>
      </c>
      <c r="I19" s="47" t="n">
        <f aca="false">H19/SUMIFS('Daily Data'!$I$5:$I$19,'Daily Data'!$C$5:$C$19,B19)</f>
        <v>0.301811338508586</v>
      </c>
      <c r="J19" s="66" t="n">
        <f aca="false">(D19-$D$19)*100</f>
        <v>0</v>
      </c>
    </row>
    <row r="20" customFormat="false" ht="15" hidden="false" customHeight="false" outlineLevel="0" collapsed="false">
      <c r="B20" s="53" t="s">
        <v>94</v>
      </c>
      <c r="C20" s="60" t="n">
        <f aca="false">SUMIFS('Daily Data'!$D$5:$D$19,'Daily Data'!$C$5:$C$19,B20)</f>
        <v>10777</v>
      </c>
      <c r="D20" s="50" t="n">
        <f aca="false">1-SUMIFS('Daily Data'!$E$5:$E$19,'Daily Data'!$C$5:$C$19,B20)/C20</f>
        <v>0.697596733784912</v>
      </c>
      <c r="E20" s="50" t="n">
        <f aca="false">1-SUMIFS('Daily Data'!$I$5:$I$19,'Daily Data'!$C$5:$C$19,B20)/C20</f>
        <v>0.588939407998515</v>
      </c>
      <c r="F20" s="50"/>
      <c r="G20" s="55" t="n">
        <f aca="false">(D20-E20)*100</f>
        <v>10.8657325786397</v>
      </c>
      <c r="H20" s="60" t="n">
        <f aca="false">SUMIFS('Daily Data'!$N$5:$N$19,'Daily Data'!$C$5:$C$19,B20)</f>
        <v>1171</v>
      </c>
      <c r="I20" s="51" t="n">
        <f aca="false">H20/SUMIFS('Daily Data'!$I$5:$I$19,'Daily Data'!$C$5:$C$19,B20)</f>
        <v>0.264334085778781</v>
      </c>
      <c r="J20" s="76" t="n">
        <f aca="false">(D20-$D$19)*100</f>
        <v>-2.75630032277741</v>
      </c>
    </row>
    <row r="21" customFormat="false" ht="15" hidden="false" customHeight="false" outlineLevel="0" collapsed="false">
      <c r="B21" s="48" t="s">
        <v>95</v>
      </c>
      <c r="C21" s="39" t="n">
        <f aca="false">SUMIFS('Daily Data'!$D$5:$D$19,'Daily Data'!$C$5:$C$19,B21)</f>
        <v>1655</v>
      </c>
      <c r="D21" s="31" t="n">
        <f aca="false">1-SUMIFS('Daily Data'!$E$5:$E$19,'Daily Data'!$C$5:$C$19,B21)/C21</f>
        <v>0.707552870090634</v>
      </c>
      <c r="E21" s="31" t="n">
        <f aca="false">1-SUMIFS('Daily Data'!$I$5:$I$19,'Daily Data'!$C$5:$C$19,B21)/C21</f>
        <v>0.600604229607251</v>
      </c>
      <c r="F21" s="31"/>
      <c r="G21" s="67" t="n">
        <f aca="false">(D21-E21)*100</f>
        <v>10.6948640483384</v>
      </c>
      <c r="H21" s="39" t="n">
        <f aca="false">SUMIFS('Daily Data'!$N$5:$N$19,'Daily Data'!$C$5:$C$19,B21)</f>
        <v>177</v>
      </c>
      <c r="I21" s="47" t="n">
        <f aca="false">H21/SUMIFS('Daily Data'!$I$5:$I$19,'Daily Data'!$C$5:$C$19,B21)</f>
        <v>0.267776096822995</v>
      </c>
      <c r="J21" s="66" t="n">
        <f aca="false">(D21-$D$19)*100</f>
        <v>-1.76068669220519</v>
      </c>
    </row>
    <row r="23" customFormat="false" ht="19.5" hidden="false" customHeight="true" outlineLevel="0" collapsed="false">
      <c r="B23" s="28" t="s">
        <v>96</v>
      </c>
      <c r="C23" s="28"/>
      <c r="D23" s="28"/>
      <c r="E23" s="28"/>
      <c r="F23" s="28"/>
      <c r="G23" s="28"/>
      <c r="H23" s="28"/>
      <c r="I23" s="28"/>
      <c r="J23" s="28"/>
      <c r="K23" s="28"/>
    </row>
    <row r="24" customFormat="false" ht="33.75" hidden="false" customHeight="true" outlineLevel="0" collapsed="false">
      <c r="B24" s="29" t="s">
        <v>21</v>
      </c>
      <c r="C24" s="29" t="s">
        <v>83</v>
      </c>
      <c r="D24" s="29" t="s">
        <v>30</v>
      </c>
      <c r="E24" s="29"/>
      <c r="F24" s="29"/>
      <c r="G24" s="29" t="s">
        <v>21</v>
      </c>
      <c r="H24" s="29" t="s">
        <v>83</v>
      </c>
      <c r="I24" s="29" t="s">
        <v>30</v>
      </c>
      <c r="J24" s="29"/>
    </row>
    <row r="25" customFormat="false" ht="15" hidden="false" customHeight="false" outlineLevel="0" collapsed="false">
      <c r="B25" s="48" t="s">
        <v>97</v>
      </c>
      <c r="C25" s="31" t="n">
        <f aca="false">'Daily Data'!C24</f>
        <v>0.738500315059861</v>
      </c>
      <c r="D25" s="65" t="n">
        <f aca="false">'Daily Data'!D24</f>
        <v>46287</v>
      </c>
      <c r="E25" s="74"/>
      <c r="F25" s="74"/>
      <c r="G25" s="48" t="s">
        <v>98</v>
      </c>
      <c r="H25" s="31" t="n">
        <f aca="false">'Daily Data'!C25</f>
        <v>0.675239234449761</v>
      </c>
      <c r="I25" s="65" t="n">
        <f aca="false">'Daily Data'!D25</f>
        <v>46296</v>
      </c>
    </row>
    <row r="26" customFormat="false" ht="15" hidden="false" customHeight="false" outlineLevel="0" collapsed="false">
      <c r="B26" s="48" t="s">
        <v>99</v>
      </c>
      <c r="C26" s="31" t="n">
        <f aca="false">'Daily Data'!C26</f>
        <v>0.630119722747322</v>
      </c>
      <c r="D26" s="65" t="n">
        <f aca="false">'Daily Data'!D26</f>
        <v>46287</v>
      </c>
      <c r="E26" s="74"/>
      <c r="F26" s="74"/>
      <c r="G26" s="48" t="s">
        <v>100</v>
      </c>
      <c r="H26" s="31" t="n">
        <f aca="false">'Daily Data'!C27</f>
        <v>0.569403425871235</v>
      </c>
      <c r="I26" s="65" t="n">
        <f aca="false">'Daily Data'!D27</f>
        <v>46297</v>
      </c>
    </row>
    <row r="27" customFormat="false" ht="15" hidden="false" customHeight="false" outlineLevel="0" collapsed="false">
      <c r="B27" s="48" t="s">
        <v>101</v>
      </c>
      <c r="C27" s="31" t="n">
        <f aca="false">'Daily Data'!C37</f>
        <v>0.242677824267782</v>
      </c>
      <c r="D27" s="65" t="n">
        <f aca="false">'Daily Data'!D37</f>
        <v>46296</v>
      </c>
      <c r="E27" s="74"/>
      <c r="F27" s="74"/>
      <c r="G27" s="48" t="s">
        <v>102</v>
      </c>
      <c r="H27" s="31" t="n">
        <f aca="false">'Daily Data'!C38</f>
        <v>0.324324324324324</v>
      </c>
      <c r="I27" s="65" t="n">
        <f aca="false">'Daily Data'!D38</f>
        <v>46292</v>
      </c>
    </row>
    <row r="29" customFormat="false" ht="19.5" hidden="false" customHeight="true" outlineLevel="0" collapsed="false">
      <c r="B29" s="28" t="s">
        <v>103</v>
      </c>
      <c r="C29" s="28"/>
      <c r="D29" s="28"/>
      <c r="E29" s="28"/>
      <c r="F29" s="28"/>
      <c r="G29" s="28"/>
      <c r="H29" s="28"/>
      <c r="I29" s="28"/>
      <c r="J29" s="28"/>
      <c r="K29" s="28"/>
    </row>
    <row r="30" customFormat="false" ht="31.5" hidden="false" customHeight="true" outlineLevel="0" collapsed="false">
      <c r="B30" s="77" t="s">
        <v>104</v>
      </c>
      <c r="C30" s="77"/>
      <c r="D30" s="77"/>
      <c r="E30" s="77"/>
      <c r="F30" s="77"/>
      <c r="G30" s="77"/>
      <c r="H30" s="77"/>
      <c r="I30" s="77"/>
      <c r="J30" s="77"/>
    </row>
    <row r="31" customFormat="false" ht="31.5" hidden="false" customHeight="true" outlineLevel="0" collapsed="false">
      <c r="B31" s="77" t="s">
        <v>105</v>
      </c>
      <c r="C31" s="77"/>
      <c r="D31" s="77"/>
      <c r="E31" s="77"/>
      <c r="F31" s="77"/>
      <c r="G31" s="77"/>
      <c r="H31" s="77"/>
      <c r="I31" s="77"/>
      <c r="J31" s="77"/>
    </row>
    <row r="32" customFormat="false" ht="31.5" hidden="false" customHeight="true" outlineLevel="0" collapsed="false">
      <c r="B32" s="77" t="s">
        <v>106</v>
      </c>
      <c r="C32" s="77"/>
      <c r="D32" s="77"/>
      <c r="E32" s="77"/>
      <c r="F32" s="77"/>
      <c r="G32" s="77"/>
      <c r="H32" s="77"/>
      <c r="I32" s="77"/>
      <c r="J32" s="77"/>
    </row>
    <row r="33" customFormat="false" ht="31.5" hidden="false" customHeight="true" outlineLevel="0" collapsed="false">
      <c r="B33" s="77" t="s">
        <v>107</v>
      </c>
      <c r="C33" s="77"/>
      <c r="D33" s="77"/>
      <c r="E33" s="77"/>
      <c r="F33" s="77"/>
      <c r="G33" s="77"/>
      <c r="H33" s="77"/>
      <c r="I33" s="77"/>
      <c r="J33" s="77"/>
    </row>
    <row r="34" customFormat="false" ht="31.5" hidden="false" customHeight="true" outlineLevel="0" collapsed="false">
      <c r="B34" s="77" t="s">
        <v>108</v>
      </c>
      <c r="C34" s="77"/>
      <c r="D34" s="77"/>
      <c r="E34" s="77"/>
      <c r="F34" s="77"/>
      <c r="G34" s="77"/>
      <c r="H34" s="77"/>
      <c r="I34" s="77"/>
      <c r="J34" s="77"/>
    </row>
    <row r="35" customFormat="false" ht="31.5" hidden="false" customHeight="true" outlineLevel="0" collapsed="false">
      <c r="B35" s="77" t="s">
        <v>109</v>
      </c>
      <c r="C35" s="77"/>
      <c r="D35" s="77"/>
      <c r="E35" s="77"/>
      <c r="F35" s="77"/>
      <c r="G35" s="77"/>
      <c r="H35" s="77"/>
      <c r="I35" s="77"/>
      <c r="J35" s="77"/>
    </row>
  </sheetData>
  <mergeCells count="32">
    <mergeCell ref="A1:L1"/>
    <mergeCell ref="A2:L2"/>
    <mergeCell ref="B4:K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B12:K12"/>
    <mergeCell ref="G13:H13"/>
    <mergeCell ref="G14:H14"/>
    <mergeCell ref="G15:H15"/>
    <mergeCell ref="B17:K17"/>
    <mergeCell ref="E18:F18"/>
    <mergeCell ref="E19:F19"/>
    <mergeCell ref="E20:F20"/>
    <mergeCell ref="E21:F21"/>
    <mergeCell ref="B23:K23"/>
    <mergeCell ref="B29:K29"/>
    <mergeCell ref="B30:J30"/>
    <mergeCell ref="B31:J31"/>
    <mergeCell ref="B32:J32"/>
    <mergeCell ref="B33:J33"/>
    <mergeCell ref="B34:J34"/>
    <mergeCell ref="B35:J35"/>
  </mergeCells>
  <conditionalFormatting sqref="E14:E15">
    <cfRule type="cellIs" priority="2" operator="lessThan" aboveAverage="0" equalAverage="0" bottom="0" percent="0" rank="0" text="" dxfId="4">
      <formula>0</formula>
    </cfRule>
    <cfRule type="cellIs" priority="3" operator="greaterThanOrEqual" aboveAverage="0" equalAverage="0" bottom="0" percent="0" rank="0" text="" dxfId="5">
      <formula>0</formula>
    </cfRule>
  </conditionalFormatting>
  <conditionalFormatting sqref="J20:J21">
    <cfRule type="cellIs" priority="4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false"/>
  </sheetPr>
  <dimension ref="A1:Z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7"/>
    <col collapsed="false" customWidth="true" hidden="false" outlineLevel="0" max="4" min="4" style="0" width="11"/>
    <col collapsed="false" customWidth="true" hidden="false" outlineLevel="0" max="12" min="5" style="0" width="10"/>
    <col collapsed="false" customWidth="true" hidden="false" outlineLevel="0" max="15" min="13" style="0" width="11"/>
    <col collapsed="false" customWidth="true" hidden="false" outlineLevel="0" max="17" min="16" style="0" width="10"/>
    <col collapsed="false" customWidth="true" hidden="false" outlineLevel="0" max="19" min="18" style="0" width="12"/>
    <col collapsed="false" customWidth="true" hidden="false" outlineLevel="0" max="22" min="20" style="0" width="11"/>
    <col collapsed="false" customWidth="true" hidden="false" outlineLevel="0" max="24" min="23" style="0" width="10"/>
    <col collapsed="false" customWidth="true" hidden="false" outlineLevel="0" max="26" min="25" style="0" width="12"/>
  </cols>
  <sheetData>
    <row r="1" customFormat="false" ht="27.75" hidden="false" customHeight="true" outlineLevel="0" collapsed="false">
      <c r="A1" s="69" t="s">
        <v>110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customFormat="false" ht="18" hidden="false" customHeight="true" outlineLevel="0" collapsed="false">
      <c r="A2" s="70" t="s">
        <v>111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4" customFormat="false" ht="33.75" hidden="false" customHeight="true" outlineLevel="0" collapsed="false">
      <c r="A4" s="29" t="s">
        <v>30</v>
      </c>
      <c r="B4" s="29" t="s">
        <v>112</v>
      </c>
      <c r="C4" s="29" t="s">
        <v>58</v>
      </c>
      <c r="D4" s="29" t="s">
        <v>113</v>
      </c>
      <c r="E4" s="29" t="s">
        <v>114</v>
      </c>
      <c r="F4" s="29" t="s">
        <v>115</v>
      </c>
      <c r="G4" s="29" t="s">
        <v>116</v>
      </c>
      <c r="H4" s="29" t="s">
        <v>27</v>
      </c>
      <c r="I4" s="29" t="s">
        <v>117</v>
      </c>
      <c r="J4" s="29" t="s">
        <v>118</v>
      </c>
      <c r="K4" s="29" t="s">
        <v>119</v>
      </c>
      <c r="L4" s="29" t="s">
        <v>28</v>
      </c>
      <c r="M4" s="29" t="s">
        <v>120</v>
      </c>
      <c r="N4" s="29" t="s">
        <v>121</v>
      </c>
      <c r="O4" s="29" t="s">
        <v>122</v>
      </c>
      <c r="P4" s="29" t="s">
        <v>123</v>
      </c>
      <c r="Q4" s="29" t="s">
        <v>124</v>
      </c>
      <c r="R4" s="29" t="s">
        <v>125</v>
      </c>
      <c r="S4" s="29" t="s">
        <v>126</v>
      </c>
      <c r="T4" s="29" t="s">
        <v>127</v>
      </c>
      <c r="U4" s="29" t="s">
        <v>128</v>
      </c>
      <c r="V4" s="29" t="s">
        <v>129</v>
      </c>
      <c r="W4" s="29" t="s">
        <v>130</v>
      </c>
      <c r="X4" s="29" t="s">
        <v>131</v>
      </c>
      <c r="Y4" s="29" t="s">
        <v>132</v>
      </c>
      <c r="Z4" s="29" t="s">
        <v>133</v>
      </c>
    </row>
    <row r="5" customFormat="false" ht="15" hidden="false" customHeight="false" outlineLevel="0" collapsed="false">
      <c r="A5" s="78" t="n">
        <v>46287</v>
      </c>
      <c r="B5" s="68" t="str">
        <f aca="false">TEXT(A5,"ddd")</f>
        <v>Tue</v>
      </c>
      <c r="C5" s="68" t="str">
        <f aca="false">IF(A5&lt;=DATE(2026,9,28),"Wk1 (22-28 Sep)",IF(A5&lt;=DATE(2026,10,5),"Wk2 (29 Sep-5 Oct)","Wk3 (6 Oct, partial)"))</f>
        <v>Wk1 (22-28 Sep)</v>
      </c>
      <c r="D5" s="79" t="n">
        <v>1587</v>
      </c>
      <c r="E5" s="79" t="n">
        <v>415</v>
      </c>
      <c r="F5" s="79" t="n">
        <v>404</v>
      </c>
      <c r="G5" s="79" t="n">
        <v>11</v>
      </c>
      <c r="H5" s="31" t="n">
        <f aca="false">IF(D5=0,0,1-E5/D5)</f>
        <v>0.738500315059861</v>
      </c>
      <c r="I5" s="79" t="n">
        <v>587</v>
      </c>
      <c r="J5" s="79" t="n">
        <v>554</v>
      </c>
      <c r="K5" s="79" t="n">
        <v>33</v>
      </c>
      <c r="L5" s="31" t="n">
        <f aca="false">IF(D5=0,0,1-I5/D5)</f>
        <v>0.630119722747322</v>
      </c>
      <c r="M5" s="67" t="n">
        <f aca="false">(H5-L5)*100</f>
        <v>10.8380592312539</v>
      </c>
      <c r="N5" s="39" t="n">
        <f aca="false">I5-E5</f>
        <v>172</v>
      </c>
      <c r="O5" s="47" t="n">
        <f aca="false">IF(I5=0,0,N5/I5)</f>
        <v>0.293015332197615</v>
      </c>
      <c r="P5" s="47" t="n">
        <f aca="false">IF(D5=0,0,E5/D5)</f>
        <v>0.261499684940139</v>
      </c>
      <c r="Q5" s="47" t="n">
        <f aca="false">IF(D5=0,0,I5/D5)</f>
        <v>0.369880277252678</v>
      </c>
      <c r="R5" s="80" t="s">
        <v>78</v>
      </c>
      <c r="S5" s="80" t="s">
        <v>78</v>
      </c>
      <c r="T5" s="80" t="s">
        <v>78</v>
      </c>
      <c r="U5" s="80" t="s">
        <v>78</v>
      </c>
      <c r="V5" s="80" t="s">
        <v>78</v>
      </c>
      <c r="W5" s="47" t="n">
        <f aca="false">IF(E5=0,0,G5/E5)</f>
        <v>0.0265060240963855</v>
      </c>
      <c r="X5" s="47" t="n">
        <f aca="false">IF(I5=0,0,K5/I5)</f>
        <v>0.0562180579216354</v>
      </c>
      <c r="Y5" s="66" t="n">
        <f aca="false">(H5-$H$20)*100</f>
        <v>2.73815513389711</v>
      </c>
      <c r="Z5" s="66" t="n">
        <f aca="false">(L5-$L$20)*100</f>
        <v>3.2254800875685</v>
      </c>
    </row>
    <row r="6" customFormat="false" ht="15" hidden="false" customHeight="false" outlineLevel="0" collapsed="false">
      <c r="A6" s="81" t="n">
        <v>46288</v>
      </c>
      <c r="B6" s="82" t="str">
        <f aca="false">TEXT(A6,"ddd")</f>
        <v>Wed</v>
      </c>
      <c r="C6" s="82" t="str">
        <f aca="false">IF(A6&lt;=DATE(2026,9,28),"Wk1 (22-28 Sep)",IF(A6&lt;=DATE(2026,10,5),"Wk2 (29 Sep-5 Oct)","Wk3 (6 Oct, partial)"))</f>
        <v>Wk1 (22-28 Sep)</v>
      </c>
      <c r="D6" s="83" t="n">
        <v>1577</v>
      </c>
      <c r="E6" s="83" t="n">
        <v>458</v>
      </c>
      <c r="F6" s="83" t="n">
        <v>442</v>
      </c>
      <c r="G6" s="83" t="n">
        <v>16</v>
      </c>
      <c r="H6" s="50" t="n">
        <f aca="false">IF(D6=0,0,1-E6/D6)</f>
        <v>0.709575142675967</v>
      </c>
      <c r="I6" s="83" t="n">
        <v>659</v>
      </c>
      <c r="J6" s="83" t="n">
        <v>624</v>
      </c>
      <c r="K6" s="83" t="n">
        <v>35</v>
      </c>
      <c r="L6" s="50" t="n">
        <f aca="false">IF(D6=0,0,1-I6/D6)</f>
        <v>0.582117945466075</v>
      </c>
      <c r="M6" s="55" t="n">
        <f aca="false">(H6-L6)*100</f>
        <v>12.7457197209892</v>
      </c>
      <c r="N6" s="60" t="n">
        <f aca="false">I6-E6</f>
        <v>201</v>
      </c>
      <c r="O6" s="51" t="n">
        <f aca="false">IF(I6=0,0,N6/I6)</f>
        <v>0.305007587253414</v>
      </c>
      <c r="P6" s="51" t="n">
        <f aca="false">IF(D6=0,0,E6/D6)</f>
        <v>0.290424857324033</v>
      </c>
      <c r="Q6" s="51" t="n">
        <f aca="false">IF(D6=0,0,I6/D6)</f>
        <v>0.417882054533925</v>
      </c>
      <c r="R6" s="76" t="n">
        <f aca="false">(H6-H5)*100</f>
        <v>-2.89251723838943</v>
      </c>
      <c r="S6" s="76" t="n">
        <f aca="false">(L6-L5)*100</f>
        <v>-4.80017772812472</v>
      </c>
      <c r="T6" s="84" t="n">
        <f aca="false">D6-D5</f>
        <v>-10</v>
      </c>
      <c r="U6" s="85" t="s">
        <v>78</v>
      </c>
      <c r="V6" s="85" t="s">
        <v>78</v>
      </c>
      <c r="W6" s="51" t="n">
        <f aca="false">IF(E6=0,0,G6/E6)</f>
        <v>0.0349344978165939</v>
      </c>
      <c r="X6" s="51" t="n">
        <f aca="false">IF(I6=0,0,K6/I6)</f>
        <v>0.0531107738998483</v>
      </c>
      <c r="Y6" s="76" t="n">
        <f aca="false">(H6-$H$20)*100</f>
        <v>-0.154362104492312</v>
      </c>
      <c r="Z6" s="76" t="n">
        <f aca="false">(L6-$L$20)*100</f>
        <v>-1.57469764055622</v>
      </c>
    </row>
    <row r="7" customFormat="false" ht="15" hidden="false" customHeight="false" outlineLevel="0" collapsed="false">
      <c r="A7" s="78" t="n">
        <v>46289</v>
      </c>
      <c r="B7" s="68" t="str">
        <f aca="false">TEXT(A7,"ddd")</f>
        <v>Thu</v>
      </c>
      <c r="C7" s="68" t="str">
        <f aca="false">IF(A7&lt;=DATE(2026,9,28),"Wk1 (22-28 Sep)",IF(A7&lt;=DATE(2026,10,5),"Wk2 (29 Sep-5 Oct)","Wk3 (6 Oct, partial)"))</f>
        <v>Wk1 (22-28 Sep)</v>
      </c>
      <c r="D7" s="79" t="n">
        <v>1811</v>
      </c>
      <c r="E7" s="79" t="n">
        <v>495</v>
      </c>
      <c r="F7" s="79" t="n">
        <v>472</v>
      </c>
      <c r="G7" s="79" t="n">
        <v>23</v>
      </c>
      <c r="H7" s="31" t="n">
        <f aca="false">IF(D7=0,0,1-E7/D7)</f>
        <v>0.726670347874103</v>
      </c>
      <c r="I7" s="79" t="n">
        <v>698</v>
      </c>
      <c r="J7" s="79" t="n">
        <v>661</v>
      </c>
      <c r="K7" s="79" t="n">
        <v>37</v>
      </c>
      <c r="L7" s="31" t="n">
        <f aca="false">IF(D7=0,0,1-I7/D7)</f>
        <v>0.614577581446715</v>
      </c>
      <c r="M7" s="67" t="n">
        <f aca="false">(H7-L7)*100</f>
        <v>11.2092766427388</v>
      </c>
      <c r="N7" s="39" t="n">
        <f aca="false">I7-E7</f>
        <v>203</v>
      </c>
      <c r="O7" s="47" t="n">
        <f aca="false">IF(I7=0,0,N7/I7)</f>
        <v>0.290830945558739</v>
      </c>
      <c r="P7" s="47" t="n">
        <f aca="false">IF(D7=0,0,E7/D7)</f>
        <v>0.273329652125897</v>
      </c>
      <c r="Q7" s="47" t="n">
        <f aca="false">IF(D7=0,0,I7/D7)</f>
        <v>0.385422418553285</v>
      </c>
      <c r="R7" s="66" t="n">
        <f aca="false">(H7-H6)*100</f>
        <v>1.70952051981357</v>
      </c>
      <c r="S7" s="66" t="n">
        <f aca="false">(L7-L6)*100</f>
        <v>3.24596359806397</v>
      </c>
      <c r="T7" s="86" t="n">
        <f aca="false">D7-D6</f>
        <v>234</v>
      </c>
      <c r="U7" s="47" t="n">
        <f aca="false">1-SUM(E5:E7)/SUM(D5:D7)</f>
        <v>0.725025125628141</v>
      </c>
      <c r="V7" s="47" t="n">
        <f aca="false">1-SUM(I5:I7)/SUM(D5:D7)</f>
        <v>0.609246231155779</v>
      </c>
      <c r="W7" s="47" t="n">
        <f aca="false">IF(E7=0,0,G7/E7)</f>
        <v>0.0464646464646465</v>
      </c>
      <c r="X7" s="47" t="n">
        <f aca="false">IF(I7=0,0,K7/I7)</f>
        <v>0.0530085959885387</v>
      </c>
      <c r="Y7" s="66" t="n">
        <f aca="false">(H7-$H$20)*100</f>
        <v>1.55515841532126</v>
      </c>
      <c r="Z7" s="66" t="n">
        <f aca="false">(L7-$L$20)*100</f>
        <v>1.67126595750775</v>
      </c>
    </row>
    <row r="8" customFormat="false" ht="15" hidden="false" customHeight="false" outlineLevel="0" collapsed="false">
      <c r="A8" s="81" t="n">
        <v>46290</v>
      </c>
      <c r="B8" s="82" t="str">
        <f aca="false">TEXT(A8,"ddd")</f>
        <v>Fri</v>
      </c>
      <c r="C8" s="82" t="str">
        <f aca="false">IF(A8&lt;=DATE(2026,9,28),"Wk1 (22-28 Sep)",IF(A8&lt;=DATE(2026,10,5),"Wk2 (29 Sep-5 Oct)","Wk3 (6 Oct, partial)"))</f>
        <v>Wk1 (22-28 Sep)</v>
      </c>
      <c r="D8" s="83" t="n">
        <v>1840</v>
      </c>
      <c r="E8" s="83" t="n">
        <v>526</v>
      </c>
      <c r="F8" s="83" t="n">
        <v>514</v>
      </c>
      <c r="G8" s="83" t="n">
        <v>12</v>
      </c>
      <c r="H8" s="50" t="n">
        <f aca="false">IF(D8=0,0,1-E8/D8)</f>
        <v>0.714130434782609</v>
      </c>
      <c r="I8" s="83" t="n">
        <v>759</v>
      </c>
      <c r="J8" s="83" t="n">
        <v>731</v>
      </c>
      <c r="K8" s="83" t="n">
        <v>28</v>
      </c>
      <c r="L8" s="50" t="n">
        <f aca="false">IF(D8=0,0,1-I8/D8)</f>
        <v>0.5875</v>
      </c>
      <c r="M8" s="55" t="n">
        <f aca="false">(H8-L8)*100</f>
        <v>12.6630434782609</v>
      </c>
      <c r="N8" s="60" t="n">
        <f aca="false">I8-E8</f>
        <v>233</v>
      </c>
      <c r="O8" s="51" t="n">
        <f aca="false">IF(I8=0,0,N8/I8)</f>
        <v>0.306982872200264</v>
      </c>
      <c r="P8" s="51" t="n">
        <f aca="false">IF(D8=0,0,E8/D8)</f>
        <v>0.285869565217391</v>
      </c>
      <c r="Q8" s="51" t="n">
        <f aca="false">IF(D8=0,0,I8/D8)</f>
        <v>0.4125</v>
      </c>
      <c r="R8" s="76" t="n">
        <f aca="false">(H8-H7)*100</f>
        <v>-1.2539913091494</v>
      </c>
      <c r="S8" s="76" t="n">
        <f aca="false">(L8-L7)*100</f>
        <v>-2.70775814467145</v>
      </c>
      <c r="T8" s="84" t="n">
        <f aca="false">D8-D7</f>
        <v>29</v>
      </c>
      <c r="U8" s="51" t="n">
        <f aca="false">1-SUM(E6:E8)/SUM(D6:D8)</f>
        <v>0.717100229533282</v>
      </c>
      <c r="V8" s="51" t="n">
        <f aca="false">1-SUM(I6:I8)/SUM(D6:D8)</f>
        <v>0.595256312165264</v>
      </c>
      <c r="W8" s="51" t="n">
        <f aca="false">IF(E8=0,0,G8/E8)</f>
        <v>0.0228136882129278</v>
      </c>
      <c r="X8" s="51" t="n">
        <f aca="false">IF(I8=0,0,K8/I8)</f>
        <v>0.0368906455862978</v>
      </c>
      <c r="Y8" s="76" t="n">
        <f aca="false">(H8-$H$20)*100</f>
        <v>0.301167106171851</v>
      </c>
      <c r="Z8" s="76" t="n">
        <f aca="false">(L8-$L$20)*100</f>
        <v>-1.0364921871637</v>
      </c>
    </row>
    <row r="9" customFormat="false" ht="15" hidden="false" customHeight="false" outlineLevel="0" collapsed="false">
      <c r="A9" s="78" t="n">
        <v>46291</v>
      </c>
      <c r="B9" s="68" t="str">
        <f aca="false">TEXT(A9,"ddd")</f>
        <v>Sat</v>
      </c>
      <c r="C9" s="68" t="str">
        <f aca="false">IF(A9&lt;=DATE(2026,9,28),"Wk1 (22-28 Sep)",IF(A9&lt;=DATE(2026,10,5),"Wk2 (29 Sep-5 Oct)","Wk3 (6 Oct, partial)"))</f>
        <v>Wk1 (22-28 Sep)</v>
      </c>
      <c r="D9" s="79" t="n">
        <v>1262</v>
      </c>
      <c r="E9" s="79" t="n">
        <v>347</v>
      </c>
      <c r="F9" s="79" t="n">
        <v>327</v>
      </c>
      <c r="G9" s="79" t="n">
        <v>20</v>
      </c>
      <c r="H9" s="31" t="n">
        <f aca="false">IF(D9=0,0,1-E9/D9)</f>
        <v>0.725039619651347</v>
      </c>
      <c r="I9" s="79" t="n">
        <v>485</v>
      </c>
      <c r="J9" s="79" t="n">
        <v>454</v>
      </c>
      <c r="K9" s="79" t="n">
        <v>31</v>
      </c>
      <c r="L9" s="31" t="n">
        <f aca="false">IF(D9=0,0,1-I9/D9)</f>
        <v>0.615689381933439</v>
      </c>
      <c r="M9" s="67" t="n">
        <f aca="false">(H9-L9)*100</f>
        <v>10.9350237717908</v>
      </c>
      <c r="N9" s="39" t="n">
        <f aca="false">I9-E9</f>
        <v>138</v>
      </c>
      <c r="O9" s="47" t="n">
        <f aca="false">IF(I9=0,0,N9/I9)</f>
        <v>0.284536082474227</v>
      </c>
      <c r="P9" s="47" t="n">
        <f aca="false">IF(D9=0,0,E9/D9)</f>
        <v>0.274960380348653</v>
      </c>
      <c r="Q9" s="47" t="n">
        <f aca="false">IF(D9=0,0,I9/D9)</f>
        <v>0.384310618066561</v>
      </c>
      <c r="R9" s="66" t="n">
        <f aca="false">(H9-H8)*100</f>
        <v>1.09091848687384</v>
      </c>
      <c r="S9" s="66" t="n">
        <f aca="false">(L9-L8)*100</f>
        <v>2.8189381933439</v>
      </c>
      <c r="T9" s="86" t="n">
        <f aca="false">D9-D8</f>
        <v>-578</v>
      </c>
      <c r="U9" s="47" t="n">
        <f aca="false">1-SUM(E7:E9)/SUM(D7:D9)</f>
        <v>0.721555058009363</v>
      </c>
      <c r="V9" s="47" t="n">
        <f aca="false">1-SUM(I7:I9)/SUM(D7:D9)</f>
        <v>0.604722165682882</v>
      </c>
      <c r="W9" s="47" t="n">
        <f aca="false">IF(E9=0,0,G9/E9)</f>
        <v>0.0576368876080692</v>
      </c>
      <c r="X9" s="47" t="n">
        <f aca="false">IF(I9=0,0,K9/I9)</f>
        <v>0.0639175257731959</v>
      </c>
      <c r="Y9" s="66" t="n">
        <f aca="false">(H9-$H$20)*100</f>
        <v>1.39208559304569</v>
      </c>
      <c r="Z9" s="66" t="n">
        <f aca="false">(L9-$L$20)*100</f>
        <v>1.78244600618021</v>
      </c>
    </row>
    <row r="10" customFormat="false" ht="15" hidden="false" customHeight="false" outlineLevel="0" collapsed="false">
      <c r="A10" s="81" t="n">
        <v>46292</v>
      </c>
      <c r="B10" s="82" t="str">
        <f aca="false">TEXT(A10,"ddd")</f>
        <v>Sun</v>
      </c>
      <c r="C10" s="82" t="str">
        <f aca="false">IF(A10&lt;=DATE(2026,9,28),"Wk1 (22-28 Sep)",IF(A10&lt;=DATE(2026,10,5),"Wk2 (29 Sep-5 Oct)","Wk3 (6 Oct, partial)"))</f>
        <v>Wk1 (22-28 Sep)</v>
      </c>
      <c r="D10" s="83" t="n">
        <v>918</v>
      </c>
      <c r="E10" s="83" t="n">
        <v>250</v>
      </c>
      <c r="F10" s="83" t="n">
        <v>241</v>
      </c>
      <c r="G10" s="83" t="n">
        <v>9</v>
      </c>
      <c r="H10" s="50" t="n">
        <f aca="false">IF(D10=0,0,1-E10/D10)</f>
        <v>0.727668845315904</v>
      </c>
      <c r="I10" s="83" t="n">
        <v>370</v>
      </c>
      <c r="J10" s="83" t="n">
        <v>348</v>
      </c>
      <c r="K10" s="83" t="n">
        <v>22</v>
      </c>
      <c r="L10" s="50" t="n">
        <f aca="false">IF(D10=0,0,1-I10/D10)</f>
        <v>0.596949891067538</v>
      </c>
      <c r="M10" s="55" t="n">
        <f aca="false">(H10-L10)*100</f>
        <v>13.0718954248366</v>
      </c>
      <c r="N10" s="60" t="n">
        <f aca="false">I10-E10</f>
        <v>120</v>
      </c>
      <c r="O10" s="51" t="n">
        <f aca="false">IF(I10=0,0,N10/I10)</f>
        <v>0.324324324324324</v>
      </c>
      <c r="P10" s="51" t="n">
        <f aca="false">IF(D10=0,0,E10/D10)</f>
        <v>0.272331154684096</v>
      </c>
      <c r="Q10" s="51" t="n">
        <f aca="false">IF(D10=0,0,I10/D10)</f>
        <v>0.403050108932462</v>
      </c>
      <c r="R10" s="76" t="n">
        <f aca="false">(H10-H9)*100</f>
        <v>0.262922566455703</v>
      </c>
      <c r="S10" s="76" t="n">
        <f aca="false">(L10-L9)*100</f>
        <v>-1.87394908659009</v>
      </c>
      <c r="T10" s="84" t="n">
        <f aca="false">D10-D9</f>
        <v>-344</v>
      </c>
      <c r="U10" s="51" t="n">
        <f aca="false">1-SUM(E8:E10)/SUM(D8:D10)</f>
        <v>0.720646766169154</v>
      </c>
      <c r="V10" s="51" t="n">
        <f aca="false">1-SUM(I8:I10)/SUM(D8:D10)</f>
        <v>0.598507462686567</v>
      </c>
      <c r="W10" s="51" t="n">
        <f aca="false">IF(E10=0,0,G10/E10)</f>
        <v>0.036</v>
      </c>
      <c r="X10" s="51" t="n">
        <f aca="false">IF(I10=0,0,K10/I10)</f>
        <v>0.0594594594594595</v>
      </c>
      <c r="Y10" s="76" t="n">
        <f aca="false">(H10-$H$20)*100</f>
        <v>1.65500815950139</v>
      </c>
      <c r="Z10" s="76" t="n">
        <f aca="false">(L10-$L$20)*100</f>
        <v>-0.0915030804098826</v>
      </c>
    </row>
    <row r="11" customFormat="false" ht="15" hidden="false" customHeight="false" outlineLevel="0" collapsed="false">
      <c r="A11" s="78" t="n">
        <v>46293</v>
      </c>
      <c r="B11" s="68" t="str">
        <f aca="false">TEXT(A11,"ddd")</f>
        <v>Mon</v>
      </c>
      <c r="C11" s="68" t="str">
        <f aca="false">IF(A11&lt;=DATE(2026,9,28),"Wk1 (22-28 Sep)",IF(A11&lt;=DATE(2026,10,5),"Wk2 (29 Sep-5 Oct)","Wk3 (6 Oct, partial)"))</f>
        <v>Wk1 (22-28 Sep)</v>
      </c>
      <c r="D11" s="79" t="n">
        <v>1804</v>
      </c>
      <c r="E11" s="79" t="n">
        <v>477</v>
      </c>
      <c r="F11" s="79" t="n">
        <v>457</v>
      </c>
      <c r="G11" s="79" t="n">
        <v>20</v>
      </c>
      <c r="H11" s="31" t="n">
        <f aca="false">IF(D11=0,0,1-E11/D11)</f>
        <v>0.735587583148559</v>
      </c>
      <c r="I11" s="79" t="n">
        <v>693</v>
      </c>
      <c r="J11" s="79" t="n">
        <v>654</v>
      </c>
      <c r="K11" s="79" t="n">
        <v>39</v>
      </c>
      <c r="L11" s="31" t="n">
        <f aca="false">IF(D11=0,0,1-I11/D11)</f>
        <v>0.615853658536585</v>
      </c>
      <c r="M11" s="67" t="n">
        <f aca="false">(H11-L11)*100</f>
        <v>11.9733924611973</v>
      </c>
      <c r="N11" s="39" t="n">
        <f aca="false">I11-E11</f>
        <v>216</v>
      </c>
      <c r="O11" s="47" t="n">
        <f aca="false">IF(I11=0,0,N11/I11)</f>
        <v>0.311688311688312</v>
      </c>
      <c r="P11" s="47" t="n">
        <f aca="false">IF(D11=0,0,E11/D11)</f>
        <v>0.264412416851441</v>
      </c>
      <c r="Q11" s="47" t="n">
        <f aca="false">IF(D11=0,0,I11/D11)</f>
        <v>0.384146341463415</v>
      </c>
      <c r="R11" s="66" t="n">
        <f aca="false">(H11-H10)*100</f>
        <v>0.791873783265462</v>
      </c>
      <c r="S11" s="66" t="n">
        <f aca="false">(L11-L10)*100</f>
        <v>1.89037674690472</v>
      </c>
      <c r="T11" s="86" t="n">
        <f aca="false">D11-D10</f>
        <v>886</v>
      </c>
      <c r="U11" s="47" t="n">
        <f aca="false">1-SUM(E9:E11)/SUM(D9:D11)</f>
        <v>0.730421686746988</v>
      </c>
      <c r="V11" s="47" t="n">
        <f aca="false">1-SUM(I9:I11)/SUM(D9:D11)</f>
        <v>0.61144578313253</v>
      </c>
      <c r="W11" s="47" t="n">
        <f aca="false">IF(E11=0,0,G11/E11)</f>
        <v>0.0419287211740042</v>
      </c>
      <c r="X11" s="47" t="n">
        <f aca="false">IF(I11=0,0,K11/I11)</f>
        <v>0.0562770562770563</v>
      </c>
      <c r="Y11" s="66" t="n">
        <f aca="false">(H11-$H$20)*100</f>
        <v>2.44688194276685</v>
      </c>
      <c r="Z11" s="66" t="n">
        <f aca="false">(L11-$L$20)*100</f>
        <v>1.79887366649484</v>
      </c>
    </row>
    <row r="12" customFormat="false" ht="15" hidden="false" customHeight="false" outlineLevel="0" collapsed="false">
      <c r="A12" s="81" t="n">
        <v>46294</v>
      </c>
      <c r="B12" s="82" t="str">
        <f aca="false">TEXT(A12,"ddd")</f>
        <v>Tue</v>
      </c>
      <c r="C12" s="82" t="str">
        <f aca="false">IF(A12&lt;=DATE(2026,9,28),"Wk1 (22-28 Sep)",IF(A12&lt;=DATE(2026,10,5),"Wk2 (29 Sep-5 Oct)","Wk3 (6 Oct, partial)"))</f>
        <v>Wk2 (29 Sep-5 Oct)</v>
      </c>
      <c r="D12" s="83" t="n">
        <v>1498</v>
      </c>
      <c r="E12" s="83" t="n">
        <v>439</v>
      </c>
      <c r="F12" s="83" t="n">
        <v>421</v>
      </c>
      <c r="G12" s="83" t="n">
        <v>18</v>
      </c>
      <c r="H12" s="50" t="n">
        <f aca="false">IF(D12=0,0,1-E12/D12)</f>
        <v>0.70694259012016</v>
      </c>
      <c r="I12" s="83" t="n">
        <v>591</v>
      </c>
      <c r="J12" s="83" t="n">
        <v>559</v>
      </c>
      <c r="K12" s="83" t="n">
        <v>32</v>
      </c>
      <c r="L12" s="50" t="n">
        <f aca="false">IF(D12=0,0,1-I12/D12)</f>
        <v>0.605473965287049</v>
      </c>
      <c r="M12" s="55" t="n">
        <f aca="false">(H12-L12)*100</f>
        <v>10.1468624833111</v>
      </c>
      <c r="N12" s="60" t="n">
        <f aca="false">I12-E12</f>
        <v>152</v>
      </c>
      <c r="O12" s="51" t="n">
        <f aca="false">IF(I12=0,0,N12/I12)</f>
        <v>0.257191201353638</v>
      </c>
      <c r="P12" s="51" t="n">
        <f aca="false">IF(D12=0,0,E12/D12)</f>
        <v>0.29305740987984</v>
      </c>
      <c r="Q12" s="51" t="n">
        <f aca="false">IF(D12=0,0,I12/D12)</f>
        <v>0.394526034712951</v>
      </c>
      <c r="R12" s="76" t="n">
        <f aca="false">(H12-H11)*100</f>
        <v>-2.86449930283985</v>
      </c>
      <c r="S12" s="76" t="n">
        <f aca="false">(L12-L11)*100</f>
        <v>-1.0379693249536</v>
      </c>
      <c r="T12" s="84" t="n">
        <f aca="false">D12-D11</f>
        <v>-306</v>
      </c>
      <c r="U12" s="51" t="n">
        <f aca="false">1-SUM(E10:E12)/SUM(D10:D12)</f>
        <v>0.723696682464455</v>
      </c>
      <c r="V12" s="51" t="n">
        <f aca="false">1-SUM(I10:I12)/SUM(D10:D12)</f>
        <v>0.608056872037915</v>
      </c>
      <c r="W12" s="51" t="n">
        <f aca="false">IF(E12=0,0,G12/E12)</f>
        <v>0.041002277904328</v>
      </c>
      <c r="X12" s="51" t="n">
        <f aca="false">IF(I12=0,0,K12/I12)</f>
        <v>0.0541455160744501</v>
      </c>
      <c r="Y12" s="76" t="n">
        <f aca="false">(H12-$H$20)*100</f>
        <v>-0.417617360072997</v>
      </c>
      <c r="Z12" s="76" t="n">
        <f aca="false">(L12-$L$20)*100</f>
        <v>0.760904341541235</v>
      </c>
    </row>
    <row r="13" customFormat="false" ht="15" hidden="false" customHeight="false" outlineLevel="0" collapsed="false">
      <c r="A13" s="78" t="n">
        <v>46295</v>
      </c>
      <c r="B13" s="68" t="str">
        <f aca="false">TEXT(A13,"ddd")</f>
        <v>Wed</v>
      </c>
      <c r="C13" s="68" t="str">
        <f aca="false">IF(A13&lt;=DATE(2026,9,28),"Wk1 (22-28 Sep)",IF(A13&lt;=DATE(2026,10,5),"Wk2 (29 Sep-5 Oct)","Wk3 (6 Oct, partial)"))</f>
        <v>Wk2 (29 Sep-5 Oct)</v>
      </c>
      <c r="D13" s="79" t="n">
        <v>1696</v>
      </c>
      <c r="E13" s="79" t="n">
        <v>495</v>
      </c>
      <c r="F13" s="79" t="n">
        <v>467</v>
      </c>
      <c r="G13" s="79" t="n">
        <v>28</v>
      </c>
      <c r="H13" s="31" t="n">
        <f aca="false">IF(D13=0,0,1-E13/D13)</f>
        <v>0.70813679245283</v>
      </c>
      <c r="I13" s="79" t="n">
        <v>673</v>
      </c>
      <c r="J13" s="79" t="n">
        <v>629</v>
      </c>
      <c r="K13" s="79" t="n">
        <v>44</v>
      </c>
      <c r="L13" s="31" t="n">
        <f aca="false">IF(D13=0,0,1-I13/D13)</f>
        <v>0.603183962264151</v>
      </c>
      <c r="M13" s="67" t="n">
        <f aca="false">(H13-L13)*100</f>
        <v>10.4952830188679</v>
      </c>
      <c r="N13" s="39" t="n">
        <f aca="false">I13-E13</f>
        <v>178</v>
      </c>
      <c r="O13" s="47" t="n">
        <f aca="false">IF(I13=0,0,N13/I13)</f>
        <v>0.264487369985141</v>
      </c>
      <c r="P13" s="47" t="n">
        <f aca="false">IF(D13=0,0,E13/D13)</f>
        <v>0.29186320754717</v>
      </c>
      <c r="Q13" s="47" t="n">
        <f aca="false">IF(D13=0,0,I13/D13)</f>
        <v>0.396816037735849</v>
      </c>
      <c r="R13" s="66" t="n">
        <f aca="false">(H13-H12)*100</f>
        <v>0.119420233266987</v>
      </c>
      <c r="S13" s="66" t="n">
        <f aca="false">(L13-L12)*100</f>
        <v>-0.229000302289839</v>
      </c>
      <c r="T13" s="86" t="n">
        <f aca="false">D13-D12</f>
        <v>198</v>
      </c>
      <c r="U13" s="47" t="n">
        <f aca="false">1-SUM(E11:E13)/SUM(D11:D13)</f>
        <v>0.717687074829932</v>
      </c>
      <c r="V13" s="47" t="n">
        <f aca="false">1-SUM(I11:I13)/SUM(D11:D13)</f>
        <v>0.60844337735094</v>
      </c>
      <c r="W13" s="47" t="n">
        <f aca="false">IF(E13=0,0,G13/E13)</f>
        <v>0.0565656565656566</v>
      </c>
      <c r="X13" s="47" t="n">
        <f aca="false">IF(I13=0,0,K13/I13)</f>
        <v>0.0653789004457652</v>
      </c>
      <c r="Y13" s="66" t="n">
        <f aca="false">(H13-$H$20)*100</f>
        <v>-0.29819712680601</v>
      </c>
      <c r="Z13" s="66" t="n">
        <f aca="false">(L13-$L$20)*100</f>
        <v>0.531904039251396</v>
      </c>
    </row>
    <row r="14" customFormat="false" ht="15" hidden="false" customHeight="false" outlineLevel="0" collapsed="false">
      <c r="A14" s="81" t="n">
        <v>46296</v>
      </c>
      <c r="B14" s="82" t="str">
        <f aca="false">TEXT(A14,"ddd")</f>
        <v>Thu</v>
      </c>
      <c r="C14" s="82" t="str">
        <f aca="false">IF(A14&lt;=DATE(2026,9,28),"Wk1 (22-28 Sep)",IF(A14&lt;=DATE(2026,10,5),"Wk2 (29 Sep-5 Oct)","Wk3 (6 Oct, partial)"))</f>
        <v>Wk2 (29 Sep-5 Oct)</v>
      </c>
      <c r="D14" s="83" t="n">
        <v>1672</v>
      </c>
      <c r="E14" s="83" t="n">
        <v>543</v>
      </c>
      <c r="F14" s="83" t="n">
        <v>523</v>
      </c>
      <c r="G14" s="83" t="n">
        <v>20</v>
      </c>
      <c r="H14" s="50" t="n">
        <f aca="false">IF(D14=0,0,1-E14/D14)</f>
        <v>0.675239234449761</v>
      </c>
      <c r="I14" s="83" t="n">
        <v>717</v>
      </c>
      <c r="J14" s="83" t="n">
        <v>680</v>
      </c>
      <c r="K14" s="83" t="n">
        <v>37</v>
      </c>
      <c r="L14" s="50" t="n">
        <f aca="false">IF(D14=0,0,1-I14/D14)</f>
        <v>0.571172248803828</v>
      </c>
      <c r="M14" s="55" t="n">
        <f aca="false">(H14-L14)*100</f>
        <v>10.4066985645933</v>
      </c>
      <c r="N14" s="60" t="n">
        <f aca="false">I14-E14</f>
        <v>174</v>
      </c>
      <c r="O14" s="51" t="n">
        <f aca="false">IF(I14=0,0,N14/I14)</f>
        <v>0.242677824267782</v>
      </c>
      <c r="P14" s="51" t="n">
        <f aca="false">IF(D14=0,0,E14/D14)</f>
        <v>0.324760765550239</v>
      </c>
      <c r="Q14" s="51" t="n">
        <f aca="false">IF(D14=0,0,I14/D14)</f>
        <v>0.428827751196172</v>
      </c>
      <c r="R14" s="76" t="n">
        <f aca="false">(H14-H13)*100</f>
        <v>-3.28975580030694</v>
      </c>
      <c r="S14" s="76" t="n">
        <f aca="false">(L14-L13)*100</f>
        <v>-3.20117134603232</v>
      </c>
      <c r="T14" s="84" t="n">
        <f aca="false">D14-D13</f>
        <v>-24</v>
      </c>
      <c r="U14" s="51" t="n">
        <f aca="false">1-SUM(E12:E14)/SUM(D12:D14)</f>
        <v>0.696465269214961</v>
      </c>
      <c r="V14" s="51" t="n">
        <f aca="false">1-SUM(I12:I14)/SUM(D12:D14)</f>
        <v>0.592889436909166</v>
      </c>
      <c r="W14" s="51" t="n">
        <f aca="false">IF(E14=0,0,G14/E14)</f>
        <v>0.0368324125230203</v>
      </c>
      <c r="X14" s="51" t="n">
        <f aca="false">IF(I14=0,0,K14/I14)</f>
        <v>0.0516039051603905</v>
      </c>
      <c r="Y14" s="76" t="n">
        <f aca="false">(H14-$H$20)*100</f>
        <v>-3.58795292711295</v>
      </c>
      <c r="Z14" s="76" t="n">
        <f aca="false">(L14-$L$20)*100</f>
        <v>-2.66926730678092</v>
      </c>
    </row>
    <row r="15" customFormat="false" ht="15" hidden="false" customHeight="false" outlineLevel="0" collapsed="false">
      <c r="A15" s="78" t="n">
        <v>46297</v>
      </c>
      <c r="B15" s="68" t="str">
        <f aca="false">TEXT(A15,"ddd")</f>
        <v>Fri</v>
      </c>
      <c r="C15" s="68" t="str">
        <f aca="false">IF(A15&lt;=DATE(2026,9,28),"Wk1 (22-28 Sep)",IF(A15&lt;=DATE(2026,10,5),"Wk2 (29 Sep-5 Oct)","Wk3 (6 Oct, partial)"))</f>
        <v>Wk2 (29 Sep-5 Oct)</v>
      </c>
      <c r="D15" s="79" t="n">
        <v>1693</v>
      </c>
      <c r="E15" s="79" t="n">
        <v>525</v>
      </c>
      <c r="F15" s="79" t="n">
        <v>497</v>
      </c>
      <c r="G15" s="79" t="n">
        <v>28</v>
      </c>
      <c r="H15" s="31" t="n">
        <f aca="false">IF(D15=0,0,1-E15/D15)</f>
        <v>0.689899586532782</v>
      </c>
      <c r="I15" s="79" t="n">
        <v>729</v>
      </c>
      <c r="J15" s="79" t="n">
        <v>674</v>
      </c>
      <c r="K15" s="79" t="n">
        <v>55</v>
      </c>
      <c r="L15" s="31" t="n">
        <f aca="false">IF(D15=0,0,1-I15/D15)</f>
        <v>0.569403425871235</v>
      </c>
      <c r="M15" s="67" t="n">
        <f aca="false">(H15-L15)*100</f>
        <v>12.0496160661548</v>
      </c>
      <c r="N15" s="39" t="n">
        <f aca="false">I15-E15</f>
        <v>204</v>
      </c>
      <c r="O15" s="47" t="n">
        <f aca="false">IF(I15=0,0,N15/I15)</f>
        <v>0.279835390946502</v>
      </c>
      <c r="P15" s="47" t="n">
        <f aca="false">IF(D15=0,0,E15/D15)</f>
        <v>0.310100413467218</v>
      </c>
      <c r="Q15" s="47" t="n">
        <f aca="false">IF(D15=0,0,I15/D15)</f>
        <v>0.430596574128766</v>
      </c>
      <c r="R15" s="66" t="n">
        <f aca="false">(H15-H14)*100</f>
        <v>1.46603520830213</v>
      </c>
      <c r="S15" s="66" t="n">
        <f aca="false">(L15-L14)*100</f>
        <v>-0.176882293259328</v>
      </c>
      <c r="T15" s="86" t="n">
        <f aca="false">D15-D14</f>
        <v>21</v>
      </c>
      <c r="U15" s="47" t="n">
        <f aca="false">1-SUM(E13:E15)/SUM(D13:D15)</f>
        <v>0.691167753408417</v>
      </c>
      <c r="V15" s="47" t="n">
        <f aca="false">1-SUM(I13:I15)/SUM(D13:D15)</f>
        <v>0.581308041888955</v>
      </c>
      <c r="W15" s="47" t="n">
        <f aca="false">IF(E15=0,0,G15/E15)</f>
        <v>0.0533333333333333</v>
      </c>
      <c r="X15" s="47" t="n">
        <f aca="false">IF(I15=0,0,K15/I15)</f>
        <v>0.0754458161865569</v>
      </c>
      <c r="Y15" s="66" t="n">
        <f aca="false">(H15-$H$20)*100</f>
        <v>-2.12191771881082</v>
      </c>
      <c r="Z15" s="66" t="n">
        <f aca="false">(L15-$L$20)*100</f>
        <v>-2.84614960004025</v>
      </c>
    </row>
    <row r="16" customFormat="false" ht="15" hidden="false" customHeight="false" outlineLevel="0" collapsed="false">
      <c r="A16" s="81" t="n">
        <v>46298</v>
      </c>
      <c r="B16" s="82" t="str">
        <f aca="false">TEXT(A16,"ddd")</f>
        <v>Sat</v>
      </c>
      <c r="C16" s="82" t="str">
        <f aca="false">IF(A16&lt;=DATE(2026,9,28),"Wk1 (22-28 Sep)",IF(A16&lt;=DATE(2026,10,5),"Wk2 (29 Sep-5 Oct)","Wk3 (6 Oct, partial)"))</f>
        <v>Wk2 (29 Sep-5 Oct)</v>
      </c>
      <c r="D16" s="83" t="n">
        <v>1199</v>
      </c>
      <c r="E16" s="83" t="n">
        <v>340</v>
      </c>
      <c r="F16" s="83" t="n">
        <v>327</v>
      </c>
      <c r="G16" s="83" t="n">
        <v>13</v>
      </c>
      <c r="H16" s="50" t="n">
        <f aca="false">IF(D16=0,0,1-E16/D16)</f>
        <v>0.716430358632194</v>
      </c>
      <c r="I16" s="83" t="n">
        <v>491</v>
      </c>
      <c r="J16" s="83" t="n">
        <v>461</v>
      </c>
      <c r="K16" s="83" t="n">
        <v>30</v>
      </c>
      <c r="L16" s="50" t="n">
        <f aca="false">IF(D16=0,0,1-I16/D16)</f>
        <v>0.590492076730609</v>
      </c>
      <c r="M16" s="55" t="n">
        <f aca="false">(H16-L16)*100</f>
        <v>12.5938281901585</v>
      </c>
      <c r="N16" s="60" t="n">
        <f aca="false">I16-E16</f>
        <v>151</v>
      </c>
      <c r="O16" s="51" t="n">
        <f aca="false">IF(I16=0,0,N16/I16)</f>
        <v>0.307535641547862</v>
      </c>
      <c r="P16" s="51" t="n">
        <f aca="false">IF(D16=0,0,E16/D16)</f>
        <v>0.283569641367807</v>
      </c>
      <c r="Q16" s="51" t="n">
        <f aca="false">IF(D16=0,0,I16/D16)</f>
        <v>0.409507923269391</v>
      </c>
      <c r="R16" s="76" t="n">
        <f aca="false">(H16-H15)*100</f>
        <v>2.65307720994115</v>
      </c>
      <c r="S16" s="76" t="n">
        <f aca="false">(L16-L15)*100</f>
        <v>2.10886508593743</v>
      </c>
      <c r="T16" s="84" t="n">
        <f aca="false">D16-D15</f>
        <v>-494</v>
      </c>
      <c r="U16" s="51" t="n">
        <f aca="false">1-SUM(E14:E16)/SUM(D14:D16)</f>
        <v>0.691498685363716</v>
      </c>
      <c r="V16" s="51" t="n">
        <f aca="false">1-SUM(I14:I16)/SUM(D14:D16)</f>
        <v>0.575591586327783</v>
      </c>
      <c r="W16" s="51" t="n">
        <f aca="false">IF(E16=0,0,G16/E16)</f>
        <v>0.0382352941176471</v>
      </c>
      <c r="X16" s="51" t="n">
        <f aca="false">IF(I16=0,0,K16/I16)</f>
        <v>0.0610997963340122</v>
      </c>
      <c r="Y16" s="76" t="n">
        <f aca="false">(H16-$H$20)*100</f>
        <v>0.531159491130329</v>
      </c>
      <c r="Z16" s="76" t="n">
        <f aca="false">(L16-$L$20)*100</f>
        <v>-0.737284514102821</v>
      </c>
    </row>
    <row r="17" customFormat="false" ht="15" hidden="false" customHeight="false" outlineLevel="0" collapsed="false">
      <c r="A17" s="78" t="n">
        <v>46299</v>
      </c>
      <c r="B17" s="68" t="str">
        <f aca="false">TEXT(A17,"ddd")</f>
        <v>Sun</v>
      </c>
      <c r="C17" s="68" t="str">
        <f aca="false">IF(A17&lt;=DATE(2026,9,28),"Wk1 (22-28 Sep)",IF(A17&lt;=DATE(2026,10,5),"Wk2 (29 Sep-5 Oct)","Wk3 (6 Oct, partial)"))</f>
        <v>Wk2 (29 Sep-5 Oct)</v>
      </c>
      <c r="D17" s="79" t="n">
        <v>962</v>
      </c>
      <c r="E17" s="79" t="n">
        <v>297</v>
      </c>
      <c r="F17" s="79" t="n">
        <v>278</v>
      </c>
      <c r="G17" s="79" t="n">
        <v>19</v>
      </c>
      <c r="H17" s="31" t="n">
        <f aca="false">IF(D17=0,0,1-E17/D17)</f>
        <v>0.691268191268191</v>
      </c>
      <c r="I17" s="79" t="n">
        <v>394</v>
      </c>
      <c r="J17" s="79" t="n">
        <v>369</v>
      </c>
      <c r="K17" s="79" t="n">
        <v>25</v>
      </c>
      <c r="L17" s="31" t="n">
        <f aca="false">IF(D17=0,0,1-I17/D17)</f>
        <v>0.590436590436591</v>
      </c>
      <c r="M17" s="67" t="n">
        <f aca="false">(H17-L17)*100</f>
        <v>10.0831600831601</v>
      </c>
      <c r="N17" s="39" t="n">
        <f aca="false">I17-E17</f>
        <v>97</v>
      </c>
      <c r="O17" s="47" t="n">
        <f aca="false">IF(I17=0,0,N17/I17)</f>
        <v>0.246192893401015</v>
      </c>
      <c r="P17" s="47" t="n">
        <f aca="false">IF(D17=0,0,E17/D17)</f>
        <v>0.308731808731809</v>
      </c>
      <c r="Q17" s="47" t="n">
        <f aca="false">IF(D17=0,0,I17/D17)</f>
        <v>0.40956340956341</v>
      </c>
      <c r="R17" s="66" t="n">
        <f aca="false">(H17-H16)*100</f>
        <v>-2.51621673640022</v>
      </c>
      <c r="S17" s="66" t="n">
        <f aca="false">(L17-L16)*100</f>
        <v>-0.00554862940183032</v>
      </c>
      <c r="T17" s="86" t="n">
        <f aca="false">D17-D16</f>
        <v>-237</v>
      </c>
      <c r="U17" s="47" t="n">
        <f aca="false">1-SUM(E15:E17)/SUM(D15:D17)</f>
        <v>0.698495070057084</v>
      </c>
      <c r="V17" s="47" t="n">
        <f aca="false">1-SUM(I15:I17)/SUM(D15:D17)</f>
        <v>0.581214322781526</v>
      </c>
      <c r="W17" s="47" t="n">
        <f aca="false">IF(E17=0,0,G17/E17)</f>
        <v>0.063973063973064</v>
      </c>
      <c r="X17" s="47" t="n">
        <f aca="false">IF(I17=0,0,K17/I17)</f>
        <v>0.0634517766497462</v>
      </c>
      <c r="Y17" s="66" t="n">
        <f aca="false">(H17-$H$20)*100</f>
        <v>-1.98505724526989</v>
      </c>
      <c r="Z17" s="66" t="n">
        <f aca="false">(L17-$L$20)*100</f>
        <v>-0.742833143504651</v>
      </c>
    </row>
    <row r="18" customFormat="false" ht="15" hidden="false" customHeight="false" outlineLevel="0" collapsed="false">
      <c r="A18" s="81" t="n">
        <v>46300</v>
      </c>
      <c r="B18" s="82" t="str">
        <f aca="false">TEXT(A18,"ddd")</f>
        <v>Mon</v>
      </c>
      <c r="C18" s="82" t="str">
        <f aca="false">IF(A18&lt;=DATE(2026,9,28),"Wk1 (22-28 Sep)",IF(A18&lt;=DATE(2026,10,5),"Wk2 (29 Sep-5 Oct)","Wk3 (6 Oct, partial)"))</f>
        <v>Wk2 (29 Sep-5 Oct)</v>
      </c>
      <c r="D18" s="83" t="n">
        <v>2057</v>
      </c>
      <c r="E18" s="83" t="n">
        <v>620</v>
      </c>
      <c r="F18" s="83" t="n">
        <v>587</v>
      </c>
      <c r="G18" s="83" t="n">
        <v>33</v>
      </c>
      <c r="H18" s="50" t="n">
        <f aca="false">IF(D18=0,0,1-E18/D18)</f>
        <v>0.698590179873602</v>
      </c>
      <c r="I18" s="83" t="n">
        <v>835</v>
      </c>
      <c r="J18" s="83" t="n">
        <v>780</v>
      </c>
      <c r="K18" s="83" t="n">
        <v>55</v>
      </c>
      <c r="L18" s="50" t="n">
        <f aca="false">IF(D18=0,0,1-I18/D18)</f>
        <v>0.594069032571706</v>
      </c>
      <c r="M18" s="55" t="n">
        <f aca="false">(H18-L18)*100</f>
        <v>10.4521147301896</v>
      </c>
      <c r="N18" s="60" t="n">
        <f aca="false">I18-E18</f>
        <v>215</v>
      </c>
      <c r="O18" s="51" t="n">
        <f aca="false">IF(I18=0,0,N18/I18)</f>
        <v>0.25748502994012</v>
      </c>
      <c r="P18" s="51" t="n">
        <f aca="false">IF(D18=0,0,E18/D18)</f>
        <v>0.301409820126398</v>
      </c>
      <c r="Q18" s="51" t="n">
        <f aca="false">IF(D18=0,0,I18/D18)</f>
        <v>0.405930967428294</v>
      </c>
      <c r="R18" s="76" t="n">
        <f aca="false">(H18-H17)*100</f>
        <v>0.7321988605411</v>
      </c>
      <c r="S18" s="76" t="n">
        <f aca="false">(L18-L17)*100</f>
        <v>0.363244213511593</v>
      </c>
      <c r="T18" s="84" t="n">
        <f aca="false">D18-D17</f>
        <v>1095</v>
      </c>
      <c r="U18" s="51" t="n">
        <f aca="false">1-SUM(E16:E18)/SUM(D16:D18)</f>
        <v>0.70199146514936</v>
      </c>
      <c r="V18" s="51" t="n">
        <f aca="false">1-SUM(I16:I18)/SUM(D16:D18)</f>
        <v>0.592223802750119</v>
      </c>
      <c r="W18" s="51" t="n">
        <f aca="false">IF(E18=0,0,G18/E18)</f>
        <v>0.0532258064516129</v>
      </c>
      <c r="X18" s="51" t="n">
        <f aca="false">IF(I18=0,0,K18/I18)</f>
        <v>0.0658682634730539</v>
      </c>
      <c r="Y18" s="76" t="n">
        <f aca="false">(H18-$H$20)*100</f>
        <v>-1.25285838472879</v>
      </c>
      <c r="Z18" s="76" t="n">
        <f aca="false">(L18-$L$20)*100</f>
        <v>-0.379588929993058</v>
      </c>
    </row>
    <row r="19" customFormat="false" ht="15" hidden="false" customHeight="false" outlineLevel="0" collapsed="false">
      <c r="A19" s="78" t="n">
        <v>46301</v>
      </c>
      <c r="B19" s="68" t="str">
        <f aca="false">TEXT(A19,"ddd")</f>
        <v>Tue</v>
      </c>
      <c r="C19" s="68" t="str">
        <f aca="false">IF(A19&lt;=DATE(2026,9,28),"Wk1 (22-28 Sep)",IF(A19&lt;=DATE(2026,10,5),"Wk2 (29 Sep-5 Oct)","Wk3 (6 Oct, partial)"))</f>
        <v>Wk3 (6 Oct, partial)</v>
      </c>
      <c r="D19" s="79" t="n">
        <v>1655</v>
      </c>
      <c r="E19" s="79" t="n">
        <v>484</v>
      </c>
      <c r="F19" s="79" t="n">
        <v>459</v>
      </c>
      <c r="G19" s="79" t="n">
        <v>25</v>
      </c>
      <c r="H19" s="31" t="n">
        <f aca="false">IF(D19=0,0,1-E19/D19)</f>
        <v>0.707552870090634</v>
      </c>
      <c r="I19" s="79" t="n">
        <v>661</v>
      </c>
      <c r="J19" s="79" t="n">
        <v>622</v>
      </c>
      <c r="K19" s="79" t="n">
        <v>39</v>
      </c>
      <c r="L19" s="31" t="n">
        <f aca="false">IF(D19=0,0,1-I19/D19)</f>
        <v>0.600604229607251</v>
      </c>
      <c r="M19" s="67" t="n">
        <f aca="false">(H19-L19)*100</f>
        <v>10.6948640483384</v>
      </c>
      <c r="N19" s="39" t="n">
        <f aca="false">I19-E19</f>
        <v>177</v>
      </c>
      <c r="O19" s="47" t="n">
        <f aca="false">IF(I19=0,0,N19/I19)</f>
        <v>0.267776096822995</v>
      </c>
      <c r="P19" s="47" t="n">
        <f aca="false">IF(D19=0,0,E19/D19)</f>
        <v>0.292447129909366</v>
      </c>
      <c r="Q19" s="47" t="n">
        <f aca="false">IF(D19=0,0,I19/D19)</f>
        <v>0.399395770392749</v>
      </c>
      <c r="R19" s="66" t="n">
        <f aca="false">(H19-H18)*100</f>
        <v>0.896269021703211</v>
      </c>
      <c r="S19" s="66" t="n">
        <f aca="false">(L19-L18)*100</f>
        <v>0.653519703554428</v>
      </c>
      <c r="T19" s="86" t="n">
        <f aca="false">D19-D18</f>
        <v>-402</v>
      </c>
      <c r="U19" s="47" t="n">
        <f aca="false">1-SUM(E17:E19)/SUM(D17:D19)</f>
        <v>0.700256739409499</v>
      </c>
      <c r="V19" s="47" t="n">
        <f aca="false">1-SUM(I17:I19)/SUM(D17:D19)</f>
        <v>0.595635430038511</v>
      </c>
      <c r="W19" s="47" t="n">
        <f aca="false">IF(E19=0,0,G19/E19)</f>
        <v>0.0516528925619835</v>
      </c>
      <c r="X19" s="47" t="n">
        <f aca="false">IF(I19=0,0,K19/I19)</f>
        <v>0.0590015128593041</v>
      </c>
      <c r="Y19" s="66" t="n">
        <f aca="false">(H19-$H$20)*100</f>
        <v>-0.356589363025583</v>
      </c>
      <c r="Z19" s="66" t="n">
        <f aca="false">(L19-$L$20)*100</f>
        <v>0.273930773561371</v>
      </c>
    </row>
    <row r="20" customFormat="false" ht="15" hidden="false" customHeight="true" outlineLevel="0" collapsed="false">
      <c r="A20" s="87" t="s">
        <v>134</v>
      </c>
      <c r="B20" s="87"/>
      <c r="C20" s="87"/>
      <c r="D20" s="88" t="n">
        <f aca="false">SUM(D5:D19)</f>
        <v>23231</v>
      </c>
      <c r="E20" s="88" t="n">
        <f aca="false">SUM(E5:E19)</f>
        <v>6711</v>
      </c>
      <c r="F20" s="88" t="n">
        <f aca="false">SUM(F5:F19)</f>
        <v>6416</v>
      </c>
      <c r="G20" s="88" t="n">
        <f aca="false">SUM(G5:G19)</f>
        <v>295</v>
      </c>
      <c r="H20" s="89" t="n">
        <f aca="false">1-E20/D20</f>
        <v>0.71111876372089</v>
      </c>
      <c r="I20" s="88" t="n">
        <f aca="false">SUM(I5:I19)</f>
        <v>9342</v>
      </c>
      <c r="J20" s="88" t="n">
        <f aca="false">SUM(J5:J19)</f>
        <v>8800</v>
      </c>
      <c r="K20" s="88" t="n">
        <f aca="false">SUM(K5:K19)</f>
        <v>542</v>
      </c>
      <c r="L20" s="89" t="n">
        <f aca="false">1-I20/D20</f>
        <v>0.597864921871637</v>
      </c>
      <c r="M20" s="90" t="n">
        <f aca="false">(H20-L20)*100</f>
        <v>11.3253841849253</v>
      </c>
      <c r="N20" s="88" t="n">
        <f aca="false">SUM(N5:N19)</f>
        <v>2631</v>
      </c>
      <c r="O20" s="89" t="n">
        <f aca="false">N20/I20</f>
        <v>0.281631342324984</v>
      </c>
      <c r="P20" s="89" t="n">
        <f aca="false">E20/D20</f>
        <v>0.28888123627911</v>
      </c>
      <c r="Q20" s="89" t="n">
        <f aca="false">I20/D20</f>
        <v>0.402135078128363</v>
      </c>
      <c r="R20" s="91" t="n">
        <f aca="false">(H19-H5)*100</f>
        <v>-3.0947444969227</v>
      </c>
      <c r="S20" s="91" t="n">
        <f aca="false">(L19-L5)*100</f>
        <v>-2.95154931400713</v>
      </c>
      <c r="T20" s="92" t="n">
        <f aca="false">D19-D5</f>
        <v>68</v>
      </c>
      <c r="U20" s="89" t="n">
        <f aca="false">AVERAGE(H5:H19)</f>
        <v>0.711415472795234</v>
      </c>
      <c r="V20" s="89" t="n">
        <f aca="false">AVERAGE(L5:L19)</f>
        <v>0.597842914184673</v>
      </c>
      <c r="W20" s="89" t="n">
        <f aca="false">G20/E20</f>
        <v>0.0439576814185665</v>
      </c>
      <c r="X20" s="89" t="n">
        <f aca="false">K20/I20</f>
        <v>0.0580175551273817</v>
      </c>
      <c r="Y20" s="87"/>
      <c r="Z20" s="87"/>
    </row>
    <row r="22" customFormat="false" ht="19.5" hidden="false" customHeight="true" outlineLevel="0" collapsed="false">
      <c r="A22" s="28" t="s">
        <v>135</v>
      </c>
      <c r="B22" s="28"/>
      <c r="C22" s="28"/>
      <c r="D22" s="28"/>
      <c r="E22" s="28"/>
      <c r="F22" s="28"/>
    </row>
    <row r="23" customFormat="false" ht="33.75" hidden="false" customHeight="true" outlineLevel="0" collapsed="false">
      <c r="A23" s="29" t="s">
        <v>136</v>
      </c>
      <c r="B23" s="29"/>
      <c r="C23" s="29" t="s">
        <v>30</v>
      </c>
    </row>
    <row r="24" customFormat="false" ht="15" hidden="false" customHeight="true" outlineLevel="0" collapsed="false">
      <c r="A24" s="48" t="s">
        <v>97</v>
      </c>
      <c r="B24" s="48"/>
      <c r="C24" s="31" t="n">
        <f aca="false">MAX(H5:H19)</f>
        <v>0.738500315059861</v>
      </c>
      <c r="D24" s="65" t="n">
        <f aca="false">INDEX(A5:A19,MATCH(MAX(H5:H19),H5:H19,0))</f>
        <v>46287</v>
      </c>
    </row>
    <row r="25" customFormat="false" ht="15" hidden="false" customHeight="true" outlineLevel="0" collapsed="false">
      <c r="A25" s="48" t="s">
        <v>98</v>
      </c>
      <c r="B25" s="48"/>
      <c r="C25" s="31" t="n">
        <f aca="false">MIN(H5:H19)</f>
        <v>0.675239234449761</v>
      </c>
      <c r="D25" s="65" t="n">
        <f aca="false">INDEX(A5:A19,MATCH(MIN(H5:H19),H5:H19,0))</f>
        <v>46296</v>
      </c>
    </row>
    <row r="26" customFormat="false" ht="15" hidden="false" customHeight="true" outlineLevel="0" collapsed="false">
      <c r="A26" s="48" t="s">
        <v>99</v>
      </c>
      <c r="B26" s="48"/>
      <c r="C26" s="31" t="n">
        <f aca="false">MAX(L5:L19)</f>
        <v>0.630119722747322</v>
      </c>
      <c r="D26" s="65" t="n">
        <f aca="false">INDEX(A5:A19,MATCH(MAX(L5:L19),L5:L19,0))</f>
        <v>46287</v>
      </c>
    </row>
    <row r="27" customFormat="false" ht="15" hidden="false" customHeight="true" outlineLevel="0" collapsed="false">
      <c r="A27" s="48" t="s">
        <v>100</v>
      </c>
      <c r="B27" s="48"/>
      <c r="C27" s="31" t="n">
        <f aca="false">MIN(L5:L19)</f>
        <v>0.569403425871235</v>
      </c>
      <c r="D27" s="65" t="n">
        <f aca="false">INDEX(A5:A19,MATCH(MIN(L5:L19),L5:L19,0))</f>
        <v>46297</v>
      </c>
    </row>
    <row r="28" customFormat="false" ht="15" hidden="false" customHeight="true" outlineLevel="0" collapsed="false">
      <c r="A28" s="48" t="s">
        <v>137</v>
      </c>
      <c r="B28" s="48"/>
      <c r="C28" s="93" t="n">
        <f aca="false">(MAX(H5:H19)-MIN(H5:H19))*100</f>
        <v>6.32610806101006</v>
      </c>
      <c r="D28" s="68"/>
    </row>
    <row r="29" customFormat="false" ht="15" hidden="false" customHeight="true" outlineLevel="0" collapsed="false">
      <c r="A29" s="48" t="s">
        <v>138</v>
      </c>
      <c r="B29" s="48"/>
      <c r="C29" s="93" t="n">
        <f aca="false">(MAX(L5:L19)-MIN(L5:L19))*100</f>
        <v>6.07162968760875</v>
      </c>
      <c r="D29" s="68"/>
    </row>
    <row r="30" customFormat="false" ht="15" hidden="false" customHeight="true" outlineLevel="0" collapsed="false">
      <c r="A30" s="48" t="s">
        <v>139</v>
      </c>
      <c r="B30" s="48"/>
      <c r="C30" s="93" t="n">
        <f aca="false">STDEV(H5:H19)*100</f>
        <v>1.77764250388483</v>
      </c>
      <c r="D30" s="68"/>
    </row>
    <row r="31" customFormat="false" ht="15" hidden="false" customHeight="true" outlineLevel="0" collapsed="false">
      <c r="A31" s="48" t="s">
        <v>140</v>
      </c>
      <c r="B31" s="48"/>
      <c r="C31" s="93" t="n">
        <f aca="false">STDEV(L5:L19)*100</f>
        <v>1.70239681852836</v>
      </c>
      <c r="D31" s="68"/>
    </row>
    <row r="32" customFormat="false" ht="23.85" hidden="false" customHeight="true" outlineLevel="0" collapsed="false">
      <c r="A32" s="48" t="s">
        <v>141</v>
      </c>
      <c r="B32" s="48"/>
      <c r="C32" s="93" t="n">
        <f aca="false">CORREL(H5:H19,L5:L19)</f>
        <v>0.818912689578429</v>
      </c>
      <c r="D32" s="68"/>
    </row>
    <row r="33" customFormat="false" ht="23.85" hidden="false" customHeight="true" outlineLevel="0" collapsed="false">
      <c r="A33" s="48" t="s">
        <v>142</v>
      </c>
      <c r="B33" s="48"/>
      <c r="C33" s="93" t="n">
        <f aca="false">CORREL(D5:D19,H5:H19)</f>
        <v>-0.0846836344469021</v>
      </c>
      <c r="D33" s="68"/>
    </row>
    <row r="34" customFormat="false" ht="23.85" hidden="false" customHeight="true" outlineLevel="0" collapsed="false">
      <c r="A34" s="48" t="s">
        <v>143</v>
      </c>
      <c r="B34" s="48"/>
      <c r="C34" s="93" t="n">
        <f aca="false">CORREL(D5:D19,L5:L19)</f>
        <v>0.0065588347194436</v>
      </c>
      <c r="D34" s="68"/>
    </row>
    <row r="35" customFormat="false" ht="23.85" hidden="false" customHeight="true" outlineLevel="0" collapsed="false">
      <c r="A35" s="48" t="s">
        <v>144</v>
      </c>
      <c r="B35" s="48"/>
      <c r="C35" s="94" t="n">
        <f aca="false">COUNTIF(H5:H19,"&lt;"&amp;H20)</f>
        <v>8</v>
      </c>
      <c r="D35" s="68"/>
    </row>
    <row r="36" customFormat="false" ht="23.85" hidden="false" customHeight="true" outlineLevel="0" collapsed="false">
      <c r="A36" s="48" t="s">
        <v>145</v>
      </c>
      <c r="B36" s="48"/>
      <c r="C36" s="94" t="n">
        <f aca="false">COUNTIF(L5:L19,"&lt;"&amp;L20)</f>
        <v>8</v>
      </c>
      <c r="D36" s="68"/>
    </row>
    <row r="37" customFormat="false" ht="15" hidden="false" customHeight="true" outlineLevel="0" collapsed="false">
      <c r="A37" s="48" t="s">
        <v>101</v>
      </c>
      <c r="B37" s="48"/>
      <c r="C37" s="31" t="n">
        <f aca="false">MIN(O5:O19)</f>
        <v>0.242677824267782</v>
      </c>
      <c r="D37" s="65" t="n">
        <f aca="false">INDEX(A5:A19,MATCH(MIN(O5:O19),O5:O19,0))</f>
        <v>46296</v>
      </c>
    </row>
    <row r="38" customFormat="false" ht="15" hidden="false" customHeight="true" outlineLevel="0" collapsed="false">
      <c r="A38" s="48" t="s">
        <v>102</v>
      </c>
      <c r="B38" s="48"/>
      <c r="C38" s="31" t="n">
        <f aca="false">MAX(O5:O19)</f>
        <v>0.324324324324324</v>
      </c>
      <c r="D38" s="65" t="n">
        <f aca="false">INDEX(A5:A19,MATCH(MAX(O5:O19),O5:O19,0))</f>
        <v>46292</v>
      </c>
    </row>
  </sheetData>
  <mergeCells count="20">
    <mergeCell ref="A1:Z1"/>
    <mergeCell ref="A2:Z2"/>
    <mergeCell ref="A20:C20"/>
    <mergeCell ref="A22:F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</mergeCells>
  <conditionalFormatting sqref="H5:H19">
    <cfRule type="colorScale" priority="2">
      <colorScale>
        <cfvo type="min" val="0"/>
        <cfvo type="percentile" val="50"/>
        <cfvo type="max" val="0"/>
        <color rgb="FFF8CBAD"/>
        <color rgb="FFFFFFFF"/>
        <color rgb="FFA9D9D6"/>
      </colorScale>
    </cfRule>
  </conditionalFormatting>
  <conditionalFormatting sqref="L5:L19">
    <cfRule type="colorScale" priority="3">
      <colorScale>
        <cfvo type="min" val="0"/>
        <cfvo type="percentile" val="50"/>
        <cfvo type="max" val="0"/>
        <color rgb="FFF8CBAD"/>
        <color rgb="FFFFFFFF"/>
        <color rgb="FFA9D9D6"/>
      </colorScale>
    </cfRule>
  </conditionalFormatting>
  <conditionalFormatting sqref="U5:U19">
    <cfRule type="colorScale" priority="4">
      <colorScale>
        <cfvo type="min" val="0"/>
        <cfvo type="percentile" val="50"/>
        <cfvo type="max" val="0"/>
        <color rgb="FFF8CBAD"/>
        <color rgb="FFFFFFFF"/>
        <color rgb="FFA9D9D6"/>
      </colorScale>
    </cfRule>
  </conditionalFormatting>
  <conditionalFormatting sqref="V5:V19">
    <cfRule type="colorScale" priority="5">
      <colorScale>
        <cfvo type="min" val="0"/>
        <cfvo type="percentile" val="50"/>
        <cfvo type="max" val="0"/>
        <color rgb="FFF8CBAD"/>
        <color rgb="FFFFFFFF"/>
        <color rgb="FFA9D9D6"/>
      </colorScale>
    </cfRule>
  </conditionalFormatting>
  <conditionalFormatting sqref="N5:N19">
    <cfRule type="dataBar" priority="6">
      <dataBar showValue="1" minLength="10" maxLength="90">
        <cfvo type="num" val="0"/>
        <cfvo type="max" val="0"/>
        <color rgb="FFD9672A"/>
      </dataBar>
      <extLst>
        <ext xmlns:x14="http://schemas.microsoft.com/office/spreadsheetml/2009/9/main" uri="{B025F937-C7B1-47D3-B67F-A62EFF666E3E}">
          <x14:id>{231C14DE-37CC-4BCF-8A8B-8C201AB86FB8}</x14:id>
        </ext>
      </extLst>
    </cfRule>
  </conditionalFormatting>
  <conditionalFormatting sqref="D5:D19">
    <cfRule type="dataBar" priority="7">
      <dataBar showValue="1" minLength="10" maxLength="90">
        <cfvo type="num" val="0"/>
        <cfvo type="max" val="0"/>
        <color rgb="FF9DB8E8"/>
      </dataBar>
      <extLst>
        <ext xmlns:x14="http://schemas.microsoft.com/office/spreadsheetml/2009/9/main" uri="{B025F937-C7B1-47D3-B67F-A62EFF666E3E}">
          <x14:id>{31B3EC9C-417E-4FE5-BBE6-F848E9EDEF42}</x14:id>
        </ext>
      </extLst>
    </cfRule>
  </conditionalFormatting>
  <conditionalFormatting sqref="R5:R19">
    <cfRule type="cellIs" priority="8" operator="lessThan" aboveAverage="0" equalAverage="0" bottom="0" percent="0" rank="0" text="" dxfId="2">
      <formula>0</formula>
    </cfRule>
    <cfRule type="cellIs" priority="9" operator="greaterThan" aboveAverage="0" equalAverage="0" bottom="0" percent="0" rank="0" text="" dxfId="3">
      <formula>0</formula>
    </cfRule>
  </conditionalFormatting>
  <conditionalFormatting sqref="S5:S19">
    <cfRule type="cellIs" priority="10" operator="lessThan" aboveAverage="0" equalAverage="0" bottom="0" percent="0" rank="0" text="" dxfId="2">
      <formula>0</formula>
    </cfRule>
    <cfRule type="cellIs" priority="11" operator="greaterThan" aboveAverage="0" equalAverage="0" bottom="0" percent="0" rank="0" text="" dxfId="3">
      <formula>0</formula>
    </cfRule>
  </conditionalFormatting>
  <conditionalFormatting sqref="Y5:Y19">
    <cfRule type="cellIs" priority="12" operator="lessThan" aboveAverage="0" equalAverage="0" bottom="0" percent="0" rank="0" text="" dxfId="2">
      <formula>0</formula>
    </cfRule>
    <cfRule type="cellIs" priority="13" operator="greaterThan" aboveAverage="0" equalAverage="0" bottom="0" percent="0" rank="0" text="" dxfId="3">
      <formula>0</formula>
    </cfRule>
  </conditionalFormatting>
  <conditionalFormatting sqref="Z5:Z19">
    <cfRule type="cellIs" priority="14" operator="lessThan" aboveAverage="0" equalAverage="0" bottom="0" percent="0" rank="0" text="" dxfId="2">
      <formula>0</formula>
    </cfRule>
    <cfRule type="cellIs" priority="15" operator="greaterThan" aboveAverage="0" equalAverage="0" bottom="0" percent="0" rank="0" text="" dxfId="3">
      <formula>0</formula>
    </cfRule>
  </conditionalFormatting>
  <conditionalFormatting sqref="M5:M19">
    <cfRule type="colorScale" priority="16">
      <colorScale>
        <cfvo type="min" val="0"/>
        <cfvo type="max" val="0"/>
        <color rgb="FFFFFFFF"/>
        <color rgb="FFF4B18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1C14DE-37CC-4BCF-8A8B-8C201AB86FB8}">
            <x14:dataBar minLength="10" maxLength="90" axisPosition="none" gradient="true">
              <x14:cfvo type="num">
                <xm:f>0</xm:f>
              </x14:cfvo>
              <x14:cfvo type="max"/>
              <x14:negativeFillColor rgb="FFD9672A"/>
              <x14:axisColor rgb="FF000000"/>
            </x14:dataBar>
          </x14:cfRule>
          <xm:sqref>N5:N19</xm:sqref>
        </x14:conditionalFormatting>
        <x14:conditionalFormatting xmlns:xm="http://schemas.microsoft.com/office/excel/2006/main">
          <x14:cfRule type="dataBar" id="{31B3EC9C-417E-4FE5-BBE6-F848E9EDEF42}">
            <x14:dataBar minLength="10" maxLength="90" axisPosition="none" gradient="true">
              <x14:cfvo type="num">
                <xm:f>0</xm:f>
              </x14:cfvo>
              <x14:cfvo type="max"/>
              <x14:negativeFillColor rgb="FF9DB8E8"/>
              <x14:axisColor rgb="FF000000"/>
            </x14:dataBar>
          </x14:cfRule>
          <xm:sqref>D5:D19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false"/>
  </sheetPr>
  <dimension ref="A1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9"/>
    <col collapsed="false" customWidth="true" hidden="false" outlineLevel="0" max="6" min="3" style="0" width="1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10" min="9" style="0" width="10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5" min="14" style="0" width="10"/>
    <col collapsed="false" customWidth="true" hidden="false" outlineLevel="0" max="16" min="16" style="0" width="20"/>
  </cols>
  <sheetData>
    <row r="1" customFormat="false" ht="27.75" hidden="false" customHeight="true" outlineLevel="0" collapsed="false">
      <c r="A1" s="69" t="s">
        <v>146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customFormat="false" ht="18" hidden="false" customHeight="true" outlineLevel="0" collapsed="false">
      <c r="A2" s="70" t="s">
        <v>147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4" customFormat="false" ht="33.75" hidden="false" customHeight="true" outlineLevel="0" collapsed="false">
      <c r="A4" s="29" t="s">
        <v>30</v>
      </c>
      <c r="B4" s="29" t="s">
        <v>112</v>
      </c>
      <c r="C4" s="29" t="s">
        <v>34</v>
      </c>
      <c r="D4" s="29" t="s">
        <v>148</v>
      </c>
      <c r="E4" s="29" t="s">
        <v>27</v>
      </c>
      <c r="F4" s="29" t="s">
        <v>149</v>
      </c>
      <c r="G4" s="29" t="s">
        <v>150</v>
      </c>
      <c r="H4" s="29" t="s">
        <v>151</v>
      </c>
      <c r="I4" s="29" t="s">
        <v>28</v>
      </c>
      <c r="J4" s="29" t="s">
        <v>149</v>
      </c>
      <c r="K4" s="29" t="s">
        <v>150</v>
      </c>
      <c r="L4" s="29" t="s">
        <v>152</v>
      </c>
      <c r="M4" s="29" t="s">
        <v>24</v>
      </c>
      <c r="N4" s="29" t="s">
        <v>72</v>
      </c>
      <c r="O4" s="29" t="s">
        <v>49</v>
      </c>
      <c r="P4" s="29" t="s">
        <v>153</v>
      </c>
    </row>
    <row r="5" customFormat="false" ht="15" hidden="false" customHeight="false" outlineLevel="0" collapsed="false">
      <c r="A5" s="95" t="n">
        <f aca="false">'Daily Data'!A5</f>
        <v>46287</v>
      </c>
      <c r="B5" s="68" t="str">
        <f aca="false">'Daily Data'!B5</f>
        <v>Tue</v>
      </c>
      <c r="C5" s="39" t="n">
        <f aca="false">'Daily Data'!D5</f>
        <v>1587</v>
      </c>
      <c r="D5" s="86" t="str">
        <f aca="false">'Daily Data'!T5</f>
        <v>—</v>
      </c>
      <c r="E5" s="31" t="n">
        <f aca="false">'Daily Data'!H5</f>
        <v>0.738500315059861</v>
      </c>
      <c r="F5" s="66" t="str">
        <f aca="false">'Daily Data'!R5</f>
        <v>—</v>
      </c>
      <c r="G5" s="66" t="n">
        <f aca="false">'Daily Data'!Y5</f>
        <v>2.73815513389711</v>
      </c>
      <c r="H5" s="68" t="str">
        <f aca="false">IF(G5&gt;=0,"▲ above avg","▼ below avg")</f>
        <v>▲ above avg</v>
      </c>
      <c r="I5" s="31" t="n">
        <f aca="false">'Daily Data'!L5</f>
        <v>0.630119722747322</v>
      </c>
      <c r="J5" s="66" t="str">
        <f aca="false">'Daily Data'!S5</f>
        <v>—</v>
      </c>
      <c r="K5" s="66" t="n">
        <f aca="false">'Daily Data'!Z5</f>
        <v>3.2254800875685</v>
      </c>
      <c r="L5" s="68" t="str">
        <f aca="false">IF(K5&gt;=0,"▲ above avg","▼ below avg")</f>
        <v>▲ above avg</v>
      </c>
      <c r="M5" s="67" t="n">
        <f aca="false">'Daily Data'!M5</f>
        <v>10.8380592312539</v>
      </c>
      <c r="N5" s="39" t="n">
        <f aca="false">'Daily Data'!N5</f>
        <v>172</v>
      </c>
      <c r="O5" s="47" t="n">
        <f aca="false">'Daily Data'!O5</f>
        <v>0.293015332197615</v>
      </c>
      <c r="P5" s="68" t="s">
        <v>154</v>
      </c>
    </row>
    <row r="6" customFormat="false" ht="15" hidden="false" customHeight="false" outlineLevel="0" collapsed="false">
      <c r="A6" s="96" t="n">
        <f aca="false">'Daily Data'!A6</f>
        <v>46288</v>
      </c>
      <c r="B6" s="82" t="str">
        <f aca="false">'Daily Data'!B6</f>
        <v>Wed</v>
      </c>
      <c r="C6" s="60" t="n">
        <f aca="false">'Daily Data'!D6</f>
        <v>1577</v>
      </c>
      <c r="D6" s="84" t="n">
        <f aca="false">'Daily Data'!T6</f>
        <v>-10</v>
      </c>
      <c r="E6" s="50" t="n">
        <f aca="false">'Daily Data'!H6</f>
        <v>0.709575142675967</v>
      </c>
      <c r="F6" s="76" t="n">
        <f aca="false">'Daily Data'!R6</f>
        <v>-2.89251723838943</v>
      </c>
      <c r="G6" s="76" t="n">
        <f aca="false">'Daily Data'!Y6</f>
        <v>-0.154362104492312</v>
      </c>
      <c r="H6" s="82" t="str">
        <f aca="false">IF(G6&gt;=0,"▲ above avg","▼ below avg")</f>
        <v>▼ below avg</v>
      </c>
      <c r="I6" s="50" t="n">
        <f aca="false">'Daily Data'!L6</f>
        <v>0.582117945466075</v>
      </c>
      <c r="J6" s="76" t="n">
        <f aca="false">'Daily Data'!S6</f>
        <v>-4.80017772812472</v>
      </c>
      <c r="K6" s="76" t="n">
        <f aca="false">'Daily Data'!Z6</f>
        <v>-1.57469764055622</v>
      </c>
      <c r="L6" s="82" t="str">
        <f aca="false">IF(K6&gt;=0,"▲ above avg","▼ below avg")</f>
        <v>▼ below avg</v>
      </c>
      <c r="M6" s="55" t="n">
        <f aca="false">'Daily Data'!M6</f>
        <v>12.7457197209892</v>
      </c>
      <c r="N6" s="60" t="n">
        <f aca="false">'Daily Data'!N6</f>
        <v>201</v>
      </c>
      <c r="O6" s="51" t="n">
        <f aca="false">'Daily Data'!O6</f>
        <v>0.305007587253414</v>
      </c>
      <c r="P6" s="82" t="str">
        <f aca="false">IF(AND(F6&gt;0,J6&gt;0),"Improved on both",IF(AND(F6&lt;0,J6&lt;0),"Declined on both",IF(F6&gt;0,"1-Day up, 7-Day down","1-Day down, 7-Day up")))</f>
        <v>Declined on both</v>
      </c>
    </row>
    <row r="7" customFormat="false" ht="15" hidden="false" customHeight="false" outlineLevel="0" collapsed="false">
      <c r="A7" s="95" t="n">
        <f aca="false">'Daily Data'!A7</f>
        <v>46289</v>
      </c>
      <c r="B7" s="68" t="str">
        <f aca="false">'Daily Data'!B7</f>
        <v>Thu</v>
      </c>
      <c r="C7" s="39" t="n">
        <f aca="false">'Daily Data'!D7</f>
        <v>1811</v>
      </c>
      <c r="D7" s="86" t="n">
        <f aca="false">'Daily Data'!T7</f>
        <v>234</v>
      </c>
      <c r="E7" s="31" t="n">
        <f aca="false">'Daily Data'!H7</f>
        <v>0.726670347874103</v>
      </c>
      <c r="F7" s="66" t="n">
        <f aca="false">'Daily Data'!R7</f>
        <v>1.70952051981357</v>
      </c>
      <c r="G7" s="66" t="n">
        <f aca="false">'Daily Data'!Y7</f>
        <v>1.55515841532126</v>
      </c>
      <c r="H7" s="68" t="str">
        <f aca="false">IF(G7&gt;=0,"▲ above avg","▼ below avg")</f>
        <v>▲ above avg</v>
      </c>
      <c r="I7" s="31" t="n">
        <f aca="false">'Daily Data'!L7</f>
        <v>0.614577581446715</v>
      </c>
      <c r="J7" s="66" t="n">
        <f aca="false">'Daily Data'!S7</f>
        <v>3.24596359806397</v>
      </c>
      <c r="K7" s="66" t="n">
        <f aca="false">'Daily Data'!Z7</f>
        <v>1.67126595750775</v>
      </c>
      <c r="L7" s="68" t="str">
        <f aca="false">IF(K7&gt;=0,"▲ above avg","▼ below avg")</f>
        <v>▲ above avg</v>
      </c>
      <c r="M7" s="67" t="n">
        <f aca="false">'Daily Data'!M7</f>
        <v>11.2092766427388</v>
      </c>
      <c r="N7" s="39" t="n">
        <f aca="false">'Daily Data'!N7</f>
        <v>203</v>
      </c>
      <c r="O7" s="47" t="n">
        <f aca="false">'Daily Data'!O7</f>
        <v>0.290830945558739</v>
      </c>
      <c r="P7" s="68" t="str">
        <f aca="false">IF(AND(F7&gt;0,J7&gt;0),"Improved on both",IF(AND(F7&lt;0,J7&lt;0),"Declined on both",IF(F7&gt;0,"1-Day up, 7-Day down","1-Day down, 7-Day up")))</f>
        <v>Improved on both</v>
      </c>
    </row>
    <row r="8" customFormat="false" ht="15" hidden="false" customHeight="false" outlineLevel="0" collapsed="false">
      <c r="A8" s="96" t="n">
        <f aca="false">'Daily Data'!A8</f>
        <v>46290</v>
      </c>
      <c r="B8" s="82" t="str">
        <f aca="false">'Daily Data'!B8</f>
        <v>Fri</v>
      </c>
      <c r="C8" s="60" t="n">
        <f aca="false">'Daily Data'!D8</f>
        <v>1840</v>
      </c>
      <c r="D8" s="84" t="n">
        <f aca="false">'Daily Data'!T8</f>
        <v>29</v>
      </c>
      <c r="E8" s="50" t="n">
        <f aca="false">'Daily Data'!H8</f>
        <v>0.714130434782609</v>
      </c>
      <c r="F8" s="76" t="n">
        <f aca="false">'Daily Data'!R8</f>
        <v>-1.2539913091494</v>
      </c>
      <c r="G8" s="76" t="n">
        <f aca="false">'Daily Data'!Y8</f>
        <v>0.301167106171851</v>
      </c>
      <c r="H8" s="82" t="str">
        <f aca="false">IF(G8&gt;=0,"▲ above avg","▼ below avg")</f>
        <v>▲ above avg</v>
      </c>
      <c r="I8" s="50" t="n">
        <f aca="false">'Daily Data'!L8</f>
        <v>0.5875</v>
      </c>
      <c r="J8" s="76" t="n">
        <f aca="false">'Daily Data'!S8</f>
        <v>-2.70775814467145</v>
      </c>
      <c r="K8" s="76" t="n">
        <f aca="false">'Daily Data'!Z8</f>
        <v>-1.0364921871637</v>
      </c>
      <c r="L8" s="82" t="str">
        <f aca="false">IF(K8&gt;=0,"▲ above avg","▼ below avg")</f>
        <v>▼ below avg</v>
      </c>
      <c r="M8" s="55" t="n">
        <f aca="false">'Daily Data'!M8</f>
        <v>12.6630434782609</v>
      </c>
      <c r="N8" s="60" t="n">
        <f aca="false">'Daily Data'!N8</f>
        <v>233</v>
      </c>
      <c r="O8" s="51" t="n">
        <f aca="false">'Daily Data'!O8</f>
        <v>0.306982872200264</v>
      </c>
      <c r="P8" s="82" t="str">
        <f aca="false">IF(AND(F8&gt;0,J8&gt;0),"Improved on both",IF(AND(F8&lt;0,J8&lt;0),"Declined on both",IF(F8&gt;0,"1-Day up, 7-Day down","1-Day down, 7-Day up")))</f>
        <v>Declined on both</v>
      </c>
    </row>
    <row r="9" customFormat="false" ht="15" hidden="false" customHeight="false" outlineLevel="0" collapsed="false">
      <c r="A9" s="95" t="n">
        <f aca="false">'Daily Data'!A9</f>
        <v>46291</v>
      </c>
      <c r="B9" s="68" t="str">
        <f aca="false">'Daily Data'!B9</f>
        <v>Sat</v>
      </c>
      <c r="C9" s="39" t="n">
        <f aca="false">'Daily Data'!D9</f>
        <v>1262</v>
      </c>
      <c r="D9" s="86" t="n">
        <f aca="false">'Daily Data'!T9</f>
        <v>-578</v>
      </c>
      <c r="E9" s="31" t="n">
        <f aca="false">'Daily Data'!H9</f>
        <v>0.725039619651347</v>
      </c>
      <c r="F9" s="66" t="n">
        <f aca="false">'Daily Data'!R9</f>
        <v>1.09091848687384</v>
      </c>
      <c r="G9" s="66" t="n">
        <f aca="false">'Daily Data'!Y9</f>
        <v>1.39208559304569</v>
      </c>
      <c r="H9" s="68" t="str">
        <f aca="false">IF(G9&gt;=0,"▲ above avg","▼ below avg")</f>
        <v>▲ above avg</v>
      </c>
      <c r="I9" s="31" t="n">
        <f aca="false">'Daily Data'!L9</f>
        <v>0.615689381933439</v>
      </c>
      <c r="J9" s="66" t="n">
        <f aca="false">'Daily Data'!S9</f>
        <v>2.8189381933439</v>
      </c>
      <c r="K9" s="66" t="n">
        <f aca="false">'Daily Data'!Z9</f>
        <v>1.78244600618021</v>
      </c>
      <c r="L9" s="68" t="str">
        <f aca="false">IF(K9&gt;=0,"▲ above avg","▼ below avg")</f>
        <v>▲ above avg</v>
      </c>
      <c r="M9" s="67" t="n">
        <f aca="false">'Daily Data'!M9</f>
        <v>10.9350237717908</v>
      </c>
      <c r="N9" s="39" t="n">
        <f aca="false">'Daily Data'!N9</f>
        <v>138</v>
      </c>
      <c r="O9" s="47" t="n">
        <f aca="false">'Daily Data'!O9</f>
        <v>0.284536082474227</v>
      </c>
      <c r="P9" s="68" t="str">
        <f aca="false">IF(AND(F9&gt;0,J9&gt;0),"Improved on both",IF(AND(F9&lt;0,J9&lt;0),"Declined on both",IF(F9&gt;0,"1-Day up, 7-Day down","1-Day down, 7-Day up")))</f>
        <v>Improved on both</v>
      </c>
    </row>
    <row r="10" customFormat="false" ht="15" hidden="false" customHeight="false" outlineLevel="0" collapsed="false">
      <c r="A10" s="96" t="n">
        <f aca="false">'Daily Data'!A10</f>
        <v>46292</v>
      </c>
      <c r="B10" s="82" t="str">
        <f aca="false">'Daily Data'!B10</f>
        <v>Sun</v>
      </c>
      <c r="C10" s="60" t="n">
        <f aca="false">'Daily Data'!D10</f>
        <v>918</v>
      </c>
      <c r="D10" s="84" t="n">
        <f aca="false">'Daily Data'!T10</f>
        <v>-344</v>
      </c>
      <c r="E10" s="50" t="n">
        <f aca="false">'Daily Data'!H10</f>
        <v>0.727668845315904</v>
      </c>
      <c r="F10" s="76" t="n">
        <f aca="false">'Daily Data'!R10</f>
        <v>0.262922566455703</v>
      </c>
      <c r="G10" s="76" t="n">
        <f aca="false">'Daily Data'!Y10</f>
        <v>1.65500815950139</v>
      </c>
      <c r="H10" s="82" t="str">
        <f aca="false">IF(G10&gt;=0,"▲ above avg","▼ below avg")</f>
        <v>▲ above avg</v>
      </c>
      <c r="I10" s="50" t="n">
        <f aca="false">'Daily Data'!L10</f>
        <v>0.596949891067538</v>
      </c>
      <c r="J10" s="76" t="n">
        <f aca="false">'Daily Data'!S10</f>
        <v>-1.87394908659009</v>
      </c>
      <c r="K10" s="76" t="n">
        <f aca="false">'Daily Data'!Z10</f>
        <v>-0.0915030804098826</v>
      </c>
      <c r="L10" s="82" t="str">
        <f aca="false">IF(K10&gt;=0,"▲ above avg","▼ below avg")</f>
        <v>▼ below avg</v>
      </c>
      <c r="M10" s="55" t="n">
        <f aca="false">'Daily Data'!M10</f>
        <v>13.0718954248366</v>
      </c>
      <c r="N10" s="60" t="n">
        <f aca="false">'Daily Data'!N10</f>
        <v>120</v>
      </c>
      <c r="O10" s="51" t="n">
        <f aca="false">'Daily Data'!O10</f>
        <v>0.324324324324324</v>
      </c>
      <c r="P10" s="82" t="str">
        <f aca="false">IF(AND(F10&gt;0,J10&gt;0),"Improved on both",IF(AND(F10&lt;0,J10&lt;0),"Declined on both",IF(F10&gt;0,"1-Day up, 7-Day down","1-Day down, 7-Day up")))</f>
        <v>1-Day up, 7-Day down</v>
      </c>
    </row>
    <row r="11" customFormat="false" ht="15" hidden="false" customHeight="false" outlineLevel="0" collapsed="false">
      <c r="A11" s="95" t="n">
        <f aca="false">'Daily Data'!A11</f>
        <v>46293</v>
      </c>
      <c r="B11" s="68" t="str">
        <f aca="false">'Daily Data'!B11</f>
        <v>Mon</v>
      </c>
      <c r="C11" s="39" t="n">
        <f aca="false">'Daily Data'!D11</f>
        <v>1804</v>
      </c>
      <c r="D11" s="86" t="n">
        <f aca="false">'Daily Data'!T11</f>
        <v>886</v>
      </c>
      <c r="E11" s="31" t="n">
        <f aca="false">'Daily Data'!H11</f>
        <v>0.735587583148559</v>
      </c>
      <c r="F11" s="66" t="n">
        <f aca="false">'Daily Data'!R11</f>
        <v>0.791873783265462</v>
      </c>
      <c r="G11" s="66" t="n">
        <f aca="false">'Daily Data'!Y11</f>
        <v>2.44688194276685</v>
      </c>
      <c r="H11" s="68" t="str">
        <f aca="false">IF(G11&gt;=0,"▲ above avg","▼ below avg")</f>
        <v>▲ above avg</v>
      </c>
      <c r="I11" s="31" t="n">
        <f aca="false">'Daily Data'!L11</f>
        <v>0.615853658536585</v>
      </c>
      <c r="J11" s="66" t="n">
        <f aca="false">'Daily Data'!S11</f>
        <v>1.89037674690472</v>
      </c>
      <c r="K11" s="66" t="n">
        <f aca="false">'Daily Data'!Z11</f>
        <v>1.79887366649484</v>
      </c>
      <c r="L11" s="68" t="str">
        <f aca="false">IF(K11&gt;=0,"▲ above avg","▼ below avg")</f>
        <v>▲ above avg</v>
      </c>
      <c r="M11" s="67" t="n">
        <f aca="false">'Daily Data'!M11</f>
        <v>11.9733924611973</v>
      </c>
      <c r="N11" s="39" t="n">
        <f aca="false">'Daily Data'!N11</f>
        <v>216</v>
      </c>
      <c r="O11" s="47" t="n">
        <f aca="false">'Daily Data'!O11</f>
        <v>0.311688311688312</v>
      </c>
      <c r="P11" s="68" t="str">
        <f aca="false">IF(AND(F11&gt;0,J11&gt;0),"Improved on both",IF(AND(F11&lt;0,J11&lt;0),"Declined on both",IF(F11&gt;0,"1-Day up, 7-Day down","1-Day down, 7-Day up")))</f>
        <v>Improved on both</v>
      </c>
    </row>
    <row r="12" customFormat="false" ht="15" hidden="false" customHeight="false" outlineLevel="0" collapsed="false">
      <c r="A12" s="96" t="n">
        <f aca="false">'Daily Data'!A12</f>
        <v>46294</v>
      </c>
      <c r="B12" s="82" t="str">
        <f aca="false">'Daily Data'!B12</f>
        <v>Tue</v>
      </c>
      <c r="C12" s="60" t="n">
        <f aca="false">'Daily Data'!D12</f>
        <v>1498</v>
      </c>
      <c r="D12" s="84" t="n">
        <f aca="false">'Daily Data'!T12</f>
        <v>-306</v>
      </c>
      <c r="E12" s="50" t="n">
        <f aca="false">'Daily Data'!H12</f>
        <v>0.70694259012016</v>
      </c>
      <c r="F12" s="76" t="n">
        <f aca="false">'Daily Data'!R12</f>
        <v>-2.86449930283985</v>
      </c>
      <c r="G12" s="76" t="n">
        <f aca="false">'Daily Data'!Y12</f>
        <v>-0.417617360072997</v>
      </c>
      <c r="H12" s="82" t="str">
        <f aca="false">IF(G12&gt;=0,"▲ above avg","▼ below avg")</f>
        <v>▼ below avg</v>
      </c>
      <c r="I12" s="50" t="n">
        <f aca="false">'Daily Data'!L12</f>
        <v>0.605473965287049</v>
      </c>
      <c r="J12" s="76" t="n">
        <f aca="false">'Daily Data'!S12</f>
        <v>-1.0379693249536</v>
      </c>
      <c r="K12" s="76" t="n">
        <f aca="false">'Daily Data'!Z12</f>
        <v>0.760904341541235</v>
      </c>
      <c r="L12" s="82" t="str">
        <f aca="false">IF(K12&gt;=0,"▲ above avg","▼ below avg")</f>
        <v>▲ above avg</v>
      </c>
      <c r="M12" s="55" t="n">
        <f aca="false">'Daily Data'!M12</f>
        <v>10.1468624833111</v>
      </c>
      <c r="N12" s="60" t="n">
        <f aca="false">'Daily Data'!N12</f>
        <v>152</v>
      </c>
      <c r="O12" s="51" t="n">
        <f aca="false">'Daily Data'!O12</f>
        <v>0.257191201353638</v>
      </c>
      <c r="P12" s="82" t="str">
        <f aca="false">IF(AND(F12&gt;0,J12&gt;0),"Improved on both",IF(AND(F12&lt;0,J12&lt;0),"Declined on both",IF(F12&gt;0,"1-Day up, 7-Day down","1-Day down, 7-Day up")))</f>
        <v>Declined on both</v>
      </c>
    </row>
    <row r="13" customFormat="false" ht="15" hidden="false" customHeight="false" outlineLevel="0" collapsed="false">
      <c r="A13" s="95" t="n">
        <f aca="false">'Daily Data'!A13</f>
        <v>46295</v>
      </c>
      <c r="B13" s="68" t="str">
        <f aca="false">'Daily Data'!B13</f>
        <v>Wed</v>
      </c>
      <c r="C13" s="39" t="n">
        <f aca="false">'Daily Data'!D13</f>
        <v>1696</v>
      </c>
      <c r="D13" s="86" t="n">
        <f aca="false">'Daily Data'!T13</f>
        <v>198</v>
      </c>
      <c r="E13" s="31" t="n">
        <f aca="false">'Daily Data'!H13</f>
        <v>0.70813679245283</v>
      </c>
      <c r="F13" s="66" t="n">
        <f aca="false">'Daily Data'!R13</f>
        <v>0.119420233266987</v>
      </c>
      <c r="G13" s="66" t="n">
        <f aca="false">'Daily Data'!Y13</f>
        <v>-0.29819712680601</v>
      </c>
      <c r="H13" s="68" t="str">
        <f aca="false">IF(G13&gt;=0,"▲ above avg","▼ below avg")</f>
        <v>▼ below avg</v>
      </c>
      <c r="I13" s="31" t="n">
        <f aca="false">'Daily Data'!L13</f>
        <v>0.603183962264151</v>
      </c>
      <c r="J13" s="66" t="n">
        <f aca="false">'Daily Data'!S13</f>
        <v>-0.229000302289839</v>
      </c>
      <c r="K13" s="66" t="n">
        <f aca="false">'Daily Data'!Z13</f>
        <v>0.531904039251396</v>
      </c>
      <c r="L13" s="68" t="str">
        <f aca="false">IF(K13&gt;=0,"▲ above avg","▼ below avg")</f>
        <v>▲ above avg</v>
      </c>
      <c r="M13" s="67" t="n">
        <f aca="false">'Daily Data'!M13</f>
        <v>10.4952830188679</v>
      </c>
      <c r="N13" s="39" t="n">
        <f aca="false">'Daily Data'!N13</f>
        <v>178</v>
      </c>
      <c r="O13" s="47" t="n">
        <f aca="false">'Daily Data'!O13</f>
        <v>0.264487369985141</v>
      </c>
      <c r="P13" s="68" t="str">
        <f aca="false">IF(AND(F13&gt;0,J13&gt;0),"Improved on both",IF(AND(F13&lt;0,J13&lt;0),"Declined on both",IF(F13&gt;0,"1-Day up, 7-Day down","1-Day down, 7-Day up")))</f>
        <v>1-Day up, 7-Day down</v>
      </c>
    </row>
    <row r="14" customFormat="false" ht="15" hidden="false" customHeight="false" outlineLevel="0" collapsed="false">
      <c r="A14" s="96" t="n">
        <f aca="false">'Daily Data'!A14</f>
        <v>46296</v>
      </c>
      <c r="B14" s="82" t="str">
        <f aca="false">'Daily Data'!B14</f>
        <v>Thu</v>
      </c>
      <c r="C14" s="60" t="n">
        <f aca="false">'Daily Data'!D14</f>
        <v>1672</v>
      </c>
      <c r="D14" s="84" t="n">
        <f aca="false">'Daily Data'!T14</f>
        <v>-24</v>
      </c>
      <c r="E14" s="50" t="n">
        <f aca="false">'Daily Data'!H14</f>
        <v>0.675239234449761</v>
      </c>
      <c r="F14" s="76" t="n">
        <f aca="false">'Daily Data'!R14</f>
        <v>-3.28975580030694</v>
      </c>
      <c r="G14" s="76" t="n">
        <f aca="false">'Daily Data'!Y14</f>
        <v>-3.58795292711295</v>
      </c>
      <c r="H14" s="82" t="str">
        <f aca="false">IF(G14&gt;=0,"▲ above avg","▼ below avg")</f>
        <v>▼ below avg</v>
      </c>
      <c r="I14" s="50" t="n">
        <f aca="false">'Daily Data'!L14</f>
        <v>0.571172248803828</v>
      </c>
      <c r="J14" s="76" t="n">
        <f aca="false">'Daily Data'!S14</f>
        <v>-3.20117134603232</v>
      </c>
      <c r="K14" s="76" t="n">
        <f aca="false">'Daily Data'!Z14</f>
        <v>-2.66926730678092</v>
      </c>
      <c r="L14" s="82" t="str">
        <f aca="false">IF(K14&gt;=0,"▲ above avg","▼ below avg")</f>
        <v>▼ below avg</v>
      </c>
      <c r="M14" s="55" t="n">
        <f aca="false">'Daily Data'!M14</f>
        <v>10.4066985645933</v>
      </c>
      <c r="N14" s="60" t="n">
        <f aca="false">'Daily Data'!N14</f>
        <v>174</v>
      </c>
      <c r="O14" s="51" t="n">
        <f aca="false">'Daily Data'!O14</f>
        <v>0.242677824267782</v>
      </c>
      <c r="P14" s="82" t="str">
        <f aca="false">IF(AND(F14&gt;0,J14&gt;0),"Improved on both",IF(AND(F14&lt;0,J14&lt;0),"Declined on both",IF(F14&gt;0,"1-Day up, 7-Day down","1-Day down, 7-Day up")))</f>
        <v>Declined on both</v>
      </c>
    </row>
    <row r="15" customFormat="false" ht="15" hidden="false" customHeight="false" outlineLevel="0" collapsed="false">
      <c r="A15" s="95" t="n">
        <f aca="false">'Daily Data'!A15</f>
        <v>46297</v>
      </c>
      <c r="B15" s="68" t="str">
        <f aca="false">'Daily Data'!B15</f>
        <v>Fri</v>
      </c>
      <c r="C15" s="39" t="n">
        <f aca="false">'Daily Data'!D15</f>
        <v>1693</v>
      </c>
      <c r="D15" s="86" t="n">
        <f aca="false">'Daily Data'!T15</f>
        <v>21</v>
      </c>
      <c r="E15" s="31" t="n">
        <f aca="false">'Daily Data'!H15</f>
        <v>0.689899586532782</v>
      </c>
      <c r="F15" s="66" t="n">
        <f aca="false">'Daily Data'!R15</f>
        <v>1.46603520830213</v>
      </c>
      <c r="G15" s="66" t="n">
        <f aca="false">'Daily Data'!Y15</f>
        <v>-2.12191771881082</v>
      </c>
      <c r="H15" s="68" t="str">
        <f aca="false">IF(G15&gt;=0,"▲ above avg","▼ below avg")</f>
        <v>▼ below avg</v>
      </c>
      <c r="I15" s="31" t="n">
        <f aca="false">'Daily Data'!L15</f>
        <v>0.569403425871235</v>
      </c>
      <c r="J15" s="66" t="n">
        <f aca="false">'Daily Data'!S15</f>
        <v>-0.176882293259328</v>
      </c>
      <c r="K15" s="66" t="n">
        <f aca="false">'Daily Data'!Z15</f>
        <v>-2.84614960004025</v>
      </c>
      <c r="L15" s="68" t="str">
        <f aca="false">IF(K15&gt;=0,"▲ above avg","▼ below avg")</f>
        <v>▼ below avg</v>
      </c>
      <c r="M15" s="67" t="n">
        <f aca="false">'Daily Data'!M15</f>
        <v>12.0496160661548</v>
      </c>
      <c r="N15" s="39" t="n">
        <f aca="false">'Daily Data'!N15</f>
        <v>204</v>
      </c>
      <c r="O15" s="47" t="n">
        <f aca="false">'Daily Data'!O15</f>
        <v>0.279835390946502</v>
      </c>
      <c r="P15" s="68" t="str">
        <f aca="false">IF(AND(F15&gt;0,J15&gt;0),"Improved on both",IF(AND(F15&lt;0,J15&lt;0),"Declined on both",IF(F15&gt;0,"1-Day up, 7-Day down","1-Day down, 7-Day up")))</f>
        <v>1-Day up, 7-Day down</v>
      </c>
    </row>
    <row r="16" customFormat="false" ht="15" hidden="false" customHeight="false" outlineLevel="0" collapsed="false">
      <c r="A16" s="96" t="n">
        <f aca="false">'Daily Data'!A16</f>
        <v>46298</v>
      </c>
      <c r="B16" s="82" t="str">
        <f aca="false">'Daily Data'!B16</f>
        <v>Sat</v>
      </c>
      <c r="C16" s="60" t="n">
        <f aca="false">'Daily Data'!D16</f>
        <v>1199</v>
      </c>
      <c r="D16" s="84" t="n">
        <f aca="false">'Daily Data'!T16</f>
        <v>-494</v>
      </c>
      <c r="E16" s="50" t="n">
        <f aca="false">'Daily Data'!H16</f>
        <v>0.716430358632194</v>
      </c>
      <c r="F16" s="76" t="n">
        <f aca="false">'Daily Data'!R16</f>
        <v>2.65307720994115</v>
      </c>
      <c r="G16" s="76" t="n">
        <f aca="false">'Daily Data'!Y16</f>
        <v>0.531159491130329</v>
      </c>
      <c r="H16" s="82" t="str">
        <f aca="false">IF(G16&gt;=0,"▲ above avg","▼ below avg")</f>
        <v>▲ above avg</v>
      </c>
      <c r="I16" s="50" t="n">
        <f aca="false">'Daily Data'!L16</f>
        <v>0.590492076730609</v>
      </c>
      <c r="J16" s="76" t="n">
        <f aca="false">'Daily Data'!S16</f>
        <v>2.10886508593743</v>
      </c>
      <c r="K16" s="76" t="n">
        <f aca="false">'Daily Data'!Z16</f>
        <v>-0.737284514102821</v>
      </c>
      <c r="L16" s="82" t="str">
        <f aca="false">IF(K16&gt;=0,"▲ above avg","▼ below avg")</f>
        <v>▼ below avg</v>
      </c>
      <c r="M16" s="55" t="n">
        <f aca="false">'Daily Data'!M16</f>
        <v>12.5938281901585</v>
      </c>
      <c r="N16" s="60" t="n">
        <f aca="false">'Daily Data'!N16</f>
        <v>151</v>
      </c>
      <c r="O16" s="51" t="n">
        <f aca="false">'Daily Data'!O16</f>
        <v>0.307535641547862</v>
      </c>
      <c r="P16" s="82" t="str">
        <f aca="false">IF(AND(F16&gt;0,J16&gt;0),"Improved on both",IF(AND(F16&lt;0,J16&lt;0),"Declined on both",IF(F16&gt;0,"1-Day up, 7-Day down","1-Day down, 7-Day up")))</f>
        <v>Improved on both</v>
      </c>
    </row>
    <row r="17" customFormat="false" ht="15" hidden="false" customHeight="false" outlineLevel="0" collapsed="false">
      <c r="A17" s="95" t="n">
        <f aca="false">'Daily Data'!A17</f>
        <v>46299</v>
      </c>
      <c r="B17" s="68" t="str">
        <f aca="false">'Daily Data'!B17</f>
        <v>Sun</v>
      </c>
      <c r="C17" s="39" t="n">
        <f aca="false">'Daily Data'!D17</f>
        <v>962</v>
      </c>
      <c r="D17" s="86" t="n">
        <f aca="false">'Daily Data'!T17</f>
        <v>-237</v>
      </c>
      <c r="E17" s="31" t="n">
        <f aca="false">'Daily Data'!H17</f>
        <v>0.691268191268191</v>
      </c>
      <c r="F17" s="66" t="n">
        <f aca="false">'Daily Data'!R17</f>
        <v>-2.51621673640022</v>
      </c>
      <c r="G17" s="66" t="n">
        <f aca="false">'Daily Data'!Y17</f>
        <v>-1.98505724526989</v>
      </c>
      <c r="H17" s="68" t="str">
        <f aca="false">IF(G17&gt;=0,"▲ above avg","▼ below avg")</f>
        <v>▼ below avg</v>
      </c>
      <c r="I17" s="31" t="n">
        <f aca="false">'Daily Data'!L17</f>
        <v>0.590436590436591</v>
      </c>
      <c r="J17" s="66" t="n">
        <f aca="false">'Daily Data'!S17</f>
        <v>-0.00554862940183032</v>
      </c>
      <c r="K17" s="66" t="n">
        <f aca="false">'Daily Data'!Z17</f>
        <v>-0.742833143504651</v>
      </c>
      <c r="L17" s="68" t="str">
        <f aca="false">IF(K17&gt;=0,"▲ above avg","▼ below avg")</f>
        <v>▼ below avg</v>
      </c>
      <c r="M17" s="67" t="n">
        <f aca="false">'Daily Data'!M17</f>
        <v>10.0831600831601</v>
      </c>
      <c r="N17" s="39" t="n">
        <f aca="false">'Daily Data'!N17</f>
        <v>97</v>
      </c>
      <c r="O17" s="47" t="n">
        <f aca="false">'Daily Data'!O17</f>
        <v>0.246192893401015</v>
      </c>
      <c r="P17" s="68" t="str">
        <f aca="false">IF(AND(F17&gt;0,J17&gt;0),"Improved on both",IF(AND(F17&lt;0,J17&lt;0),"Declined on both",IF(F17&gt;0,"1-Day up, 7-Day down","1-Day down, 7-Day up")))</f>
        <v>Declined on both</v>
      </c>
    </row>
    <row r="18" customFormat="false" ht="15" hidden="false" customHeight="false" outlineLevel="0" collapsed="false">
      <c r="A18" s="96" t="n">
        <f aca="false">'Daily Data'!A18</f>
        <v>46300</v>
      </c>
      <c r="B18" s="82" t="str">
        <f aca="false">'Daily Data'!B18</f>
        <v>Mon</v>
      </c>
      <c r="C18" s="60" t="n">
        <f aca="false">'Daily Data'!D18</f>
        <v>2057</v>
      </c>
      <c r="D18" s="84" t="n">
        <f aca="false">'Daily Data'!T18</f>
        <v>1095</v>
      </c>
      <c r="E18" s="50" t="n">
        <f aca="false">'Daily Data'!H18</f>
        <v>0.698590179873602</v>
      </c>
      <c r="F18" s="76" t="n">
        <f aca="false">'Daily Data'!R18</f>
        <v>0.7321988605411</v>
      </c>
      <c r="G18" s="76" t="n">
        <f aca="false">'Daily Data'!Y18</f>
        <v>-1.25285838472879</v>
      </c>
      <c r="H18" s="82" t="str">
        <f aca="false">IF(G18&gt;=0,"▲ above avg","▼ below avg")</f>
        <v>▼ below avg</v>
      </c>
      <c r="I18" s="50" t="n">
        <f aca="false">'Daily Data'!L18</f>
        <v>0.594069032571706</v>
      </c>
      <c r="J18" s="76" t="n">
        <f aca="false">'Daily Data'!S18</f>
        <v>0.363244213511593</v>
      </c>
      <c r="K18" s="76" t="n">
        <f aca="false">'Daily Data'!Z18</f>
        <v>-0.379588929993058</v>
      </c>
      <c r="L18" s="82" t="str">
        <f aca="false">IF(K18&gt;=0,"▲ above avg","▼ below avg")</f>
        <v>▼ below avg</v>
      </c>
      <c r="M18" s="55" t="n">
        <f aca="false">'Daily Data'!M18</f>
        <v>10.4521147301896</v>
      </c>
      <c r="N18" s="60" t="n">
        <f aca="false">'Daily Data'!N18</f>
        <v>215</v>
      </c>
      <c r="O18" s="51" t="n">
        <f aca="false">'Daily Data'!O18</f>
        <v>0.25748502994012</v>
      </c>
      <c r="P18" s="82" t="str">
        <f aca="false">IF(AND(F18&gt;0,J18&gt;0),"Improved on both",IF(AND(F18&lt;0,J18&lt;0),"Declined on both",IF(F18&gt;0,"1-Day up, 7-Day down","1-Day down, 7-Day up")))</f>
        <v>Improved on both</v>
      </c>
    </row>
    <row r="19" customFormat="false" ht="15" hidden="false" customHeight="false" outlineLevel="0" collapsed="false">
      <c r="A19" s="95" t="n">
        <f aca="false">'Daily Data'!A19</f>
        <v>46301</v>
      </c>
      <c r="B19" s="68" t="str">
        <f aca="false">'Daily Data'!B19</f>
        <v>Tue</v>
      </c>
      <c r="C19" s="39" t="n">
        <f aca="false">'Daily Data'!D19</f>
        <v>1655</v>
      </c>
      <c r="D19" s="86" t="n">
        <f aca="false">'Daily Data'!T19</f>
        <v>-402</v>
      </c>
      <c r="E19" s="31" t="n">
        <f aca="false">'Daily Data'!H19</f>
        <v>0.707552870090634</v>
      </c>
      <c r="F19" s="66" t="n">
        <f aca="false">'Daily Data'!R19</f>
        <v>0.896269021703211</v>
      </c>
      <c r="G19" s="66" t="n">
        <f aca="false">'Daily Data'!Y19</f>
        <v>-0.356589363025583</v>
      </c>
      <c r="H19" s="68" t="str">
        <f aca="false">IF(G19&gt;=0,"▲ above avg","▼ below avg")</f>
        <v>▼ below avg</v>
      </c>
      <c r="I19" s="31" t="n">
        <f aca="false">'Daily Data'!L19</f>
        <v>0.600604229607251</v>
      </c>
      <c r="J19" s="66" t="n">
        <f aca="false">'Daily Data'!S19</f>
        <v>0.653519703554428</v>
      </c>
      <c r="K19" s="66" t="n">
        <f aca="false">'Daily Data'!Z19</f>
        <v>0.273930773561371</v>
      </c>
      <c r="L19" s="68" t="str">
        <f aca="false">IF(K19&gt;=0,"▲ above avg","▼ below avg")</f>
        <v>▲ above avg</v>
      </c>
      <c r="M19" s="67" t="n">
        <f aca="false">'Daily Data'!M19</f>
        <v>10.6948640483384</v>
      </c>
      <c r="N19" s="39" t="n">
        <f aca="false">'Daily Data'!N19</f>
        <v>177</v>
      </c>
      <c r="O19" s="47" t="n">
        <f aca="false">'Daily Data'!O19</f>
        <v>0.267776096822995</v>
      </c>
      <c r="P19" s="68" t="str">
        <f aca="false">IF(AND(F19&gt;0,J19&gt;0),"Improved on both",IF(AND(F19&lt;0,J19&lt;0),"Declined on both",IF(F19&gt;0,"1-Day up, 7-Day down","1-Day down, 7-Day up")))</f>
        <v>Improved on both</v>
      </c>
    </row>
    <row r="20" customFormat="false" ht="15" hidden="false" customHeight="true" outlineLevel="0" collapsed="false">
      <c r="A20" s="87" t="s">
        <v>155</v>
      </c>
      <c r="B20" s="87"/>
      <c r="C20" s="88" t="n">
        <f aca="false">'Daily Data'!D20</f>
        <v>23231</v>
      </c>
      <c r="D20" s="87"/>
      <c r="E20" s="89" t="n">
        <f aca="false">'Daily Data'!H20</f>
        <v>0.71111876372089</v>
      </c>
      <c r="F20" s="87"/>
      <c r="G20" s="87"/>
      <c r="H20" s="87"/>
      <c r="I20" s="89" t="n">
        <f aca="false">'Daily Data'!L20</f>
        <v>0.597864921871637</v>
      </c>
      <c r="J20" s="87"/>
      <c r="K20" s="87"/>
      <c r="L20" s="87"/>
      <c r="M20" s="90" t="n">
        <f aca="false">'Daily Data'!M20</f>
        <v>11.3253841849253</v>
      </c>
      <c r="N20" s="88" t="n">
        <f aca="false">'Daily Data'!N20</f>
        <v>2631</v>
      </c>
      <c r="O20" s="89" t="n">
        <f aca="false">'Daily Data'!O20</f>
        <v>0.281631342324984</v>
      </c>
      <c r="P20" s="87" t="str">
        <f aca="false">COUNTIF(P6:P19,"Declined on both")&amp;" days declined on both"</f>
        <v>5 days declined on both</v>
      </c>
    </row>
  </sheetData>
  <mergeCells count="3">
    <mergeCell ref="A1:P1"/>
    <mergeCell ref="A2:P2"/>
    <mergeCell ref="A20:B20"/>
  </mergeCells>
  <conditionalFormatting sqref="F5:F19">
    <cfRule type="cellIs" priority="2" operator="lessThan" aboveAverage="0" equalAverage="0" bottom="0" percent="0" rank="0" text="" dxfId="6">
      <formula>0</formula>
    </cfRule>
    <cfRule type="cellIs" priority="3" operator="greaterThan" aboveAverage="0" equalAverage="0" bottom="0" percent="0" rank="0" text="" dxfId="7">
      <formula>0</formula>
    </cfRule>
  </conditionalFormatting>
  <conditionalFormatting sqref="G5:G19">
    <cfRule type="cellIs" priority="4" operator="lessThan" aboveAverage="0" equalAverage="0" bottom="0" percent="0" rank="0" text="" dxfId="6">
      <formula>0</formula>
    </cfRule>
    <cfRule type="cellIs" priority="5" operator="greaterThan" aboveAverage="0" equalAverage="0" bottom="0" percent="0" rank="0" text="" dxfId="7">
      <formula>0</formula>
    </cfRule>
  </conditionalFormatting>
  <conditionalFormatting sqref="J5:J19">
    <cfRule type="cellIs" priority="6" operator="lessThan" aboveAverage="0" equalAverage="0" bottom="0" percent="0" rank="0" text="" dxfId="6">
      <formula>0</formula>
    </cfRule>
    <cfRule type="cellIs" priority="7" operator="greaterThan" aboveAverage="0" equalAverage="0" bottom="0" percent="0" rank="0" text="" dxfId="7">
      <formula>0</formula>
    </cfRule>
  </conditionalFormatting>
  <conditionalFormatting sqref="K5:K19">
    <cfRule type="cellIs" priority="8" operator="lessThan" aboveAverage="0" equalAverage="0" bottom="0" percent="0" rank="0" text="" dxfId="6">
      <formula>0</formula>
    </cfRule>
    <cfRule type="cellIs" priority="9" operator="greaterThan" aboveAverage="0" equalAverage="0" bottom="0" percent="0" rank="0" text="" dxfId="7">
      <formula>0</formula>
    </cfRule>
  </conditionalFormatting>
  <conditionalFormatting sqref="D5:D19">
    <cfRule type="cellIs" priority="10" operator="lessThan" aboveAverage="0" equalAverage="0" bottom="0" percent="0" rank="0" text="" dxfId="6">
      <formula>0</formula>
    </cfRule>
    <cfRule type="cellIs" priority="11" operator="greaterThan" aboveAverage="0" equalAverage="0" bottom="0" percent="0" rank="0" text="" dxfId="7">
      <formula>0</formula>
    </cfRule>
  </conditionalFormatting>
  <conditionalFormatting sqref="H5:H19">
    <cfRule type="expression" priority="12" aboveAverage="0" equalAverage="0" bottom="0" percent="0" rank="0" text="" dxfId="2">
      <formula>LEFT(H5,1)="▼"</formula>
    </cfRule>
    <cfRule type="expression" priority="13" aboveAverage="0" equalAverage="0" bottom="0" percent="0" rank="0" text="" dxfId="3">
      <formula>LEFT(H5,1)="▲"</formula>
    </cfRule>
  </conditionalFormatting>
  <conditionalFormatting sqref="L5:L19">
    <cfRule type="expression" priority="14" aboveAverage="0" equalAverage="0" bottom="0" percent="0" rank="0" text="" dxfId="2">
      <formula>LEFT(L5,1)="▼"</formula>
    </cfRule>
    <cfRule type="expression" priority="15" aboveAverage="0" equalAverage="0" bottom="0" percent="0" rank="0" text="" dxfId="3">
      <formula>LEFT(L5,1)="▲"</formula>
    </cfRule>
  </conditionalFormatting>
  <conditionalFormatting sqref="P6:P19">
    <cfRule type="expression" priority="16" aboveAverage="0" equalAverage="0" bottom="0" percent="0" rank="0" text="" dxfId="2">
      <formula>P6="Declined on both"</formula>
    </cfRule>
    <cfRule type="expression" priority="17" aboveAverage="0" equalAverage="0" bottom="0" percent="0" rank="0" text="" dxfId="3">
      <formula>P6="Improved on both"</formula>
    </cfRule>
  </conditionalFormatting>
  <conditionalFormatting sqref="E5:E19">
    <cfRule type="colorScale" priority="18">
      <colorScale>
        <cfvo type="min" val="0"/>
        <cfvo type="percentile" val="50"/>
        <cfvo type="max" val="0"/>
        <color rgb="FFF8CBAD"/>
        <color rgb="FFFFFFFF"/>
        <color rgb="FFA9D9D6"/>
      </colorScale>
    </cfRule>
  </conditionalFormatting>
  <conditionalFormatting sqref="I5:I19">
    <cfRule type="colorScale" priority="19">
      <colorScale>
        <cfvo type="min" val="0"/>
        <cfvo type="percentile" val="50"/>
        <cfvo type="max" val="0"/>
        <color rgb="FFF8CBAD"/>
        <color rgb="FFFFFFFF"/>
        <color rgb="FFA9D9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false"/>
  </sheetPr>
  <dimension ref="A1:O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11" min="3" style="0" width="10"/>
    <col collapsed="false" customWidth="true" hidden="false" outlineLevel="0" max="14" min="12" style="0" width="11"/>
    <col collapsed="false" customWidth="true" hidden="false" outlineLevel="0" max="15" min="15" style="0" width="13"/>
  </cols>
  <sheetData>
    <row r="1" customFormat="false" ht="27.75" hidden="false" customHeight="true" outlineLevel="0" collapsed="false">
      <c r="A1" s="69" t="s">
        <v>156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customFormat="false" ht="18" hidden="false" customHeight="true" outlineLevel="0" collapsed="false">
      <c r="A2" s="70" t="s">
        <v>157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4" customFormat="false" ht="33.75" hidden="false" customHeight="true" outlineLevel="0" collapsed="false">
      <c r="A4" s="29" t="s">
        <v>30</v>
      </c>
      <c r="B4" s="29" t="s">
        <v>112</v>
      </c>
      <c r="C4" s="29" t="s">
        <v>34</v>
      </c>
      <c r="D4" s="29" t="s">
        <v>158</v>
      </c>
      <c r="E4" s="29" t="s">
        <v>159</v>
      </c>
      <c r="F4" s="29" t="s">
        <v>160</v>
      </c>
      <c r="G4" s="29" t="s">
        <v>161</v>
      </c>
      <c r="H4" s="29" t="s">
        <v>162</v>
      </c>
      <c r="I4" s="29" t="s">
        <v>163</v>
      </c>
      <c r="J4" s="29" t="s">
        <v>164</v>
      </c>
      <c r="K4" s="29" t="s">
        <v>165</v>
      </c>
      <c r="L4" s="29" t="s">
        <v>166</v>
      </c>
      <c r="M4" s="29" t="s">
        <v>75</v>
      </c>
      <c r="N4" s="29" t="s">
        <v>167</v>
      </c>
      <c r="O4" s="29" t="s">
        <v>168</v>
      </c>
    </row>
    <row r="5" customFormat="false" ht="15" hidden="false" customHeight="false" outlineLevel="0" collapsed="false">
      <c r="A5" s="65" t="n">
        <f aca="false">'Daily Data'!A5</f>
        <v>46287</v>
      </c>
      <c r="B5" s="68" t="str">
        <f aca="false">'Daily Data'!B5</f>
        <v>Tue</v>
      </c>
      <c r="C5" s="39" t="n">
        <f aca="false">'Daily Data'!D5</f>
        <v>1587</v>
      </c>
      <c r="D5" s="39" t="n">
        <f aca="false">'Daily Data'!F5</f>
        <v>404</v>
      </c>
      <c r="E5" s="39" t="n">
        <f aca="false">'Daily Data'!J5</f>
        <v>554</v>
      </c>
      <c r="F5" s="39" t="n">
        <f aca="false">E5-D5</f>
        <v>150</v>
      </c>
      <c r="G5" s="47" t="n">
        <f aca="false">IF(E5=0,0,F5/E5)</f>
        <v>0.270758122743682</v>
      </c>
      <c r="H5" s="39" t="n">
        <f aca="false">'Daily Data'!G5</f>
        <v>11</v>
      </c>
      <c r="I5" s="39" t="n">
        <f aca="false">'Daily Data'!K5</f>
        <v>33</v>
      </c>
      <c r="J5" s="39" t="n">
        <f aca="false">I5-H5</f>
        <v>22</v>
      </c>
      <c r="K5" s="47" t="n">
        <f aca="false">IF(I5=0,0,J5/I5)</f>
        <v>0.666666666666667</v>
      </c>
      <c r="L5" s="47" t="n">
        <f aca="false">'Daily Data'!W5</f>
        <v>0.0265060240963855</v>
      </c>
      <c r="M5" s="47" t="n">
        <f aca="false">'Daily Data'!X5</f>
        <v>0.0562180579216354</v>
      </c>
      <c r="N5" s="47" t="n">
        <f aca="false">IF(C5=0,0,E5/C5)</f>
        <v>0.349086326402016</v>
      </c>
      <c r="O5" s="97" t="n">
        <f aca="false">IF(C5=0,0,I5/C5*1000)</f>
        <v>20.7939508506616</v>
      </c>
    </row>
    <row r="6" customFormat="false" ht="15" hidden="false" customHeight="false" outlineLevel="0" collapsed="false">
      <c r="A6" s="98" t="n">
        <f aca="false">'Daily Data'!A6</f>
        <v>46288</v>
      </c>
      <c r="B6" s="82" t="str">
        <f aca="false">'Daily Data'!B6</f>
        <v>Wed</v>
      </c>
      <c r="C6" s="60" t="n">
        <f aca="false">'Daily Data'!D6</f>
        <v>1577</v>
      </c>
      <c r="D6" s="60" t="n">
        <f aca="false">'Daily Data'!F6</f>
        <v>442</v>
      </c>
      <c r="E6" s="60" t="n">
        <f aca="false">'Daily Data'!J6</f>
        <v>624</v>
      </c>
      <c r="F6" s="60" t="n">
        <f aca="false">E6-D6</f>
        <v>182</v>
      </c>
      <c r="G6" s="51" t="n">
        <f aca="false">IF(E6=0,0,F6/E6)</f>
        <v>0.291666666666667</v>
      </c>
      <c r="H6" s="60" t="n">
        <f aca="false">'Daily Data'!G6</f>
        <v>16</v>
      </c>
      <c r="I6" s="60" t="n">
        <f aca="false">'Daily Data'!K6</f>
        <v>35</v>
      </c>
      <c r="J6" s="60" t="n">
        <f aca="false">I6-H6</f>
        <v>19</v>
      </c>
      <c r="K6" s="51" t="n">
        <f aca="false">IF(I6=0,0,J6/I6)</f>
        <v>0.542857142857143</v>
      </c>
      <c r="L6" s="51" t="n">
        <f aca="false">'Daily Data'!W6</f>
        <v>0.0349344978165939</v>
      </c>
      <c r="M6" s="51" t="n">
        <f aca="false">'Daily Data'!X6</f>
        <v>0.0531107738998483</v>
      </c>
      <c r="N6" s="51" t="n">
        <f aca="false">IF(C6=0,0,E6/C6)</f>
        <v>0.39568801521877</v>
      </c>
      <c r="O6" s="99" t="n">
        <f aca="false">IF(C6=0,0,I6/C6*1000)</f>
        <v>22.1940393151554</v>
      </c>
    </row>
    <row r="7" customFormat="false" ht="15" hidden="false" customHeight="false" outlineLevel="0" collapsed="false">
      <c r="A7" s="65" t="n">
        <f aca="false">'Daily Data'!A7</f>
        <v>46289</v>
      </c>
      <c r="B7" s="68" t="str">
        <f aca="false">'Daily Data'!B7</f>
        <v>Thu</v>
      </c>
      <c r="C7" s="39" t="n">
        <f aca="false">'Daily Data'!D7</f>
        <v>1811</v>
      </c>
      <c r="D7" s="39" t="n">
        <f aca="false">'Daily Data'!F7</f>
        <v>472</v>
      </c>
      <c r="E7" s="39" t="n">
        <f aca="false">'Daily Data'!J7</f>
        <v>661</v>
      </c>
      <c r="F7" s="39" t="n">
        <f aca="false">E7-D7</f>
        <v>189</v>
      </c>
      <c r="G7" s="47" t="n">
        <f aca="false">IF(E7=0,0,F7/E7)</f>
        <v>0.285930408472012</v>
      </c>
      <c r="H7" s="39" t="n">
        <f aca="false">'Daily Data'!G7</f>
        <v>23</v>
      </c>
      <c r="I7" s="39" t="n">
        <f aca="false">'Daily Data'!K7</f>
        <v>37</v>
      </c>
      <c r="J7" s="39" t="n">
        <f aca="false">I7-H7</f>
        <v>14</v>
      </c>
      <c r="K7" s="47" t="n">
        <f aca="false">IF(I7=0,0,J7/I7)</f>
        <v>0.378378378378378</v>
      </c>
      <c r="L7" s="47" t="n">
        <f aca="false">'Daily Data'!W7</f>
        <v>0.0464646464646465</v>
      </c>
      <c r="M7" s="47" t="n">
        <f aca="false">'Daily Data'!X7</f>
        <v>0.0530085959885387</v>
      </c>
      <c r="N7" s="47" t="n">
        <f aca="false">IF(C7=0,0,E7/C7)</f>
        <v>0.364991717283269</v>
      </c>
      <c r="O7" s="97" t="n">
        <f aca="false">IF(C7=0,0,I7/C7*1000)</f>
        <v>20.4307012700166</v>
      </c>
    </row>
    <row r="8" customFormat="false" ht="15" hidden="false" customHeight="false" outlineLevel="0" collapsed="false">
      <c r="A8" s="98" t="n">
        <f aca="false">'Daily Data'!A8</f>
        <v>46290</v>
      </c>
      <c r="B8" s="82" t="str">
        <f aca="false">'Daily Data'!B8</f>
        <v>Fri</v>
      </c>
      <c r="C8" s="60" t="n">
        <f aca="false">'Daily Data'!D8</f>
        <v>1840</v>
      </c>
      <c r="D8" s="60" t="n">
        <f aca="false">'Daily Data'!F8</f>
        <v>514</v>
      </c>
      <c r="E8" s="60" t="n">
        <f aca="false">'Daily Data'!J8</f>
        <v>731</v>
      </c>
      <c r="F8" s="60" t="n">
        <f aca="false">E8-D8</f>
        <v>217</v>
      </c>
      <c r="G8" s="51" t="n">
        <f aca="false">IF(E8=0,0,F8/E8)</f>
        <v>0.296853625170999</v>
      </c>
      <c r="H8" s="60" t="n">
        <f aca="false">'Daily Data'!G8</f>
        <v>12</v>
      </c>
      <c r="I8" s="60" t="n">
        <f aca="false">'Daily Data'!K8</f>
        <v>28</v>
      </c>
      <c r="J8" s="60" t="n">
        <f aca="false">I8-H8</f>
        <v>16</v>
      </c>
      <c r="K8" s="51" t="n">
        <f aca="false">IF(I8=0,0,J8/I8)</f>
        <v>0.571428571428571</v>
      </c>
      <c r="L8" s="51" t="n">
        <f aca="false">'Daily Data'!W8</f>
        <v>0.0228136882129278</v>
      </c>
      <c r="M8" s="51" t="n">
        <f aca="false">'Daily Data'!X8</f>
        <v>0.0368906455862978</v>
      </c>
      <c r="N8" s="51" t="n">
        <f aca="false">IF(C8=0,0,E8/C8)</f>
        <v>0.397282608695652</v>
      </c>
      <c r="O8" s="99" t="n">
        <f aca="false">IF(C8=0,0,I8/C8*1000)</f>
        <v>15.2173913043478</v>
      </c>
    </row>
    <row r="9" customFormat="false" ht="15" hidden="false" customHeight="false" outlineLevel="0" collapsed="false">
      <c r="A9" s="65" t="n">
        <f aca="false">'Daily Data'!A9</f>
        <v>46291</v>
      </c>
      <c r="B9" s="68" t="str">
        <f aca="false">'Daily Data'!B9</f>
        <v>Sat</v>
      </c>
      <c r="C9" s="39" t="n">
        <f aca="false">'Daily Data'!D9</f>
        <v>1262</v>
      </c>
      <c r="D9" s="39" t="n">
        <f aca="false">'Daily Data'!F9</f>
        <v>327</v>
      </c>
      <c r="E9" s="39" t="n">
        <f aca="false">'Daily Data'!J9</f>
        <v>454</v>
      </c>
      <c r="F9" s="39" t="n">
        <f aca="false">E9-D9</f>
        <v>127</v>
      </c>
      <c r="G9" s="47" t="n">
        <f aca="false">IF(E9=0,0,F9/E9)</f>
        <v>0.279735682819383</v>
      </c>
      <c r="H9" s="39" t="n">
        <f aca="false">'Daily Data'!G9</f>
        <v>20</v>
      </c>
      <c r="I9" s="39" t="n">
        <f aca="false">'Daily Data'!K9</f>
        <v>31</v>
      </c>
      <c r="J9" s="39" t="n">
        <f aca="false">I9-H9</f>
        <v>11</v>
      </c>
      <c r="K9" s="47" t="n">
        <f aca="false">IF(I9=0,0,J9/I9)</f>
        <v>0.354838709677419</v>
      </c>
      <c r="L9" s="47" t="n">
        <f aca="false">'Daily Data'!W9</f>
        <v>0.0576368876080692</v>
      </c>
      <c r="M9" s="47" t="n">
        <f aca="false">'Daily Data'!X9</f>
        <v>0.0639175257731959</v>
      </c>
      <c r="N9" s="47" t="n">
        <f aca="false">IF(C9=0,0,E9/C9)</f>
        <v>0.359746434231379</v>
      </c>
      <c r="O9" s="97" t="n">
        <f aca="false">IF(C9=0,0,I9/C9*1000)</f>
        <v>24.5641838351823</v>
      </c>
    </row>
    <row r="10" customFormat="false" ht="15" hidden="false" customHeight="false" outlineLevel="0" collapsed="false">
      <c r="A10" s="98" t="n">
        <f aca="false">'Daily Data'!A10</f>
        <v>46292</v>
      </c>
      <c r="B10" s="82" t="str">
        <f aca="false">'Daily Data'!B10</f>
        <v>Sun</v>
      </c>
      <c r="C10" s="60" t="n">
        <f aca="false">'Daily Data'!D10</f>
        <v>918</v>
      </c>
      <c r="D10" s="60" t="n">
        <f aca="false">'Daily Data'!F10</f>
        <v>241</v>
      </c>
      <c r="E10" s="60" t="n">
        <f aca="false">'Daily Data'!J10</f>
        <v>348</v>
      </c>
      <c r="F10" s="60" t="n">
        <f aca="false">E10-D10</f>
        <v>107</v>
      </c>
      <c r="G10" s="51" t="n">
        <f aca="false">IF(E10=0,0,F10/E10)</f>
        <v>0.307471264367816</v>
      </c>
      <c r="H10" s="60" t="n">
        <f aca="false">'Daily Data'!G10</f>
        <v>9</v>
      </c>
      <c r="I10" s="60" t="n">
        <f aca="false">'Daily Data'!K10</f>
        <v>22</v>
      </c>
      <c r="J10" s="60" t="n">
        <f aca="false">I10-H10</f>
        <v>13</v>
      </c>
      <c r="K10" s="51" t="n">
        <f aca="false">IF(I10=0,0,J10/I10)</f>
        <v>0.590909090909091</v>
      </c>
      <c r="L10" s="51" t="n">
        <f aca="false">'Daily Data'!W10</f>
        <v>0.036</v>
      </c>
      <c r="M10" s="51" t="n">
        <f aca="false">'Daily Data'!X10</f>
        <v>0.0594594594594595</v>
      </c>
      <c r="N10" s="51" t="n">
        <f aca="false">IF(C10=0,0,E10/C10)</f>
        <v>0.379084967320261</v>
      </c>
      <c r="O10" s="99" t="n">
        <f aca="false">IF(C10=0,0,I10/C10*1000)</f>
        <v>23.9651416122004</v>
      </c>
    </row>
    <row r="11" customFormat="false" ht="15" hidden="false" customHeight="false" outlineLevel="0" collapsed="false">
      <c r="A11" s="65" t="n">
        <f aca="false">'Daily Data'!A11</f>
        <v>46293</v>
      </c>
      <c r="B11" s="68" t="str">
        <f aca="false">'Daily Data'!B11</f>
        <v>Mon</v>
      </c>
      <c r="C11" s="39" t="n">
        <f aca="false">'Daily Data'!D11</f>
        <v>1804</v>
      </c>
      <c r="D11" s="39" t="n">
        <f aca="false">'Daily Data'!F11</f>
        <v>457</v>
      </c>
      <c r="E11" s="39" t="n">
        <f aca="false">'Daily Data'!J11</f>
        <v>654</v>
      </c>
      <c r="F11" s="39" t="n">
        <f aca="false">E11-D11</f>
        <v>197</v>
      </c>
      <c r="G11" s="47" t="n">
        <f aca="false">IF(E11=0,0,F11/E11)</f>
        <v>0.301223241590214</v>
      </c>
      <c r="H11" s="39" t="n">
        <f aca="false">'Daily Data'!G11</f>
        <v>20</v>
      </c>
      <c r="I11" s="39" t="n">
        <f aca="false">'Daily Data'!K11</f>
        <v>39</v>
      </c>
      <c r="J11" s="39" t="n">
        <f aca="false">I11-H11</f>
        <v>19</v>
      </c>
      <c r="K11" s="47" t="n">
        <f aca="false">IF(I11=0,0,J11/I11)</f>
        <v>0.487179487179487</v>
      </c>
      <c r="L11" s="47" t="n">
        <f aca="false">'Daily Data'!W11</f>
        <v>0.0419287211740042</v>
      </c>
      <c r="M11" s="47" t="n">
        <f aca="false">'Daily Data'!X11</f>
        <v>0.0562770562770563</v>
      </c>
      <c r="N11" s="47" t="n">
        <f aca="false">IF(C11=0,0,E11/C11)</f>
        <v>0.362527716186253</v>
      </c>
      <c r="O11" s="97" t="n">
        <f aca="false">IF(C11=0,0,I11/C11*1000)</f>
        <v>21.6186252771619</v>
      </c>
    </row>
    <row r="12" customFormat="false" ht="15" hidden="false" customHeight="false" outlineLevel="0" collapsed="false">
      <c r="A12" s="98" t="n">
        <f aca="false">'Daily Data'!A12</f>
        <v>46294</v>
      </c>
      <c r="B12" s="82" t="str">
        <f aca="false">'Daily Data'!B12</f>
        <v>Tue</v>
      </c>
      <c r="C12" s="60" t="n">
        <f aca="false">'Daily Data'!D12</f>
        <v>1498</v>
      </c>
      <c r="D12" s="60" t="n">
        <f aca="false">'Daily Data'!F12</f>
        <v>421</v>
      </c>
      <c r="E12" s="60" t="n">
        <f aca="false">'Daily Data'!J12</f>
        <v>559</v>
      </c>
      <c r="F12" s="60" t="n">
        <f aca="false">E12-D12</f>
        <v>138</v>
      </c>
      <c r="G12" s="51" t="n">
        <f aca="false">IF(E12=0,0,F12/E12)</f>
        <v>0.246869409660107</v>
      </c>
      <c r="H12" s="60" t="n">
        <f aca="false">'Daily Data'!G12</f>
        <v>18</v>
      </c>
      <c r="I12" s="60" t="n">
        <f aca="false">'Daily Data'!K12</f>
        <v>32</v>
      </c>
      <c r="J12" s="60" t="n">
        <f aca="false">I12-H12</f>
        <v>14</v>
      </c>
      <c r="K12" s="51" t="n">
        <f aca="false">IF(I12=0,0,J12/I12)</f>
        <v>0.4375</v>
      </c>
      <c r="L12" s="51" t="n">
        <f aca="false">'Daily Data'!W12</f>
        <v>0.041002277904328</v>
      </c>
      <c r="M12" s="51" t="n">
        <f aca="false">'Daily Data'!X12</f>
        <v>0.0541455160744501</v>
      </c>
      <c r="N12" s="51" t="n">
        <f aca="false">IF(C12=0,0,E12/C12)</f>
        <v>0.373164218958611</v>
      </c>
      <c r="O12" s="99" t="n">
        <f aca="false">IF(C12=0,0,I12/C12*1000)</f>
        <v>21.3618157543391</v>
      </c>
    </row>
    <row r="13" customFormat="false" ht="15" hidden="false" customHeight="false" outlineLevel="0" collapsed="false">
      <c r="A13" s="65" t="n">
        <f aca="false">'Daily Data'!A13</f>
        <v>46295</v>
      </c>
      <c r="B13" s="68" t="str">
        <f aca="false">'Daily Data'!B13</f>
        <v>Wed</v>
      </c>
      <c r="C13" s="39" t="n">
        <f aca="false">'Daily Data'!D13</f>
        <v>1696</v>
      </c>
      <c r="D13" s="39" t="n">
        <f aca="false">'Daily Data'!F13</f>
        <v>467</v>
      </c>
      <c r="E13" s="39" t="n">
        <f aca="false">'Daily Data'!J13</f>
        <v>629</v>
      </c>
      <c r="F13" s="39" t="n">
        <f aca="false">E13-D13</f>
        <v>162</v>
      </c>
      <c r="G13" s="47" t="n">
        <f aca="false">IF(E13=0,0,F13/E13)</f>
        <v>0.257551669316375</v>
      </c>
      <c r="H13" s="39" t="n">
        <f aca="false">'Daily Data'!G13</f>
        <v>28</v>
      </c>
      <c r="I13" s="39" t="n">
        <f aca="false">'Daily Data'!K13</f>
        <v>44</v>
      </c>
      <c r="J13" s="39" t="n">
        <f aca="false">I13-H13</f>
        <v>16</v>
      </c>
      <c r="K13" s="47" t="n">
        <f aca="false">IF(I13=0,0,J13/I13)</f>
        <v>0.363636363636364</v>
      </c>
      <c r="L13" s="47" t="n">
        <f aca="false">'Daily Data'!W13</f>
        <v>0.0565656565656566</v>
      </c>
      <c r="M13" s="47" t="n">
        <f aca="false">'Daily Data'!X13</f>
        <v>0.0653789004457652</v>
      </c>
      <c r="N13" s="47" t="n">
        <f aca="false">IF(C13=0,0,E13/C13)</f>
        <v>0.370872641509434</v>
      </c>
      <c r="O13" s="97" t="n">
        <f aca="false">IF(C13=0,0,I13/C13*1000)</f>
        <v>25.9433962264151</v>
      </c>
    </row>
    <row r="14" customFormat="false" ht="15" hidden="false" customHeight="false" outlineLevel="0" collapsed="false">
      <c r="A14" s="98" t="n">
        <f aca="false">'Daily Data'!A14</f>
        <v>46296</v>
      </c>
      <c r="B14" s="82" t="str">
        <f aca="false">'Daily Data'!B14</f>
        <v>Thu</v>
      </c>
      <c r="C14" s="60" t="n">
        <f aca="false">'Daily Data'!D14</f>
        <v>1672</v>
      </c>
      <c r="D14" s="60" t="n">
        <f aca="false">'Daily Data'!F14</f>
        <v>523</v>
      </c>
      <c r="E14" s="60" t="n">
        <f aca="false">'Daily Data'!J14</f>
        <v>680</v>
      </c>
      <c r="F14" s="60" t="n">
        <f aca="false">E14-D14</f>
        <v>157</v>
      </c>
      <c r="G14" s="51" t="n">
        <f aca="false">IF(E14=0,0,F14/E14)</f>
        <v>0.230882352941176</v>
      </c>
      <c r="H14" s="60" t="n">
        <f aca="false">'Daily Data'!G14</f>
        <v>20</v>
      </c>
      <c r="I14" s="60" t="n">
        <f aca="false">'Daily Data'!K14</f>
        <v>37</v>
      </c>
      <c r="J14" s="60" t="n">
        <f aca="false">I14-H14</f>
        <v>17</v>
      </c>
      <c r="K14" s="51" t="n">
        <f aca="false">IF(I14=0,0,J14/I14)</f>
        <v>0.45945945945946</v>
      </c>
      <c r="L14" s="51" t="n">
        <f aca="false">'Daily Data'!W14</f>
        <v>0.0368324125230203</v>
      </c>
      <c r="M14" s="51" t="n">
        <f aca="false">'Daily Data'!X14</f>
        <v>0.0516039051603905</v>
      </c>
      <c r="N14" s="51" t="n">
        <f aca="false">IF(C14=0,0,E14/C14)</f>
        <v>0.406698564593301</v>
      </c>
      <c r="O14" s="99" t="n">
        <f aca="false">IF(C14=0,0,I14/C14*1000)</f>
        <v>22.1291866028708</v>
      </c>
    </row>
    <row r="15" customFormat="false" ht="15" hidden="false" customHeight="false" outlineLevel="0" collapsed="false">
      <c r="A15" s="65" t="n">
        <f aca="false">'Daily Data'!A15</f>
        <v>46297</v>
      </c>
      <c r="B15" s="68" t="str">
        <f aca="false">'Daily Data'!B15</f>
        <v>Fri</v>
      </c>
      <c r="C15" s="39" t="n">
        <f aca="false">'Daily Data'!D15</f>
        <v>1693</v>
      </c>
      <c r="D15" s="39" t="n">
        <f aca="false">'Daily Data'!F15</f>
        <v>497</v>
      </c>
      <c r="E15" s="39" t="n">
        <f aca="false">'Daily Data'!J15</f>
        <v>674</v>
      </c>
      <c r="F15" s="39" t="n">
        <f aca="false">E15-D15</f>
        <v>177</v>
      </c>
      <c r="G15" s="47" t="n">
        <f aca="false">IF(E15=0,0,F15/E15)</f>
        <v>0.262611275964392</v>
      </c>
      <c r="H15" s="39" t="n">
        <f aca="false">'Daily Data'!G15</f>
        <v>28</v>
      </c>
      <c r="I15" s="39" t="n">
        <f aca="false">'Daily Data'!K15</f>
        <v>55</v>
      </c>
      <c r="J15" s="39" t="n">
        <f aca="false">I15-H15</f>
        <v>27</v>
      </c>
      <c r="K15" s="47" t="n">
        <f aca="false">IF(I15=0,0,J15/I15)</f>
        <v>0.490909090909091</v>
      </c>
      <c r="L15" s="47" t="n">
        <f aca="false">'Daily Data'!W15</f>
        <v>0.0533333333333333</v>
      </c>
      <c r="M15" s="47" t="n">
        <f aca="false">'Daily Data'!X15</f>
        <v>0.0754458161865569</v>
      </c>
      <c r="N15" s="47" t="n">
        <f aca="false">IF(C15=0,0,E15/C15)</f>
        <v>0.398109864146486</v>
      </c>
      <c r="O15" s="97" t="n">
        <f aca="false">IF(C15=0,0,I15/C15*1000)</f>
        <v>32.48670998228</v>
      </c>
    </row>
    <row r="16" customFormat="false" ht="15" hidden="false" customHeight="false" outlineLevel="0" collapsed="false">
      <c r="A16" s="98" t="n">
        <f aca="false">'Daily Data'!A16</f>
        <v>46298</v>
      </c>
      <c r="B16" s="82" t="str">
        <f aca="false">'Daily Data'!B16</f>
        <v>Sat</v>
      </c>
      <c r="C16" s="60" t="n">
        <f aca="false">'Daily Data'!D16</f>
        <v>1199</v>
      </c>
      <c r="D16" s="60" t="n">
        <f aca="false">'Daily Data'!F16</f>
        <v>327</v>
      </c>
      <c r="E16" s="60" t="n">
        <f aca="false">'Daily Data'!J16</f>
        <v>461</v>
      </c>
      <c r="F16" s="60" t="n">
        <f aca="false">E16-D16</f>
        <v>134</v>
      </c>
      <c r="G16" s="51" t="n">
        <f aca="false">IF(E16=0,0,F16/E16)</f>
        <v>0.290672451193059</v>
      </c>
      <c r="H16" s="60" t="n">
        <f aca="false">'Daily Data'!G16</f>
        <v>13</v>
      </c>
      <c r="I16" s="60" t="n">
        <f aca="false">'Daily Data'!K16</f>
        <v>30</v>
      </c>
      <c r="J16" s="60" t="n">
        <f aca="false">I16-H16</f>
        <v>17</v>
      </c>
      <c r="K16" s="51" t="n">
        <f aca="false">IF(I16=0,0,J16/I16)</f>
        <v>0.566666666666667</v>
      </c>
      <c r="L16" s="51" t="n">
        <f aca="false">'Daily Data'!W16</f>
        <v>0.0382352941176471</v>
      </c>
      <c r="M16" s="51" t="n">
        <f aca="false">'Daily Data'!X16</f>
        <v>0.0610997963340122</v>
      </c>
      <c r="N16" s="51" t="n">
        <f aca="false">IF(C16=0,0,E16/C16)</f>
        <v>0.384487072560467</v>
      </c>
      <c r="O16" s="99" t="n">
        <f aca="false">IF(C16=0,0,I16/C16*1000)</f>
        <v>25.0208507089241</v>
      </c>
    </row>
    <row r="17" customFormat="false" ht="15" hidden="false" customHeight="false" outlineLevel="0" collapsed="false">
      <c r="A17" s="65" t="n">
        <f aca="false">'Daily Data'!A17</f>
        <v>46299</v>
      </c>
      <c r="B17" s="68" t="str">
        <f aca="false">'Daily Data'!B17</f>
        <v>Sun</v>
      </c>
      <c r="C17" s="39" t="n">
        <f aca="false">'Daily Data'!D17</f>
        <v>962</v>
      </c>
      <c r="D17" s="39" t="n">
        <f aca="false">'Daily Data'!F17</f>
        <v>278</v>
      </c>
      <c r="E17" s="39" t="n">
        <f aca="false">'Daily Data'!J17</f>
        <v>369</v>
      </c>
      <c r="F17" s="39" t="n">
        <f aca="false">E17-D17</f>
        <v>91</v>
      </c>
      <c r="G17" s="47" t="n">
        <f aca="false">IF(E17=0,0,F17/E17)</f>
        <v>0.246612466124661</v>
      </c>
      <c r="H17" s="39" t="n">
        <f aca="false">'Daily Data'!G17</f>
        <v>19</v>
      </c>
      <c r="I17" s="39" t="n">
        <f aca="false">'Daily Data'!K17</f>
        <v>25</v>
      </c>
      <c r="J17" s="39" t="n">
        <f aca="false">I17-H17</f>
        <v>6</v>
      </c>
      <c r="K17" s="47" t="n">
        <f aca="false">IF(I17=0,0,J17/I17)</f>
        <v>0.24</v>
      </c>
      <c r="L17" s="47" t="n">
        <f aca="false">'Daily Data'!W17</f>
        <v>0.063973063973064</v>
      </c>
      <c r="M17" s="47" t="n">
        <f aca="false">'Daily Data'!X17</f>
        <v>0.0634517766497462</v>
      </c>
      <c r="N17" s="47" t="n">
        <f aca="false">IF(C17=0,0,E17/C17)</f>
        <v>0.383575883575884</v>
      </c>
      <c r="O17" s="97" t="n">
        <f aca="false">IF(C17=0,0,I17/C17*1000)</f>
        <v>25.987525987526</v>
      </c>
    </row>
    <row r="18" customFormat="false" ht="15" hidden="false" customHeight="false" outlineLevel="0" collapsed="false">
      <c r="A18" s="98" t="n">
        <f aca="false">'Daily Data'!A18</f>
        <v>46300</v>
      </c>
      <c r="B18" s="82" t="str">
        <f aca="false">'Daily Data'!B18</f>
        <v>Mon</v>
      </c>
      <c r="C18" s="60" t="n">
        <f aca="false">'Daily Data'!D18</f>
        <v>2057</v>
      </c>
      <c r="D18" s="60" t="n">
        <f aca="false">'Daily Data'!F18</f>
        <v>587</v>
      </c>
      <c r="E18" s="60" t="n">
        <f aca="false">'Daily Data'!J18</f>
        <v>780</v>
      </c>
      <c r="F18" s="60" t="n">
        <f aca="false">E18-D18</f>
        <v>193</v>
      </c>
      <c r="G18" s="51" t="n">
        <f aca="false">IF(E18=0,0,F18/E18)</f>
        <v>0.247435897435897</v>
      </c>
      <c r="H18" s="60" t="n">
        <f aca="false">'Daily Data'!G18</f>
        <v>33</v>
      </c>
      <c r="I18" s="60" t="n">
        <f aca="false">'Daily Data'!K18</f>
        <v>55</v>
      </c>
      <c r="J18" s="60" t="n">
        <f aca="false">I18-H18</f>
        <v>22</v>
      </c>
      <c r="K18" s="51" t="n">
        <f aca="false">IF(I18=0,0,J18/I18)</f>
        <v>0.4</v>
      </c>
      <c r="L18" s="51" t="n">
        <f aca="false">'Daily Data'!W18</f>
        <v>0.0532258064516129</v>
      </c>
      <c r="M18" s="51" t="n">
        <f aca="false">'Daily Data'!X18</f>
        <v>0.0658682634730539</v>
      </c>
      <c r="N18" s="51" t="n">
        <f aca="false">IF(C18=0,0,E18/C18)</f>
        <v>0.379192999513855</v>
      </c>
      <c r="O18" s="99" t="n">
        <f aca="false">IF(C18=0,0,I18/C18*1000)</f>
        <v>26.7379679144385</v>
      </c>
    </row>
    <row r="19" customFormat="false" ht="15" hidden="false" customHeight="false" outlineLevel="0" collapsed="false">
      <c r="A19" s="65" t="n">
        <f aca="false">'Daily Data'!A19</f>
        <v>46301</v>
      </c>
      <c r="B19" s="68" t="str">
        <f aca="false">'Daily Data'!B19</f>
        <v>Tue</v>
      </c>
      <c r="C19" s="39" t="n">
        <f aca="false">'Daily Data'!D19</f>
        <v>1655</v>
      </c>
      <c r="D19" s="39" t="n">
        <f aca="false">'Daily Data'!F19</f>
        <v>459</v>
      </c>
      <c r="E19" s="39" t="n">
        <f aca="false">'Daily Data'!J19</f>
        <v>622</v>
      </c>
      <c r="F19" s="39" t="n">
        <f aca="false">E19-D19</f>
        <v>163</v>
      </c>
      <c r="G19" s="47" t="n">
        <f aca="false">IF(E19=0,0,F19/E19)</f>
        <v>0.262057877813505</v>
      </c>
      <c r="H19" s="39" t="n">
        <f aca="false">'Daily Data'!G19</f>
        <v>25</v>
      </c>
      <c r="I19" s="39" t="n">
        <f aca="false">'Daily Data'!K19</f>
        <v>39</v>
      </c>
      <c r="J19" s="39" t="n">
        <f aca="false">I19-H19</f>
        <v>14</v>
      </c>
      <c r="K19" s="47" t="n">
        <f aca="false">IF(I19=0,0,J19/I19)</f>
        <v>0.358974358974359</v>
      </c>
      <c r="L19" s="47" t="n">
        <f aca="false">'Daily Data'!W19</f>
        <v>0.0516528925619835</v>
      </c>
      <c r="M19" s="47" t="n">
        <f aca="false">'Daily Data'!X19</f>
        <v>0.0590015128593041</v>
      </c>
      <c r="N19" s="47" t="n">
        <f aca="false">IF(C19=0,0,E19/C19)</f>
        <v>0.37583081570997</v>
      </c>
      <c r="O19" s="97" t="n">
        <f aca="false">IF(C19=0,0,I19/C19*1000)</f>
        <v>23.5649546827795</v>
      </c>
    </row>
    <row r="20" customFormat="false" ht="15" hidden="false" customHeight="true" outlineLevel="0" collapsed="false">
      <c r="A20" s="87" t="s">
        <v>155</v>
      </c>
      <c r="B20" s="87"/>
      <c r="C20" s="88" t="n">
        <f aca="false">SUM(C5:C19)</f>
        <v>23231</v>
      </c>
      <c r="D20" s="88" t="n">
        <f aca="false">SUM(D5:D19)</f>
        <v>6416</v>
      </c>
      <c r="E20" s="88" t="n">
        <f aca="false">SUM(E5:E19)</f>
        <v>8800</v>
      </c>
      <c r="F20" s="88" t="n">
        <f aca="false">SUM(F5:F19)</f>
        <v>2384</v>
      </c>
      <c r="G20" s="89" t="n">
        <f aca="false">F20/E20</f>
        <v>0.270909090909091</v>
      </c>
      <c r="H20" s="88" t="n">
        <f aca="false">SUM(H5:H19)</f>
        <v>295</v>
      </c>
      <c r="I20" s="88" t="n">
        <f aca="false">SUM(I5:I19)</f>
        <v>542</v>
      </c>
      <c r="J20" s="88" t="n">
        <f aca="false">SUM(J5:J19)</f>
        <v>247</v>
      </c>
      <c r="K20" s="89" t="n">
        <f aca="false">J20/I20</f>
        <v>0.455719557195572</v>
      </c>
      <c r="L20" s="89" t="n">
        <f aca="false">H20/(D20+H20)</f>
        <v>0.0439576814185665</v>
      </c>
      <c r="M20" s="89" t="n">
        <f aca="false">I20/(E20+I20)</f>
        <v>0.0580175551273817</v>
      </c>
      <c r="N20" s="89" t="n">
        <f aca="false">E20/C20</f>
        <v>0.378804184064397</v>
      </c>
      <c r="O20" s="100" t="n">
        <f aca="false">I20/C20*1000</f>
        <v>23.3308940639663</v>
      </c>
    </row>
    <row r="22" customFormat="false" ht="19.5" hidden="false" customHeight="true" outlineLevel="0" collapsed="false">
      <c r="A22" s="28" t="s">
        <v>169</v>
      </c>
      <c r="B22" s="28"/>
      <c r="C22" s="28"/>
      <c r="D22" s="28"/>
      <c r="E22" s="28"/>
      <c r="F22" s="28"/>
    </row>
    <row r="23" customFormat="false" ht="33.75" hidden="false" customHeight="true" outlineLevel="0" collapsed="false">
      <c r="A23" s="29" t="s">
        <v>170</v>
      </c>
      <c r="B23" s="29" t="s">
        <v>171</v>
      </c>
      <c r="C23" s="29" t="s">
        <v>172</v>
      </c>
      <c r="D23" s="29" t="s">
        <v>72</v>
      </c>
      <c r="E23" s="29" t="s">
        <v>49</v>
      </c>
      <c r="F23" s="29" t="s">
        <v>173</v>
      </c>
    </row>
    <row r="24" customFormat="false" ht="15" hidden="false" customHeight="false" outlineLevel="0" collapsed="false">
      <c r="A24" s="30" t="s">
        <v>174</v>
      </c>
      <c r="B24" s="39" t="n">
        <f aca="false">D20</f>
        <v>6416</v>
      </c>
      <c r="C24" s="39" t="n">
        <f aca="false">E20</f>
        <v>8800</v>
      </c>
      <c r="D24" s="39" t="n">
        <f aca="false">C24-B24</f>
        <v>2384</v>
      </c>
      <c r="E24" s="31" t="n">
        <f aca="false">D24/C24</f>
        <v>0.270909090909091</v>
      </c>
      <c r="F24" s="47" t="n">
        <f aca="false">C24/'Daily Data'!I20</f>
        <v>0.941982444872618</v>
      </c>
    </row>
    <row r="25" customFormat="false" ht="15" hidden="false" customHeight="false" outlineLevel="0" collapsed="false">
      <c r="A25" s="30" t="s">
        <v>175</v>
      </c>
      <c r="B25" s="39" t="n">
        <f aca="false">H20</f>
        <v>295</v>
      </c>
      <c r="C25" s="39" t="n">
        <f aca="false">I20</f>
        <v>542</v>
      </c>
      <c r="D25" s="39" t="n">
        <f aca="false">C25-B25</f>
        <v>247</v>
      </c>
      <c r="E25" s="31" t="n">
        <f aca="false">D25/C25</f>
        <v>0.455719557195572</v>
      </c>
      <c r="F25" s="47" t="n">
        <f aca="false">C25/'Daily Data'!I20</f>
        <v>0.0580175551273817</v>
      </c>
    </row>
  </sheetData>
  <mergeCells count="4">
    <mergeCell ref="A1:O1"/>
    <mergeCell ref="A2:O2"/>
    <mergeCell ref="A20:B20"/>
    <mergeCell ref="A22:F22"/>
  </mergeCells>
  <conditionalFormatting sqref="G5:G19">
    <cfRule type="colorScale" priority="2">
      <colorScale>
        <cfvo type="min" val="0"/>
        <cfvo type="max" val="0"/>
        <color rgb="FFFFFFFF"/>
        <color rgb="FFF4B183"/>
      </colorScale>
    </cfRule>
  </conditionalFormatting>
  <conditionalFormatting sqref="K5:K19">
    <cfRule type="colorScale" priority="3">
      <colorScale>
        <cfvo type="min" val="0"/>
        <cfvo type="max" val="0"/>
        <color rgb="FFFFFFFF"/>
        <color rgb="FFF4B183"/>
      </colorScale>
    </cfRule>
  </conditionalFormatting>
  <conditionalFormatting sqref="F5:F19">
    <cfRule type="dataBar" priority="4">
      <dataBar showValue="1" minLength="10" maxLength="90">
        <cfvo type="num" val="0"/>
        <cfvo type="max" val="0"/>
        <color rgb="FF2A6FD0"/>
      </dataBar>
      <extLst>
        <ext xmlns:x14="http://schemas.microsoft.com/office/spreadsheetml/2009/9/main" uri="{B025F937-C7B1-47D3-B67F-A62EFF666E3E}">
          <x14:id>{A96083AC-167E-47B2-948B-109FEBEC9F36}</x14:id>
        </ext>
      </extLst>
    </cfRule>
  </conditionalFormatting>
  <conditionalFormatting sqref="J5:J19">
    <cfRule type="dataBar" priority="5">
      <dataBar showValue="1" minLength="10" maxLength="90">
        <cfvo type="num" val="0"/>
        <cfvo type="max" val="0"/>
        <color rgb="FFD9672A"/>
      </dataBar>
      <extLst>
        <ext xmlns:x14="http://schemas.microsoft.com/office/spreadsheetml/2009/9/main" uri="{B025F937-C7B1-47D3-B67F-A62EFF666E3E}">
          <x14:id>{C4C06FF4-69F9-4931-844B-758175E1316F}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6083AC-167E-47B2-948B-109FEBEC9F36}">
            <x14:dataBar minLength="10" maxLength="90" axisPosition="none" gradient="true">
              <x14:cfvo type="num">
                <xm:f>0</xm:f>
              </x14:cfvo>
              <x14:cfvo type="max"/>
              <x14:negativeFillColor rgb="FF2A6FD0"/>
              <x14:axisColor rgb="FF000000"/>
            </x14:dataBar>
          </x14:cfRule>
          <xm:sqref>F5:F19</xm:sqref>
        </x14:conditionalFormatting>
        <x14:conditionalFormatting xmlns:xm="http://schemas.microsoft.com/office/excel/2006/main">
          <x14:cfRule type="dataBar" id="{C4C06FF4-69F9-4931-844B-758175E1316F}">
            <x14:dataBar minLength="10" maxLength="90" axisPosition="none" gradient="true">
              <x14:cfvo type="num">
                <xm:f>0</xm:f>
              </x14:cfvo>
              <x14:cfvo type="max"/>
              <x14:negativeFillColor rgb="FFD9672A"/>
              <x14:axisColor rgb="FF000000"/>
            </x14:dataBar>
          </x14:cfRule>
          <xm:sqref>J5:J19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0"/>
  </cols>
  <sheetData>
    <row r="1" customFormat="false" ht="27.75" hidden="false" customHeight="true" outlineLevel="0" collapsed="false">
      <c r="A1" s="69" t="s">
        <v>176</v>
      </c>
      <c r="B1" s="69"/>
      <c r="C1" s="69"/>
      <c r="D1" s="69"/>
      <c r="E1" s="69"/>
      <c r="F1" s="69"/>
      <c r="G1" s="69"/>
      <c r="H1" s="69"/>
      <c r="I1" s="69"/>
      <c r="J1" s="69"/>
    </row>
    <row r="2" customFormat="false" ht="18" hidden="false" customHeight="true" outlineLevel="0" collapsed="false">
      <c r="A2" s="70" t="s">
        <v>177</v>
      </c>
      <c r="B2" s="70"/>
      <c r="C2" s="70"/>
      <c r="D2" s="70"/>
      <c r="E2" s="70"/>
      <c r="F2" s="70"/>
      <c r="G2" s="70"/>
      <c r="H2" s="70"/>
      <c r="I2" s="70"/>
      <c r="J2" s="70"/>
    </row>
    <row r="4" customFormat="false" ht="19.5" hidden="false" customHeight="true" outlineLevel="0" collapsed="false">
      <c r="A4" s="28" t="s">
        <v>91</v>
      </c>
      <c r="B4" s="28"/>
      <c r="C4" s="28"/>
      <c r="D4" s="28"/>
      <c r="E4" s="28"/>
      <c r="F4" s="28"/>
      <c r="G4" s="28"/>
      <c r="H4" s="28"/>
      <c r="I4" s="28"/>
      <c r="J4" s="28"/>
    </row>
    <row r="5" customFormat="false" ht="33.75" hidden="false" customHeight="true" outlineLevel="0" collapsed="false">
      <c r="A5" s="29" t="s">
        <v>58</v>
      </c>
      <c r="B5" s="29" t="s">
        <v>178</v>
      </c>
      <c r="C5" s="29" t="s">
        <v>34</v>
      </c>
      <c r="D5" s="29" t="s">
        <v>179</v>
      </c>
      <c r="E5" s="29" t="s">
        <v>171</v>
      </c>
      <c r="F5" s="29" t="s">
        <v>27</v>
      </c>
      <c r="G5" s="29" t="s">
        <v>172</v>
      </c>
      <c r="H5" s="29" t="s">
        <v>28</v>
      </c>
      <c r="I5" s="29" t="s">
        <v>24</v>
      </c>
      <c r="J5" s="29" t="s">
        <v>49</v>
      </c>
    </row>
    <row r="6" customFormat="false" ht="15" hidden="false" customHeight="false" outlineLevel="0" collapsed="false">
      <c r="A6" s="48" t="s">
        <v>93</v>
      </c>
      <c r="B6" s="101" t="n">
        <f aca="false">COUNTIF('Daily Data'!$C$5:$C$19,A6)</f>
        <v>7</v>
      </c>
      <c r="C6" s="39" t="n">
        <f aca="false">SUMIFS('Daily Data'!$D$5:$D$19,'Daily Data'!$C$5:$C$19,A6)</f>
        <v>10799</v>
      </c>
      <c r="D6" s="39" t="n">
        <f aca="false">C6/B6</f>
        <v>1542.71428571429</v>
      </c>
      <c r="E6" s="39" t="n">
        <f aca="false">SUMIFS('Daily Data'!$E$5:$E$19,'Daily Data'!$C$5:$C$19,A6)</f>
        <v>2968</v>
      </c>
      <c r="F6" s="31" t="n">
        <f aca="false">1-E6/C6</f>
        <v>0.725159737012686</v>
      </c>
      <c r="G6" s="39" t="n">
        <f aca="false">SUMIFS('Daily Data'!$I$5:$I$19,'Daily Data'!$C$5:$C$19,A6)</f>
        <v>4251</v>
      </c>
      <c r="H6" s="31" t="n">
        <f aca="false">1-G6/C6</f>
        <v>0.606352440040745</v>
      </c>
      <c r="I6" s="67" t="n">
        <f aca="false">(F6-H6)*100</f>
        <v>11.8807296971942</v>
      </c>
      <c r="J6" s="47" t="n">
        <f aca="false">(G6-E6)/G6</f>
        <v>0.301811338508586</v>
      </c>
    </row>
    <row r="7" customFormat="false" ht="15" hidden="false" customHeight="false" outlineLevel="0" collapsed="false">
      <c r="A7" s="53" t="s">
        <v>94</v>
      </c>
      <c r="B7" s="102" t="n">
        <f aca="false">COUNTIF('Daily Data'!$C$5:$C$19,A7)</f>
        <v>7</v>
      </c>
      <c r="C7" s="60" t="n">
        <f aca="false">SUMIFS('Daily Data'!$D$5:$D$19,'Daily Data'!$C$5:$C$19,A7)</f>
        <v>10777</v>
      </c>
      <c r="D7" s="60" t="n">
        <f aca="false">C7/B7</f>
        <v>1539.57142857143</v>
      </c>
      <c r="E7" s="60" t="n">
        <f aca="false">SUMIFS('Daily Data'!$E$5:$E$19,'Daily Data'!$C$5:$C$19,A7)</f>
        <v>3259</v>
      </c>
      <c r="F7" s="50" t="n">
        <f aca="false">1-E7/C7</f>
        <v>0.697596733784912</v>
      </c>
      <c r="G7" s="60" t="n">
        <f aca="false">SUMIFS('Daily Data'!$I$5:$I$19,'Daily Data'!$C$5:$C$19,A7)</f>
        <v>4430</v>
      </c>
      <c r="H7" s="50" t="n">
        <f aca="false">1-G7/C7</f>
        <v>0.588939407998515</v>
      </c>
      <c r="I7" s="55" t="n">
        <f aca="false">(F7-H7)*100</f>
        <v>10.8657325786397</v>
      </c>
      <c r="J7" s="51" t="n">
        <f aca="false">(G7-E7)/G7</f>
        <v>0.264334085778781</v>
      </c>
    </row>
    <row r="8" customFormat="false" ht="15" hidden="false" customHeight="false" outlineLevel="0" collapsed="false">
      <c r="A8" s="48" t="s">
        <v>95</v>
      </c>
      <c r="B8" s="101" t="n">
        <f aca="false">COUNTIF('Daily Data'!$C$5:$C$19,A8)</f>
        <v>1</v>
      </c>
      <c r="C8" s="39" t="n">
        <f aca="false">SUMIFS('Daily Data'!$D$5:$D$19,'Daily Data'!$C$5:$C$19,A8)</f>
        <v>1655</v>
      </c>
      <c r="D8" s="39" t="n">
        <f aca="false">C8/B8</f>
        <v>1655</v>
      </c>
      <c r="E8" s="39" t="n">
        <f aca="false">SUMIFS('Daily Data'!$E$5:$E$19,'Daily Data'!$C$5:$C$19,A8)</f>
        <v>484</v>
      </c>
      <c r="F8" s="31" t="n">
        <f aca="false">1-E8/C8</f>
        <v>0.707552870090634</v>
      </c>
      <c r="G8" s="39" t="n">
        <f aca="false">SUMIFS('Daily Data'!$I$5:$I$19,'Daily Data'!$C$5:$C$19,A8)</f>
        <v>661</v>
      </c>
      <c r="H8" s="31" t="n">
        <f aca="false">1-G8/C8</f>
        <v>0.600604229607251</v>
      </c>
      <c r="I8" s="67" t="n">
        <f aca="false">(F8-H8)*100</f>
        <v>10.6948640483384</v>
      </c>
      <c r="J8" s="47" t="n">
        <f aca="false">(G8-E8)/G8</f>
        <v>0.267776096822995</v>
      </c>
    </row>
    <row r="9" customFormat="false" ht="15" hidden="false" customHeight="false" outlineLevel="0" collapsed="false">
      <c r="A9" s="30" t="s">
        <v>180</v>
      </c>
      <c r="B9" s="74"/>
      <c r="C9" s="58" t="n">
        <f aca="false">C7-C6</f>
        <v>-22</v>
      </c>
      <c r="D9" s="74"/>
      <c r="E9" s="74"/>
      <c r="F9" s="33" t="n">
        <f aca="false">(F7-F6)*100</f>
        <v>-2.75630032277741</v>
      </c>
      <c r="G9" s="74"/>
      <c r="H9" s="33" t="n">
        <f aca="false">(H7-H6)*100</f>
        <v>-1.74130320422292</v>
      </c>
      <c r="I9" s="74"/>
      <c r="J9" s="33" t="n">
        <f aca="false">(J7-J6)*100</f>
        <v>-3.74772527298052</v>
      </c>
    </row>
    <row r="11" customFormat="false" ht="19.5" hidden="false" customHeight="true" outlineLevel="0" collapsed="false">
      <c r="A11" s="28" t="s">
        <v>181</v>
      </c>
      <c r="B11" s="28"/>
      <c r="C11" s="28"/>
      <c r="D11" s="28"/>
      <c r="E11" s="28"/>
      <c r="F11" s="28"/>
      <c r="G11" s="28"/>
      <c r="H11" s="28"/>
      <c r="I11" s="28"/>
      <c r="J11" s="28"/>
    </row>
    <row r="12" customFormat="false" ht="33.75" hidden="false" customHeight="true" outlineLevel="0" collapsed="false">
      <c r="A12" s="29" t="s">
        <v>112</v>
      </c>
      <c r="B12" s="29" t="s">
        <v>178</v>
      </c>
      <c r="C12" s="29" t="s">
        <v>34</v>
      </c>
      <c r="D12" s="29" t="s">
        <v>179</v>
      </c>
      <c r="E12" s="29" t="s">
        <v>171</v>
      </c>
      <c r="F12" s="29" t="s">
        <v>27</v>
      </c>
      <c r="G12" s="29" t="s">
        <v>172</v>
      </c>
      <c r="H12" s="29" t="s">
        <v>28</v>
      </c>
      <c r="I12" s="29" t="s">
        <v>24</v>
      </c>
      <c r="J12" s="29" t="s">
        <v>49</v>
      </c>
    </row>
    <row r="13" customFormat="false" ht="15" hidden="false" customHeight="false" outlineLevel="0" collapsed="false">
      <c r="A13" s="48" t="s">
        <v>59</v>
      </c>
      <c r="B13" s="101" t="n">
        <f aca="false">COUNTIF('Daily Data'!$B$5:$B$19,A13)</f>
        <v>2</v>
      </c>
      <c r="C13" s="39" t="n">
        <f aca="false">SUMIFS('Daily Data'!$D$5:$D$19,'Daily Data'!$B$5:$B$19,A13)</f>
        <v>3861</v>
      </c>
      <c r="D13" s="39" t="n">
        <f aca="false">IF(B13=0,0,C13/B13)</f>
        <v>1930.5</v>
      </c>
      <c r="E13" s="39" t="n">
        <f aca="false">SUMIFS('Daily Data'!$E$5:$E$19,'Daily Data'!$B$5:$B$19,A13)</f>
        <v>1097</v>
      </c>
      <c r="F13" s="31" t="n">
        <f aca="false">IF(C13=0,0,1-E13/C13)</f>
        <v>0.715876715876716</v>
      </c>
      <c r="G13" s="39" t="n">
        <f aca="false">SUMIFS('Daily Data'!$I$5:$I$19,'Daily Data'!$B$5:$B$19,A13)</f>
        <v>1528</v>
      </c>
      <c r="H13" s="31" t="n">
        <f aca="false">IF(C13=0,0,1-G13/C13)</f>
        <v>0.604247604247604</v>
      </c>
      <c r="I13" s="67" t="n">
        <f aca="false">(F13-H13)*100</f>
        <v>11.1629111629112</v>
      </c>
      <c r="J13" s="47" t="n">
        <f aca="false">IF(G13=0,0,(G13-E13)/G13)</f>
        <v>0.282068062827225</v>
      </c>
    </row>
    <row r="14" customFormat="false" ht="15" hidden="false" customHeight="false" outlineLevel="0" collapsed="false">
      <c r="A14" s="53" t="s">
        <v>60</v>
      </c>
      <c r="B14" s="102" t="n">
        <f aca="false">COUNTIF('Daily Data'!$B$5:$B$19,A14)</f>
        <v>3</v>
      </c>
      <c r="C14" s="60" t="n">
        <f aca="false">SUMIFS('Daily Data'!$D$5:$D$19,'Daily Data'!$B$5:$B$19,A14)</f>
        <v>4740</v>
      </c>
      <c r="D14" s="60" t="n">
        <f aca="false">IF(B14=0,0,C14/B14)</f>
        <v>1580</v>
      </c>
      <c r="E14" s="60" t="n">
        <f aca="false">SUMIFS('Daily Data'!$E$5:$E$19,'Daily Data'!$B$5:$B$19,A14)</f>
        <v>1338</v>
      </c>
      <c r="F14" s="50" t="n">
        <f aca="false">IF(C14=0,0,1-E14/C14)</f>
        <v>0.717721518987342</v>
      </c>
      <c r="G14" s="60" t="n">
        <f aca="false">SUMIFS('Daily Data'!$I$5:$I$19,'Daily Data'!$B$5:$B$19,A14)</f>
        <v>1839</v>
      </c>
      <c r="H14" s="50" t="n">
        <f aca="false">IF(C14=0,0,1-G14/C14)</f>
        <v>0.612025316455696</v>
      </c>
      <c r="I14" s="55" t="n">
        <f aca="false">(F14-H14)*100</f>
        <v>10.5696202531646</v>
      </c>
      <c r="J14" s="51" t="n">
        <f aca="false">IF(G14=0,0,(G14-E14)/G14)</f>
        <v>0.272430668841762</v>
      </c>
    </row>
    <row r="15" customFormat="false" ht="15" hidden="false" customHeight="false" outlineLevel="0" collapsed="false">
      <c r="A15" s="48" t="s">
        <v>61</v>
      </c>
      <c r="B15" s="101" t="n">
        <f aca="false">COUNTIF('Daily Data'!$B$5:$B$19,A15)</f>
        <v>2</v>
      </c>
      <c r="C15" s="39" t="n">
        <f aca="false">SUMIFS('Daily Data'!$D$5:$D$19,'Daily Data'!$B$5:$B$19,A15)</f>
        <v>3273</v>
      </c>
      <c r="D15" s="39" t="n">
        <f aca="false">IF(B15=0,0,C15/B15)</f>
        <v>1636.5</v>
      </c>
      <c r="E15" s="39" t="n">
        <f aca="false">SUMIFS('Daily Data'!$E$5:$E$19,'Daily Data'!$B$5:$B$19,A15)</f>
        <v>953</v>
      </c>
      <c r="F15" s="31" t="n">
        <f aca="false">IF(C15=0,0,1-E15/C15)</f>
        <v>0.708829819737244</v>
      </c>
      <c r="G15" s="39" t="n">
        <f aca="false">SUMIFS('Daily Data'!$I$5:$I$19,'Daily Data'!$B$5:$B$19,A15)</f>
        <v>1332</v>
      </c>
      <c r="H15" s="31" t="n">
        <f aca="false">IF(C15=0,0,1-G15/C15)</f>
        <v>0.593033913840513</v>
      </c>
      <c r="I15" s="67" t="n">
        <f aca="false">(F15-H15)*100</f>
        <v>11.5795905896731</v>
      </c>
      <c r="J15" s="47" t="n">
        <f aca="false">IF(G15=0,0,(G15-E15)/G15)</f>
        <v>0.284534534534535</v>
      </c>
    </row>
    <row r="16" customFormat="false" ht="15" hidden="false" customHeight="false" outlineLevel="0" collapsed="false">
      <c r="A16" s="53" t="s">
        <v>62</v>
      </c>
      <c r="B16" s="102" t="n">
        <f aca="false">COUNTIF('Daily Data'!$B$5:$B$19,A16)</f>
        <v>2</v>
      </c>
      <c r="C16" s="60" t="n">
        <f aca="false">SUMIFS('Daily Data'!$D$5:$D$19,'Daily Data'!$B$5:$B$19,A16)</f>
        <v>3483</v>
      </c>
      <c r="D16" s="60" t="n">
        <f aca="false">IF(B16=0,0,C16/B16)</f>
        <v>1741.5</v>
      </c>
      <c r="E16" s="60" t="n">
        <f aca="false">SUMIFS('Daily Data'!$E$5:$E$19,'Daily Data'!$B$5:$B$19,A16)</f>
        <v>1038</v>
      </c>
      <c r="F16" s="50" t="n">
        <f aca="false">IF(C16=0,0,1-E16/C16)</f>
        <v>0.70198105081826</v>
      </c>
      <c r="G16" s="60" t="n">
        <f aca="false">SUMIFS('Daily Data'!$I$5:$I$19,'Daily Data'!$B$5:$B$19,A16)</f>
        <v>1415</v>
      </c>
      <c r="H16" s="50" t="n">
        <f aca="false">IF(C16=0,0,1-G16/C16)</f>
        <v>0.593741027849555</v>
      </c>
      <c r="I16" s="55" t="n">
        <f aca="false">(F16-H16)*100</f>
        <v>10.8240022968705</v>
      </c>
      <c r="J16" s="51" t="n">
        <f aca="false">IF(G16=0,0,(G16-E16)/G16)</f>
        <v>0.26643109540636</v>
      </c>
    </row>
    <row r="17" customFormat="false" ht="15" hidden="false" customHeight="false" outlineLevel="0" collapsed="false">
      <c r="A17" s="48" t="s">
        <v>63</v>
      </c>
      <c r="B17" s="101" t="n">
        <f aca="false">COUNTIF('Daily Data'!$B$5:$B$19,A17)</f>
        <v>2</v>
      </c>
      <c r="C17" s="39" t="n">
        <f aca="false">SUMIFS('Daily Data'!$D$5:$D$19,'Daily Data'!$B$5:$B$19,A17)</f>
        <v>3533</v>
      </c>
      <c r="D17" s="39" t="n">
        <f aca="false">IF(B17=0,0,C17/B17)</f>
        <v>1766.5</v>
      </c>
      <c r="E17" s="39" t="n">
        <f aca="false">SUMIFS('Daily Data'!$E$5:$E$19,'Daily Data'!$B$5:$B$19,A17)</f>
        <v>1051</v>
      </c>
      <c r="F17" s="31" t="n">
        <f aca="false">IF(C17=0,0,1-E17/C17)</f>
        <v>0.702519105575998</v>
      </c>
      <c r="G17" s="39" t="n">
        <f aca="false">SUMIFS('Daily Data'!$I$5:$I$19,'Daily Data'!$B$5:$B$19,A17)</f>
        <v>1488</v>
      </c>
      <c r="H17" s="31" t="n">
        <f aca="false">IF(C17=0,0,1-G17/C17)</f>
        <v>0.578828191338806</v>
      </c>
      <c r="I17" s="67" t="n">
        <f aca="false">(F17-H17)*100</f>
        <v>12.3690914237192</v>
      </c>
      <c r="J17" s="47" t="n">
        <f aca="false">IF(G17=0,0,(G17-E17)/G17)</f>
        <v>0.293682795698925</v>
      </c>
    </row>
    <row r="18" customFormat="false" ht="15" hidden="false" customHeight="false" outlineLevel="0" collapsed="false">
      <c r="A18" s="53" t="s">
        <v>64</v>
      </c>
      <c r="B18" s="102" t="n">
        <f aca="false">COUNTIF('Daily Data'!$B$5:$B$19,A18)</f>
        <v>2</v>
      </c>
      <c r="C18" s="60" t="n">
        <f aca="false">SUMIFS('Daily Data'!$D$5:$D$19,'Daily Data'!$B$5:$B$19,A18)</f>
        <v>2461</v>
      </c>
      <c r="D18" s="60" t="n">
        <f aca="false">IF(B18=0,0,C18/B18)</f>
        <v>1230.5</v>
      </c>
      <c r="E18" s="60" t="n">
        <f aca="false">SUMIFS('Daily Data'!$E$5:$E$19,'Daily Data'!$B$5:$B$19,A18)</f>
        <v>687</v>
      </c>
      <c r="F18" s="50" t="n">
        <f aca="false">IF(C18=0,0,1-E18/C18)</f>
        <v>0.720845184884194</v>
      </c>
      <c r="G18" s="60" t="n">
        <f aca="false">SUMIFS('Daily Data'!$I$5:$I$19,'Daily Data'!$B$5:$B$19,A18)</f>
        <v>976</v>
      </c>
      <c r="H18" s="50" t="n">
        <f aca="false">IF(C18=0,0,1-G18/C18)</f>
        <v>0.603413246647704</v>
      </c>
      <c r="I18" s="55" t="n">
        <f aca="false">(F18-H18)*100</f>
        <v>11.7431938236489</v>
      </c>
      <c r="J18" s="51" t="n">
        <f aca="false">IF(G18=0,0,(G18-E18)/G18)</f>
        <v>0.296106557377049</v>
      </c>
    </row>
    <row r="19" customFormat="false" ht="15" hidden="false" customHeight="false" outlineLevel="0" collapsed="false">
      <c r="A19" s="48" t="s">
        <v>65</v>
      </c>
      <c r="B19" s="101" t="n">
        <f aca="false">COUNTIF('Daily Data'!$B$5:$B$19,A19)</f>
        <v>2</v>
      </c>
      <c r="C19" s="39" t="n">
        <f aca="false">SUMIFS('Daily Data'!$D$5:$D$19,'Daily Data'!$B$5:$B$19,A19)</f>
        <v>1880</v>
      </c>
      <c r="D19" s="39" t="n">
        <f aca="false">IF(B19=0,0,C19/B19)</f>
        <v>940</v>
      </c>
      <c r="E19" s="39" t="n">
        <f aca="false">SUMIFS('Daily Data'!$E$5:$E$19,'Daily Data'!$B$5:$B$19,A19)</f>
        <v>547</v>
      </c>
      <c r="F19" s="31" t="n">
        <f aca="false">IF(C19=0,0,1-E19/C19)</f>
        <v>0.709042553191489</v>
      </c>
      <c r="G19" s="39" t="n">
        <f aca="false">SUMIFS('Daily Data'!$I$5:$I$19,'Daily Data'!$B$5:$B$19,A19)</f>
        <v>764</v>
      </c>
      <c r="H19" s="31" t="n">
        <f aca="false">IF(C19=0,0,1-G19/C19)</f>
        <v>0.593617021276596</v>
      </c>
      <c r="I19" s="67" t="n">
        <f aca="false">(F19-H19)*100</f>
        <v>11.5425531914894</v>
      </c>
      <c r="J19" s="47" t="n">
        <f aca="false">IF(G19=0,0,(G19-E19)/G19)</f>
        <v>0.284031413612565</v>
      </c>
    </row>
    <row r="21" customFormat="false" ht="19.5" hidden="false" customHeight="true" outlineLevel="0" collapsed="false">
      <c r="A21" s="28" t="s">
        <v>182</v>
      </c>
      <c r="B21" s="28"/>
      <c r="C21" s="28"/>
      <c r="D21" s="28"/>
      <c r="E21" s="28"/>
      <c r="F21" s="28"/>
      <c r="G21" s="28"/>
      <c r="H21" s="28"/>
      <c r="I21" s="28"/>
      <c r="J21" s="28"/>
    </row>
    <row r="22" customFormat="false" ht="33.75" hidden="false" customHeight="true" outlineLevel="0" collapsed="false">
      <c r="A22" s="29" t="s">
        <v>183</v>
      </c>
      <c r="B22" s="29" t="s">
        <v>178</v>
      </c>
      <c r="C22" s="29" t="s">
        <v>34</v>
      </c>
      <c r="D22" s="29" t="s">
        <v>179</v>
      </c>
      <c r="E22" s="29" t="s">
        <v>171</v>
      </c>
      <c r="F22" s="29" t="s">
        <v>27</v>
      </c>
      <c r="G22" s="29" t="s">
        <v>172</v>
      </c>
      <c r="H22" s="29" t="s">
        <v>28</v>
      </c>
      <c r="I22" s="29" t="s">
        <v>24</v>
      </c>
      <c r="J22" s="29" t="s">
        <v>49</v>
      </c>
    </row>
    <row r="23" customFormat="false" ht="15" hidden="false" customHeight="false" outlineLevel="0" collapsed="false">
      <c r="A23" s="48" t="s">
        <v>184</v>
      </c>
      <c r="B23" s="101" t="n">
        <f aca="false">SUM(B13:B17)</f>
        <v>11</v>
      </c>
      <c r="C23" s="39" t="n">
        <f aca="false">SUM(C13:C17)</f>
        <v>18890</v>
      </c>
      <c r="D23" s="39" t="n">
        <f aca="false">C23/B23</f>
        <v>1717.27272727273</v>
      </c>
      <c r="E23" s="39" t="n">
        <f aca="false">SUM(E13:E17)</f>
        <v>5477</v>
      </c>
      <c r="F23" s="31" t="n">
        <f aca="false">1-E23/C23</f>
        <v>0.710058231868714</v>
      </c>
      <c r="G23" s="39" t="n">
        <f aca="false">SUM(G13:G17)</f>
        <v>7602</v>
      </c>
      <c r="H23" s="31" t="n">
        <f aca="false">1-G23/C23</f>
        <v>0.597564849126522</v>
      </c>
      <c r="I23" s="67" t="n">
        <f aca="false">(F23-H23)*100</f>
        <v>11.2493382742192</v>
      </c>
      <c r="J23" s="47" t="n">
        <f aca="false">(G23-E23)/G23</f>
        <v>0.279531702183636</v>
      </c>
    </row>
    <row r="24" customFormat="false" ht="15" hidden="false" customHeight="false" outlineLevel="0" collapsed="false">
      <c r="A24" s="48" t="s">
        <v>185</v>
      </c>
      <c r="B24" s="101" t="n">
        <f aca="false">SUM(B18:B19)</f>
        <v>4</v>
      </c>
      <c r="C24" s="39" t="n">
        <f aca="false">SUM(C18:C19)</f>
        <v>4341</v>
      </c>
      <c r="D24" s="39" t="n">
        <f aca="false">C24/B24</f>
        <v>1085.25</v>
      </c>
      <c r="E24" s="39" t="n">
        <f aca="false">SUM(E18:E19)</f>
        <v>1234</v>
      </c>
      <c r="F24" s="31" t="n">
        <f aca="false">1-E24/C24</f>
        <v>0.715733701912002</v>
      </c>
      <c r="G24" s="39" t="n">
        <f aca="false">SUM(G18:G19)</f>
        <v>1740</v>
      </c>
      <c r="H24" s="31" t="n">
        <f aca="false">1-G24/C24</f>
        <v>0.599170697995854</v>
      </c>
      <c r="I24" s="67" t="n">
        <f aca="false">(F24-H24)*100</f>
        <v>11.6563003916148</v>
      </c>
      <c r="J24" s="47" t="n">
        <f aca="false">(G24-E24)/G24</f>
        <v>0.290804597701149</v>
      </c>
    </row>
  </sheetData>
  <mergeCells count="5">
    <mergeCell ref="A1:J1"/>
    <mergeCell ref="A2:J2"/>
    <mergeCell ref="A4:J4"/>
    <mergeCell ref="A11:J11"/>
    <mergeCell ref="A21:J21"/>
  </mergeCells>
  <conditionalFormatting sqref="F9:J9">
    <cfRule type="cellIs" priority="2" operator="lessThan" aboveAverage="0" equalAverage="0" bottom="0" percent="0" rank="0" text="" dxfId="2">
      <formula>0</formula>
    </cfRule>
  </conditionalFormatting>
  <conditionalFormatting sqref="F13:F19">
    <cfRule type="colorScale" priority="3">
      <colorScale>
        <cfvo type="min" val="0"/>
        <cfvo type="percentile" val="50"/>
        <cfvo type="max" val="0"/>
        <color rgb="FFF8CBAD"/>
        <color rgb="FFFFFFFF"/>
        <color rgb="FFA9D9D6"/>
      </colorScale>
    </cfRule>
  </conditionalFormatting>
  <conditionalFormatting sqref="H13:H19">
    <cfRule type="colorScale" priority="4">
      <colorScale>
        <cfvo type="min" val="0"/>
        <cfvo type="percentile" val="50"/>
        <cfvo type="max" val="0"/>
        <color rgb="FFF8CBAD"/>
        <color rgb="FFFFFFFF"/>
        <color rgb="FFA9D9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8" min="7" style="0" width="3"/>
  </cols>
  <sheetData>
    <row r="1" customFormat="false" ht="27.75" hidden="false" customHeight="true" outlineLevel="0" collapsed="false">
      <c r="A1" s="69" t="s">
        <v>186</v>
      </c>
      <c r="B1" s="69"/>
      <c r="C1" s="69"/>
      <c r="D1" s="69"/>
      <c r="E1" s="69"/>
      <c r="F1" s="69"/>
      <c r="G1" s="69"/>
      <c r="H1" s="69"/>
    </row>
    <row r="2" customFormat="false" ht="18" hidden="false" customHeight="true" outlineLevel="0" collapsed="false">
      <c r="A2" s="70" t="s">
        <v>187</v>
      </c>
      <c r="B2" s="70"/>
      <c r="C2" s="70"/>
      <c r="D2" s="70"/>
      <c r="E2" s="70"/>
      <c r="F2" s="70"/>
      <c r="G2" s="70"/>
      <c r="H2" s="70"/>
    </row>
    <row r="4" customFormat="false" ht="33.75" hidden="false" customHeight="true" outlineLevel="0" collapsed="false">
      <c r="A4" s="29" t="s">
        <v>188</v>
      </c>
      <c r="B4" s="29" t="s">
        <v>189</v>
      </c>
      <c r="C4" s="29" t="s">
        <v>190</v>
      </c>
      <c r="D4" s="29" t="s">
        <v>191</v>
      </c>
      <c r="E4" s="29" t="s">
        <v>192</v>
      </c>
      <c r="F4" s="29" t="s">
        <v>193</v>
      </c>
    </row>
    <row r="5" customFormat="false" ht="27.75" hidden="false" customHeight="true" outlineLevel="0" collapsed="false">
      <c r="A5" s="30" t="s">
        <v>194</v>
      </c>
      <c r="B5" s="79" t="n">
        <v>2299</v>
      </c>
      <c r="C5" s="47" t="n">
        <f aca="false">B5/$B$13</f>
        <v>0.284564921401164</v>
      </c>
      <c r="D5" s="47" t="n">
        <f aca="false">SUM($B$5:B5)/$B$13</f>
        <v>0.284564921401164</v>
      </c>
      <c r="E5" s="68" t="s">
        <v>195</v>
      </c>
      <c r="F5" s="48" t="s">
        <v>196</v>
      </c>
    </row>
    <row r="6" customFormat="false" ht="27.75" hidden="false" customHeight="true" outlineLevel="0" collapsed="false">
      <c r="A6" s="49" t="s">
        <v>197</v>
      </c>
      <c r="B6" s="83" t="n">
        <v>933</v>
      </c>
      <c r="C6" s="51" t="n">
        <f aca="false">B6/$B$13</f>
        <v>0.11548458967694</v>
      </c>
      <c r="D6" s="51" t="n">
        <f aca="false">SUM($B$5:B6)/$B$13</f>
        <v>0.400049511078104</v>
      </c>
      <c r="E6" s="82" t="s">
        <v>195</v>
      </c>
      <c r="F6" s="53" t="s">
        <v>198</v>
      </c>
    </row>
    <row r="7" customFormat="false" ht="27.75" hidden="false" customHeight="true" outlineLevel="0" collapsed="false">
      <c r="A7" s="30" t="s">
        <v>199</v>
      </c>
      <c r="B7" s="79" t="n">
        <v>816</v>
      </c>
      <c r="C7" s="47" t="n">
        <f aca="false">B7/$B$13</f>
        <v>0.1010025993316</v>
      </c>
      <c r="D7" s="47" t="n">
        <f aca="false">SUM($B$5:B7)/$B$13</f>
        <v>0.501052110409704</v>
      </c>
      <c r="E7" s="68" t="s">
        <v>195</v>
      </c>
      <c r="F7" s="48" t="s">
        <v>198</v>
      </c>
    </row>
    <row r="8" customFormat="false" ht="27.75" hidden="false" customHeight="true" outlineLevel="0" collapsed="false">
      <c r="A8" s="49" t="s">
        <v>200</v>
      </c>
      <c r="B8" s="83" t="n">
        <v>604</v>
      </c>
      <c r="C8" s="51" t="n">
        <f aca="false">B8/$B$13</f>
        <v>0.0747617279366258</v>
      </c>
      <c r="D8" s="51" t="n">
        <f aca="false">SUM($B$5:B8)/$B$13</f>
        <v>0.57581383834633</v>
      </c>
      <c r="E8" s="82" t="s">
        <v>201</v>
      </c>
      <c r="F8" s="53" t="s">
        <v>202</v>
      </c>
    </row>
    <row r="9" customFormat="false" ht="27.75" hidden="false" customHeight="true" outlineLevel="0" collapsed="false">
      <c r="A9" s="30" t="s">
        <v>203</v>
      </c>
      <c r="B9" s="79" t="n">
        <v>1479</v>
      </c>
      <c r="C9" s="47" t="n">
        <f aca="false">B9/$B$13</f>
        <v>0.183067211288526</v>
      </c>
      <c r="D9" s="47" t="n">
        <f aca="false">SUM($B$5:B9)/$B$13</f>
        <v>0.758881049634856</v>
      </c>
      <c r="E9" s="68" t="s">
        <v>201</v>
      </c>
      <c r="F9" s="48" t="s">
        <v>204</v>
      </c>
    </row>
    <row r="10" customFormat="false" ht="27.75" hidden="false" customHeight="true" outlineLevel="0" collapsed="false">
      <c r="A10" s="49" t="s">
        <v>205</v>
      </c>
      <c r="B10" s="83" t="n">
        <v>701</v>
      </c>
      <c r="C10" s="51" t="n">
        <f aca="false">B10/$B$13</f>
        <v>0.0867681643767793</v>
      </c>
      <c r="D10" s="51" t="n">
        <f aca="false">SUM($B$5:B10)/$B$13</f>
        <v>0.845649214011635</v>
      </c>
      <c r="E10" s="82" t="s">
        <v>206</v>
      </c>
      <c r="F10" s="53" t="s">
        <v>207</v>
      </c>
    </row>
    <row r="11" customFormat="false" ht="27.75" hidden="false" customHeight="true" outlineLevel="0" collapsed="false">
      <c r="A11" s="30" t="s">
        <v>208</v>
      </c>
      <c r="B11" s="79" t="n">
        <v>1204</v>
      </c>
      <c r="C11" s="47" t="n">
        <f aca="false">B11/$B$13</f>
        <v>0.149028345092214</v>
      </c>
      <c r="D11" s="47" t="n">
        <f aca="false">SUM($B$5:B11)/$B$13</f>
        <v>0.99467755910385</v>
      </c>
      <c r="E11" s="68" t="s">
        <v>209</v>
      </c>
      <c r="F11" s="48" t="s">
        <v>207</v>
      </c>
    </row>
    <row r="12" customFormat="false" ht="27.75" hidden="false" customHeight="true" outlineLevel="0" collapsed="false">
      <c r="A12" s="49" t="s">
        <v>210</v>
      </c>
      <c r="B12" s="83" t="n">
        <v>43</v>
      </c>
      <c r="C12" s="51" t="n">
        <f aca="false">B12/$B$13</f>
        <v>0.00532244089615051</v>
      </c>
      <c r="D12" s="51" t="n">
        <f aca="false">SUM($B$5:B12)/$B$13</f>
        <v>1</v>
      </c>
      <c r="E12" s="82" t="s">
        <v>211</v>
      </c>
      <c r="F12" s="53" t="s">
        <v>212</v>
      </c>
    </row>
    <row r="13" customFormat="false" ht="15" hidden="false" customHeight="false" outlineLevel="0" collapsed="false">
      <c r="A13" s="87" t="s">
        <v>213</v>
      </c>
      <c r="B13" s="88" t="n">
        <f aca="false">SUM(B5:B12)</f>
        <v>8079</v>
      </c>
      <c r="C13" s="89" t="n">
        <f aca="false">SUM(C5:C12)</f>
        <v>1</v>
      </c>
      <c r="D13" s="87"/>
      <c r="E13" s="87"/>
      <c r="F13" s="87"/>
    </row>
    <row r="15" customFormat="false" ht="19.5" hidden="false" customHeight="true" outlineLevel="0" collapsed="false">
      <c r="A15" s="28" t="s">
        <v>214</v>
      </c>
      <c r="B15" s="28"/>
      <c r="C15" s="28"/>
      <c r="D15" s="28"/>
      <c r="E15" s="28"/>
      <c r="F15" s="28"/>
    </row>
    <row r="16" customFormat="false" ht="33.75" hidden="false" customHeight="true" outlineLevel="0" collapsed="false">
      <c r="A16" s="29" t="s">
        <v>192</v>
      </c>
      <c r="B16" s="29" t="s">
        <v>215</v>
      </c>
      <c r="C16" s="29" t="s">
        <v>190</v>
      </c>
      <c r="D16" s="29"/>
      <c r="E16" s="29"/>
      <c r="F16" s="29"/>
    </row>
    <row r="17" customFormat="false" ht="15" hidden="false" customHeight="false" outlineLevel="0" collapsed="false">
      <c r="A17" s="30" t="s">
        <v>216</v>
      </c>
      <c r="B17" s="39" t="n">
        <f aca="false">B5</f>
        <v>2299</v>
      </c>
      <c r="C17" s="31" t="n">
        <f aca="false">B17/$B$13</f>
        <v>0.284564921401164</v>
      </c>
    </row>
    <row r="18" customFormat="false" ht="15" hidden="false" customHeight="false" outlineLevel="0" collapsed="false">
      <c r="A18" s="30" t="s">
        <v>217</v>
      </c>
      <c r="B18" s="39" t="n">
        <f aca="false">SUM(B5:B7)</f>
        <v>4048</v>
      </c>
      <c r="C18" s="31" t="n">
        <f aca="false">B18/$B$13</f>
        <v>0.501052110409704</v>
      </c>
    </row>
    <row r="19" customFormat="false" ht="23.85" hidden="false" customHeight="false" outlineLevel="0" collapsed="false">
      <c r="A19" s="30" t="s">
        <v>218</v>
      </c>
      <c r="B19" s="39" t="n">
        <f aca="false">SUM(B5:B9)</f>
        <v>6131</v>
      </c>
      <c r="C19" s="31" t="n">
        <f aca="false">B19/$B$13</f>
        <v>0.758881049634856</v>
      </c>
    </row>
    <row r="20" customFormat="false" ht="15" hidden="false" customHeight="false" outlineLevel="0" collapsed="false">
      <c r="A20" s="30" t="s">
        <v>219</v>
      </c>
      <c r="B20" s="39" t="n">
        <f aca="false">SUM(B10:B11)</f>
        <v>1905</v>
      </c>
      <c r="C20" s="31" t="n">
        <f aca="false">B20/$B$13</f>
        <v>0.235796509468994</v>
      </c>
    </row>
    <row r="21" customFormat="false" ht="23.85" hidden="false" customHeight="false" outlineLevel="0" collapsed="false">
      <c r="A21" s="30" t="s">
        <v>220</v>
      </c>
      <c r="B21" s="39" t="n">
        <f aca="false">SUM(B5:B11)</f>
        <v>8036</v>
      </c>
      <c r="C21" s="31" t="n">
        <f aca="false">B21/$B$13</f>
        <v>0.99467755910385</v>
      </c>
    </row>
    <row r="22" customFormat="false" ht="15" hidden="false" customHeight="false" outlineLevel="0" collapsed="false">
      <c r="A22" s="30" t="s">
        <v>221</v>
      </c>
      <c r="B22" s="39" t="n">
        <f aca="false">B12</f>
        <v>43</v>
      </c>
      <c r="C22" s="31" t="n">
        <f aca="false">B22/$B$13</f>
        <v>0.00532244089615051</v>
      </c>
    </row>
    <row r="24" customFormat="false" ht="30" hidden="false" customHeight="true" outlineLevel="0" collapsed="false">
      <c r="A24" s="103" t="s">
        <v>222</v>
      </c>
      <c r="B24" s="103"/>
      <c r="C24" s="103"/>
      <c r="D24" s="103"/>
      <c r="E24" s="103"/>
      <c r="F24" s="103"/>
    </row>
  </sheetData>
  <mergeCells count="5">
    <mergeCell ref="A1:H1"/>
    <mergeCell ref="A2:H2"/>
    <mergeCell ref="A15:F15"/>
    <mergeCell ref="D16:F16"/>
    <mergeCell ref="A24:F24"/>
  </mergeCells>
  <conditionalFormatting sqref="C5:C12">
    <cfRule type="dataBar" priority="2">
      <dataBar showValue="1" minLength="10" maxLength="90">
        <cfvo type="num" val="0"/>
        <cfvo type="max" val="0"/>
        <color rgb="FFD9672A"/>
      </dataBar>
      <extLst>
        <ext xmlns:x14="http://schemas.microsoft.com/office/spreadsheetml/2009/9/main" uri="{B025F937-C7B1-47D3-B67F-A62EFF666E3E}">
          <x14:id>{983E57F1-2C1D-4344-8B7E-B6C0BEC530B8}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3E57F1-2C1D-4344-8B7E-B6C0BEC530B8}">
            <x14:dataBar minLength="10" maxLength="90" axisPosition="none" gradient="true">
              <x14:cfvo type="num">
                <xm:f>0</xm:f>
              </x14:cfvo>
              <x14:cfvo type="max"/>
              <x14:negativeFillColor rgb="FFD9672A"/>
              <x14:axisColor rgb="FF000000"/>
            </x14:dataBar>
          </x14:cfRule>
          <xm:sqref>C5:C12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6" min="4" style="0" width="3"/>
  </cols>
  <sheetData>
    <row r="1" customFormat="false" ht="27.75" hidden="false" customHeight="true" outlineLevel="0" collapsed="false">
      <c r="A1" s="69" t="s">
        <v>223</v>
      </c>
      <c r="B1" s="69"/>
      <c r="C1" s="69"/>
      <c r="D1" s="69"/>
      <c r="E1" s="69"/>
      <c r="F1" s="69"/>
    </row>
    <row r="2" customFormat="false" ht="18" hidden="false" customHeight="true" outlineLevel="0" collapsed="false">
      <c r="A2" s="70" t="s">
        <v>224</v>
      </c>
      <c r="B2" s="70"/>
      <c r="C2" s="70"/>
      <c r="D2" s="70"/>
      <c r="E2" s="70"/>
      <c r="F2" s="70"/>
    </row>
    <row r="4" customFormat="false" ht="33.75" hidden="false" customHeight="true" outlineLevel="0" collapsed="false">
      <c r="A4" s="29" t="s">
        <v>21</v>
      </c>
      <c r="B4" s="29" t="s">
        <v>83</v>
      </c>
      <c r="C4" s="29" t="s">
        <v>225</v>
      </c>
    </row>
    <row r="5" customFormat="false" ht="30" hidden="false" customHeight="true" outlineLevel="0" collapsed="false">
      <c r="A5" s="30" t="s">
        <v>189</v>
      </c>
      <c r="B5" s="104" t="n">
        <v>8079</v>
      </c>
      <c r="C5" s="48" t="s">
        <v>226</v>
      </c>
    </row>
    <row r="6" customFormat="false" ht="30" hidden="false" customHeight="true" outlineLevel="0" collapsed="false">
      <c r="A6" s="49" t="s">
        <v>227</v>
      </c>
      <c r="B6" s="105" t="n">
        <v>1</v>
      </c>
      <c r="C6" s="53" t="s">
        <v>228</v>
      </c>
    </row>
    <row r="7" customFormat="false" ht="30" hidden="false" customHeight="true" outlineLevel="0" collapsed="false">
      <c r="A7" s="30" t="s">
        <v>229</v>
      </c>
      <c r="B7" s="104" t="n">
        <v>1281</v>
      </c>
      <c r="C7" s="48" t="s">
        <v>230</v>
      </c>
    </row>
    <row r="8" customFormat="false" ht="30" hidden="false" customHeight="true" outlineLevel="0" collapsed="false">
      <c r="A8" s="49" t="s">
        <v>231</v>
      </c>
      <c r="B8" s="106" t="n">
        <v>1467</v>
      </c>
      <c r="C8" s="53" t="s">
        <v>232</v>
      </c>
    </row>
    <row r="9" customFormat="false" ht="30" hidden="false" customHeight="true" outlineLevel="0" collapsed="false">
      <c r="A9" s="30" t="s">
        <v>233</v>
      </c>
      <c r="B9" s="107" t="n">
        <v>0.1816</v>
      </c>
      <c r="C9" s="48" t="s">
        <v>234</v>
      </c>
    </row>
    <row r="10" customFormat="false" ht="30" hidden="false" customHeight="true" outlineLevel="0" collapsed="false">
      <c r="A10" s="49" t="s">
        <v>235</v>
      </c>
      <c r="B10" s="106" t="n">
        <v>8</v>
      </c>
      <c r="C10" s="53" t="s">
        <v>236</v>
      </c>
    </row>
    <row r="11" customFormat="false" ht="30" hidden="false" customHeight="true" outlineLevel="0" collapsed="false">
      <c r="A11" s="30" t="s">
        <v>237</v>
      </c>
      <c r="B11" s="104" t="n">
        <v>1007</v>
      </c>
      <c r="C11" s="48" t="s">
        <v>238</v>
      </c>
    </row>
    <row r="12" customFormat="false" ht="30" hidden="false" customHeight="true" outlineLevel="0" collapsed="false">
      <c r="A12" s="49" t="s">
        <v>239</v>
      </c>
      <c r="B12" s="105" t="n">
        <v>0.001</v>
      </c>
      <c r="C12" s="53" t="s">
        <v>240</v>
      </c>
    </row>
    <row r="13" customFormat="false" ht="30" hidden="false" customHeight="true" outlineLevel="0" collapsed="false">
      <c r="A13" s="30" t="s">
        <v>241</v>
      </c>
      <c r="B13" s="104" t="n">
        <v>0</v>
      </c>
      <c r="C13" s="48" t="s">
        <v>242</v>
      </c>
    </row>
    <row r="14" customFormat="false" ht="30" hidden="false" customHeight="true" outlineLevel="0" collapsed="false">
      <c r="A14" s="49" t="s">
        <v>243</v>
      </c>
      <c r="B14" s="108" t="n">
        <v>7.87</v>
      </c>
      <c r="C14" s="53" t="s">
        <v>244</v>
      </c>
    </row>
    <row r="15" customFormat="false" ht="30" hidden="false" customHeight="true" outlineLevel="0" collapsed="false">
      <c r="A15" s="30" t="s">
        <v>245</v>
      </c>
      <c r="B15" s="107" t="n">
        <v>0.4859</v>
      </c>
      <c r="C15" s="48" t="s">
        <v>246</v>
      </c>
    </row>
    <row r="17" customFormat="false" ht="15" hidden="false" customHeight="false" outlineLevel="0" collapsed="false">
      <c r="A17" s="30" t="s">
        <v>247</v>
      </c>
      <c r="B17" s="109" t="n">
        <f aca="false">B7/60</f>
        <v>21.35</v>
      </c>
    </row>
    <row r="18" customFormat="false" ht="15" hidden="false" customHeight="false" outlineLevel="0" collapsed="false">
      <c r="A18" s="30" t="s">
        <v>248</v>
      </c>
      <c r="B18" s="110" t="n">
        <f aca="false">'Callback Timeframe'!C17</f>
        <v>0.284564921401164</v>
      </c>
    </row>
    <row r="19" customFormat="false" ht="15" hidden="false" customHeight="false" outlineLevel="0" collapsed="false">
      <c r="A19" s="30" t="s">
        <v>249</v>
      </c>
      <c r="B19" s="110" t="n">
        <f aca="false">'Callback Timeframe'!C18</f>
        <v>0.501052110409704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6" min="5" style="0" width="4"/>
  </cols>
  <sheetData>
    <row r="1" customFormat="false" ht="27.75" hidden="false" customHeight="true" outlineLevel="0" collapsed="false">
      <c r="A1" s="69" t="s">
        <v>250</v>
      </c>
      <c r="B1" s="69"/>
      <c r="C1" s="69"/>
      <c r="D1" s="69"/>
      <c r="E1" s="69"/>
      <c r="F1" s="69"/>
    </row>
    <row r="2" customFormat="false" ht="18" hidden="false" customHeight="true" outlineLevel="0" collapsed="false">
      <c r="A2" s="70" t="s">
        <v>251</v>
      </c>
      <c r="B2" s="70"/>
      <c r="C2" s="70"/>
      <c r="D2" s="70"/>
      <c r="E2" s="70"/>
      <c r="F2" s="70"/>
    </row>
    <row r="4" customFormat="false" ht="19.5" hidden="false" customHeight="true" outlineLevel="0" collapsed="false">
      <c r="A4" s="28" t="s">
        <v>252</v>
      </c>
      <c r="B4" s="28"/>
      <c r="C4" s="28"/>
      <c r="D4" s="28"/>
    </row>
    <row r="5" customFormat="false" ht="23.85" hidden="false" customHeight="false" outlineLevel="0" collapsed="false">
      <c r="A5" s="30" t="s">
        <v>253</v>
      </c>
      <c r="C5" s="111" t="n">
        <v>0.75</v>
      </c>
      <c r="D5" s="112" t="s">
        <v>254</v>
      </c>
    </row>
    <row r="6" customFormat="false" ht="15" hidden="false" customHeight="false" outlineLevel="0" collapsed="false">
      <c r="A6" s="30" t="s">
        <v>255</v>
      </c>
      <c r="C6" s="111" t="n">
        <v>0.65</v>
      </c>
      <c r="D6" s="112" t="s">
        <v>256</v>
      </c>
    </row>
    <row r="8" customFormat="false" ht="19.5" hidden="false" customHeight="true" outlineLevel="0" collapsed="false">
      <c r="A8" s="28" t="s">
        <v>257</v>
      </c>
      <c r="B8" s="28"/>
      <c r="C8" s="28"/>
      <c r="D8" s="28"/>
    </row>
    <row r="9" customFormat="false" ht="33.75" hidden="false" customHeight="true" outlineLevel="0" collapsed="false">
      <c r="A9" s="29" t="s">
        <v>258</v>
      </c>
      <c r="B9" s="29"/>
      <c r="C9" s="29" t="s">
        <v>259</v>
      </c>
      <c r="D9" s="29"/>
    </row>
    <row r="10" customFormat="false" ht="30" hidden="false" customHeight="true" outlineLevel="0" collapsed="false">
      <c r="A10" s="30" t="s">
        <v>260</v>
      </c>
      <c r="B10" s="30"/>
      <c r="C10" s="48" t="s">
        <v>261</v>
      </c>
      <c r="D10" s="48"/>
    </row>
    <row r="11" customFormat="false" ht="30" hidden="false" customHeight="true" outlineLevel="0" collapsed="false">
      <c r="A11" s="30" t="s">
        <v>27</v>
      </c>
      <c r="B11" s="30"/>
      <c r="C11" s="48" t="s">
        <v>262</v>
      </c>
      <c r="D11" s="48"/>
    </row>
    <row r="12" customFormat="false" ht="30" hidden="false" customHeight="true" outlineLevel="0" collapsed="false">
      <c r="A12" s="30" t="s">
        <v>28</v>
      </c>
      <c r="B12" s="30"/>
      <c r="C12" s="48" t="s">
        <v>263</v>
      </c>
      <c r="D12" s="48"/>
    </row>
    <row r="13" customFormat="false" ht="30" hidden="false" customHeight="true" outlineLevel="0" collapsed="false">
      <c r="A13" s="30" t="s">
        <v>24</v>
      </c>
      <c r="B13" s="30"/>
      <c r="C13" s="48" t="s">
        <v>264</v>
      </c>
      <c r="D13" s="48"/>
    </row>
    <row r="14" customFormat="false" ht="30" hidden="false" customHeight="true" outlineLevel="0" collapsed="false">
      <c r="A14" s="30" t="s">
        <v>72</v>
      </c>
      <c r="B14" s="30"/>
      <c r="C14" s="48" t="s">
        <v>265</v>
      </c>
      <c r="D14" s="48"/>
    </row>
    <row r="15" customFormat="false" ht="30" hidden="false" customHeight="true" outlineLevel="0" collapsed="false">
      <c r="A15" s="30" t="s">
        <v>49</v>
      </c>
      <c r="B15" s="30"/>
      <c r="C15" s="48" t="s">
        <v>266</v>
      </c>
      <c r="D15" s="48"/>
    </row>
    <row r="16" customFormat="false" ht="30" hidden="false" customHeight="true" outlineLevel="0" collapsed="false">
      <c r="A16" s="30" t="s">
        <v>267</v>
      </c>
      <c r="B16" s="30"/>
      <c r="C16" s="48" t="s">
        <v>268</v>
      </c>
      <c r="D16" s="48"/>
    </row>
    <row r="17" customFormat="false" ht="30" hidden="false" customHeight="true" outlineLevel="0" collapsed="false">
      <c r="A17" s="30" t="s">
        <v>269</v>
      </c>
      <c r="B17" s="30"/>
      <c r="C17" s="48" t="s">
        <v>270</v>
      </c>
      <c r="D17" s="48"/>
    </row>
    <row r="18" customFormat="false" ht="30" hidden="false" customHeight="true" outlineLevel="0" collapsed="false">
      <c r="A18" s="30" t="s">
        <v>271</v>
      </c>
      <c r="B18" s="30"/>
      <c r="C18" s="48" t="s">
        <v>272</v>
      </c>
      <c r="D18" s="48"/>
    </row>
    <row r="19" customFormat="false" ht="30" hidden="false" customHeight="true" outlineLevel="0" collapsed="false">
      <c r="A19" s="30" t="s">
        <v>46</v>
      </c>
      <c r="B19" s="30"/>
      <c r="C19" s="48" t="s">
        <v>273</v>
      </c>
      <c r="D19" s="48"/>
    </row>
    <row r="21" customFormat="false" ht="19.5" hidden="false" customHeight="true" outlineLevel="0" collapsed="false">
      <c r="A21" s="28" t="s">
        <v>274</v>
      </c>
      <c r="B21" s="28"/>
      <c r="C21" s="28"/>
      <c r="D21" s="28"/>
    </row>
    <row r="22" customFormat="false" ht="33.75" hidden="false" customHeight="true" outlineLevel="0" collapsed="false">
      <c r="A22" s="29" t="s">
        <v>275</v>
      </c>
      <c r="B22" s="29"/>
      <c r="C22" s="29" t="s">
        <v>276</v>
      </c>
      <c r="D22" s="29"/>
    </row>
    <row r="23" customFormat="false" ht="30" hidden="false" customHeight="true" outlineLevel="0" collapsed="false">
      <c r="A23" s="30" t="s">
        <v>277</v>
      </c>
      <c r="B23" s="30"/>
      <c r="C23" s="48" t="s">
        <v>278</v>
      </c>
      <c r="D23" s="48"/>
    </row>
    <row r="24" customFormat="false" ht="30" hidden="false" customHeight="true" outlineLevel="0" collapsed="false">
      <c r="A24" s="30" t="s">
        <v>279</v>
      </c>
      <c r="B24" s="30"/>
      <c r="C24" s="48" t="s">
        <v>280</v>
      </c>
      <c r="D24" s="48"/>
    </row>
    <row r="25" customFormat="false" ht="30" hidden="false" customHeight="true" outlineLevel="0" collapsed="false">
      <c r="A25" s="30" t="s">
        <v>281</v>
      </c>
      <c r="B25" s="30"/>
      <c r="C25" s="48" t="s">
        <v>282</v>
      </c>
      <c r="D25" s="48"/>
    </row>
    <row r="26" customFormat="false" ht="30" hidden="false" customHeight="true" outlineLevel="0" collapsed="false">
      <c r="A26" s="30" t="s">
        <v>283</v>
      </c>
      <c r="B26" s="30"/>
      <c r="C26" s="48" t="s">
        <v>284</v>
      </c>
      <c r="D26" s="48"/>
    </row>
    <row r="27" customFormat="false" ht="30" hidden="false" customHeight="true" outlineLevel="0" collapsed="false">
      <c r="A27" s="30" t="s">
        <v>285</v>
      </c>
      <c r="B27" s="30"/>
      <c r="C27" s="48" t="s">
        <v>286</v>
      </c>
      <c r="D27" s="48"/>
    </row>
    <row r="28" customFormat="false" ht="30" hidden="false" customHeight="true" outlineLevel="0" collapsed="false">
      <c r="A28" s="30" t="s">
        <v>287</v>
      </c>
      <c r="B28" s="30"/>
      <c r="C28" s="48" t="s">
        <v>288</v>
      </c>
      <c r="D28" s="48"/>
    </row>
    <row r="29" customFormat="false" ht="30" hidden="false" customHeight="true" outlineLevel="0" collapsed="false">
      <c r="A29" s="30" t="s">
        <v>289</v>
      </c>
      <c r="B29" s="30"/>
      <c r="C29" s="48" t="s">
        <v>290</v>
      </c>
      <c r="D29" s="48"/>
    </row>
    <row r="31" customFormat="false" ht="19.5" hidden="false" customHeight="true" outlineLevel="0" collapsed="false">
      <c r="A31" s="28" t="s">
        <v>291</v>
      </c>
      <c r="B31" s="28"/>
      <c r="C31" s="28"/>
      <c r="D31" s="28"/>
    </row>
    <row r="32" customFormat="false" ht="15" hidden="false" customHeight="true" outlineLevel="0" collapsed="false">
      <c r="A32" s="113" t="s">
        <v>292</v>
      </c>
      <c r="B32" s="113"/>
      <c r="C32" s="113"/>
      <c r="D32" s="113"/>
    </row>
    <row r="33" customFormat="false" ht="15" hidden="false" customHeight="true" outlineLevel="0" collapsed="false">
      <c r="A33" s="77" t="s">
        <v>293</v>
      </c>
      <c r="B33" s="77"/>
      <c r="C33" s="77"/>
      <c r="D33" s="77"/>
    </row>
    <row r="34" customFormat="false" ht="15" hidden="false" customHeight="true" outlineLevel="0" collapsed="false">
      <c r="A34" s="114" t="s">
        <v>294</v>
      </c>
      <c r="B34" s="114"/>
      <c r="C34" s="114"/>
      <c r="D34" s="114"/>
    </row>
    <row r="35" customFormat="false" ht="15" hidden="false" customHeight="true" outlineLevel="0" collapsed="false">
      <c r="A35" s="115" t="s">
        <v>295</v>
      </c>
      <c r="B35" s="115"/>
      <c r="C35" s="115"/>
      <c r="D35" s="115"/>
    </row>
  </sheetData>
  <mergeCells count="48">
    <mergeCell ref="A1:F1"/>
    <mergeCell ref="A2:F2"/>
    <mergeCell ref="A4:D4"/>
    <mergeCell ref="A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1:D31"/>
    <mergeCell ref="A32:D32"/>
    <mergeCell ref="A33:D33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672A"/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10" min="9" style="0" width="16"/>
  </cols>
  <sheetData>
    <row r="1" customFormat="false" ht="33.75" hidden="false" customHeight="true" outlineLevel="0" collapsed="false">
      <c r="A1" s="116" t="s">
        <v>183</v>
      </c>
      <c r="B1" s="116" t="s">
        <v>296</v>
      </c>
      <c r="C1" s="116" t="s">
        <v>297</v>
      </c>
      <c r="D1" s="116" t="s">
        <v>260</v>
      </c>
      <c r="E1" s="116" t="s">
        <v>298</v>
      </c>
      <c r="F1" s="116" t="s">
        <v>299</v>
      </c>
      <c r="G1" s="116" t="s">
        <v>300</v>
      </c>
      <c r="H1" s="116" t="s">
        <v>301</v>
      </c>
      <c r="I1" s="116" t="s">
        <v>302</v>
      </c>
      <c r="J1" s="116" t="s">
        <v>303</v>
      </c>
    </row>
    <row r="2" customFormat="false" ht="15" hidden="false" customHeight="false" outlineLevel="0" collapsed="false">
      <c r="A2" s="30" t="s">
        <v>304</v>
      </c>
      <c r="B2" s="30" t="s">
        <v>213</v>
      </c>
      <c r="C2" s="30" t="s">
        <v>213</v>
      </c>
      <c r="D2" s="31" t="n">
        <f aca="false">1-F2/E2</f>
        <v>0.71111876372089</v>
      </c>
      <c r="E2" s="104" t="n">
        <v>23231</v>
      </c>
      <c r="F2" s="104" t="n">
        <v>6711</v>
      </c>
      <c r="G2" s="104" t="n">
        <v>6416</v>
      </c>
      <c r="H2" s="104" t="n">
        <v>295</v>
      </c>
      <c r="I2" s="31" t="n">
        <f aca="false">G2/F2</f>
        <v>0.956042318581434</v>
      </c>
      <c r="J2" s="31" t="n">
        <f aca="false">H2/F2</f>
        <v>0.0439576814185665</v>
      </c>
    </row>
    <row r="3" customFormat="false" ht="15" hidden="false" customHeight="false" outlineLevel="0" collapsed="false">
      <c r="A3" s="49" t="s">
        <v>305</v>
      </c>
      <c r="B3" s="49" t="s">
        <v>306</v>
      </c>
      <c r="C3" s="49" t="s">
        <v>213</v>
      </c>
      <c r="D3" s="50" t="n">
        <f aca="false">1-F3/E3</f>
        <v>0.71111876372089</v>
      </c>
      <c r="E3" s="106" t="n">
        <v>23231</v>
      </c>
      <c r="F3" s="106" t="n">
        <v>6711</v>
      </c>
      <c r="G3" s="106" t="n">
        <v>6416</v>
      </c>
      <c r="H3" s="106" t="n">
        <v>295</v>
      </c>
      <c r="I3" s="50" t="n">
        <f aca="false">G3/F3</f>
        <v>0.956042318581434</v>
      </c>
      <c r="J3" s="50" t="n">
        <f aca="false">H3/F3</f>
        <v>0.0439576814185665</v>
      </c>
    </row>
    <row r="4" customFormat="false" ht="15" hidden="false" customHeight="false" outlineLevel="0" collapsed="false">
      <c r="A4" s="48" t="s">
        <v>305</v>
      </c>
      <c r="B4" s="48" t="s">
        <v>306</v>
      </c>
      <c r="C4" s="48" t="s">
        <v>307</v>
      </c>
      <c r="D4" s="47" t="n">
        <f aca="false">1-F4/E4</f>
        <v>0.738500315059861</v>
      </c>
      <c r="E4" s="79" t="n">
        <v>1587</v>
      </c>
      <c r="F4" s="79" t="n">
        <v>415</v>
      </c>
      <c r="G4" s="79" t="n">
        <v>404</v>
      </c>
      <c r="H4" s="79" t="n">
        <v>11</v>
      </c>
      <c r="I4" s="47" t="n">
        <f aca="false">G4/F4</f>
        <v>0.973493975903614</v>
      </c>
      <c r="J4" s="47" t="n">
        <f aca="false">H4/F4</f>
        <v>0.0265060240963855</v>
      </c>
    </row>
    <row r="5" customFormat="false" ht="15" hidden="false" customHeight="false" outlineLevel="0" collapsed="false">
      <c r="A5" s="53" t="s">
        <v>305</v>
      </c>
      <c r="B5" s="53" t="s">
        <v>306</v>
      </c>
      <c r="C5" s="53" t="s">
        <v>308</v>
      </c>
      <c r="D5" s="51" t="n">
        <f aca="false">1-F5/E5</f>
        <v>0.709575142675967</v>
      </c>
      <c r="E5" s="83" t="n">
        <v>1577</v>
      </c>
      <c r="F5" s="83" t="n">
        <v>458</v>
      </c>
      <c r="G5" s="83" t="n">
        <v>442</v>
      </c>
      <c r="H5" s="83" t="n">
        <v>16</v>
      </c>
      <c r="I5" s="51" t="n">
        <f aca="false">G5/F5</f>
        <v>0.965065502183406</v>
      </c>
      <c r="J5" s="51" t="n">
        <f aca="false">H5/F5</f>
        <v>0.0349344978165939</v>
      </c>
    </row>
    <row r="6" customFormat="false" ht="15" hidden="false" customHeight="false" outlineLevel="0" collapsed="false">
      <c r="A6" s="48" t="s">
        <v>305</v>
      </c>
      <c r="B6" s="48" t="s">
        <v>306</v>
      </c>
      <c r="C6" s="48" t="s">
        <v>309</v>
      </c>
      <c r="D6" s="47" t="n">
        <f aca="false">1-F6/E6</f>
        <v>0.726670347874103</v>
      </c>
      <c r="E6" s="79" t="n">
        <v>1811</v>
      </c>
      <c r="F6" s="79" t="n">
        <v>495</v>
      </c>
      <c r="G6" s="79" t="n">
        <v>472</v>
      </c>
      <c r="H6" s="79" t="n">
        <v>23</v>
      </c>
      <c r="I6" s="47" t="n">
        <f aca="false">G6/F6</f>
        <v>0.953535353535354</v>
      </c>
      <c r="J6" s="47" t="n">
        <f aca="false">H6/F6</f>
        <v>0.0464646464646465</v>
      </c>
    </row>
    <row r="7" customFormat="false" ht="15" hidden="false" customHeight="false" outlineLevel="0" collapsed="false">
      <c r="A7" s="53" t="s">
        <v>305</v>
      </c>
      <c r="B7" s="53" t="s">
        <v>306</v>
      </c>
      <c r="C7" s="53" t="s">
        <v>310</v>
      </c>
      <c r="D7" s="51" t="n">
        <f aca="false">1-F7/E7</f>
        <v>0.714130434782609</v>
      </c>
      <c r="E7" s="83" t="n">
        <v>1840</v>
      </c>
      <c r="F7" s="83" t="n">
        <v>526</v>
      </c>
      <c r="G7" s="83" t="n">
        <v>514</v>
      </c>
      <c r="H7" s="83" t="n">
        <v>12</v>
      </c>
      <c r="I7" s="51" t="n">
        <f aca="false">G7/F7</f>
        <v>0.977186311787072</v>
      </c>
      <c r="J7" s="51" t="n">
        <f aca="false">H7/F7</f>
        <v>0.0228136882129278</v>
      </c>
    </row>
    <row r="8" customFormat="false" ht="15" hidden="false" customHeight="false" outlineLevel="0" collapsed="false">
      <c r="A8" s="48" t="s">
        <v>305</v>
      </c>
      <c r="B8" s="48" t="s">
        <v>306</v>
      </c>
      <c r="C8" s="48" t="s">
        <v>311</v>
      </c>
      <c r="D8" s="47" t="n">
        <f aca="false">1-F8/E8</f>
        <v>0.725039619651347</v>
      </c>
      <c r="E8" s="79" t="n">
        <v>1262</v>
      </c>
      <c r="F8" s="79" t="n">
        <v>347</v>
      </c>
      <c r="G8" s="79" t="n">
        <v>327</v>
      </c>
      <c r="H8" s="79" t="n">
        <v>20</v>
      </c>
      <c r="I8" s="47" t="n">
        <f aca="false">G8/F8</f>
        <v>0.942363112391931</v>
      </c>
      <c r="J8" s="47" t="n">
        <f aca="false">H8/F8</f>
        <v>0.0576368876080692</v>
      </c>
    </row>
    <row r="9" customFormat="false" ht="15" hidden="false" customHeight="false" outlineLevel="0" collapsed="false">
      <c r="A9" s="53" t="s">
        <v>305</v>
      </c>
      <c r="B9" s="53" t="s">
        <v>306</v>
      </c>
      <c r="C9" s="53" t="s">
        <v>312</v>
      </c>
      <c r="D9" s="51" t="n">
        <f aca="false">1-F9/E9</f>
        <v>0.727668845315904</v>
      </c>
      <c r="E9" s="83" t="n">
        <v>918</v>
      </c>
      <c r="F9" s="83" t="n">
        <v>250</v>
      </c>
      <c r="G9" s="83" t="n">
        <v>241</v>
      </c>
      <c r="H9" s="83" t="n">
        <v>9</v>
      </c>
      <c r="I9" s="51" t="n">
        <f aca="false">G9/F9</f>
        <v>0.964</v>
      </c>
      <c r="J9" s="51" t="n">
        <f aca="false">H9/F9</f>
        <v>0.036</v>
      </c>
    </row>
    <row r="10" customFormat="false" ht="15" hidden="false" customHeight="false" outlineLevel="0" collapsed="false">
      <c r="A10" s="48" t="s">
        <v>305</v>
      </c>
      <c r="B10" s="48" t="s">
        <v>306</v>
      </c>
      <c r="C10" s="48" t="s">
        <v>313</v>
      </c>
      <c r="D10" s="47" t="n">
        <f aca="false">1-F10/E10</f>
        <v>0.735587583148559</v>
      </c>
      <c r="E10" s="79" t="n">
        <v>1804</v>
      </c>
      <c r="F10" s="79" t="n">
        <v>477</v>
      </c>
      <c r="G10" s="79" t="n">
        <v>457</v>
      </c>
      <c r="H10" s="79" t="n">
        <v>20</v>
      </c>
      <c r="I10" s="47" t="n">
        <f aca="false">G10/F10</f>
        <v>0.958071278825996</v>
      </c>
      <c r="J10" s="47" t="n">
        <f aca="false">H10/F10</f>
        <v>0.0419287211740042</v>
      </c>
    </row>
    <row r="11" customFormat="false" ht="15" hidden="false" customHeight="false" outlineLevel="0" collapsed="false">
      <c r="A11" s="53" t="s">
        <v>305</v>
      </c>
      <c r="B11" s="53" t="s">
        <v>306</v>
      </c>
      <c r="C11" s="53" t="s">
        <v>314</v>
      </c>
      <c r="D11" s="51" t="n">
        <f aca="false">1-F11/E11</f>
        <v>0.70694259012016</v>
      </c>
      <c r="E11" s="83" t="n">
        <v>1498</v>
      </c>
      <c r="F11" s="83" t="n">
        <v>439</v>
      </c>
      <c r="G11" s="83" t="n">
        <v>421</v>
      </c>
      <c r="H11" s="83" t="n">
        <v>18</v>
      </c>
      <c r="I11" s="51" t="n">
        <f aca="false">G11/F11</f>
        <v>0.958997722095672</v>
      </c>
      <c r="J11" s="51" t="n">
        <f aca="false">H11/F11</f>
        <v>0.041002277904328</v>
      </c>
    </row>
    <row r="12" customFormat="false" ht="15" hidden="false" customHeight="false" outlineLevel="0" collapsed="false">
      <c r="A12" s="48" t="s">
        <v>305</v>
      </c>
      <c r="B12" s="48" t="s">
        <v>306</v>
      </c>
      <c r="C12" s="48" t="s">
        <v>315</v>
      </c>
      <c r="D12" s="47" t="n">
        <f aca="false">1-F12/E12</f>
        <v>0.70813679245283</v>
      </c>
      <c r="E12" s="79" t="n">
        <v>1696</v>
      </c>
      <c r="F12" s="79" t="n">
        <v>495</v>
      </c>
      <c r="G12" s="79" t="n">
        <v>467</v>
      </c>
      <c r="H12" s="79" t="n">
        <v>28</v>
      </c>
      <c r="I12" s="47" t="n">
        <f aca="false">G12/F12</f>
        <v>0.943434343434343</v>
      </c>
      <c r="J12" s="47" t="n">
        <f aca="false">H12/F12</f>
        <v>0.0565656565656566</v>
      </c>
    </row>
    <row r="13" customFormat="false" ht="15" hidden="false" customHeight="false" outlineLevel="0" collapsed="false">
      <c r="A13" s="53" t="s">
        <v>305</v>
      </c>
      <c r="B13" s="53" t="s">
        <v>306</v>
      </c>
      <c r="C13" s="53" t="s">
        <v>316</v>
      </c>
      <c r="D13" s="51" t="n">
        <f aca="false">1-F13/E13</f>
        <v>0.675239234449761</v>
      </c>
      <c r="E13" s="83" t="n">
        <v>1672</v>
      </c>
      <c r="F13" s="83" t="n">
        <v>543</v>
      </c>
      <c r="G13" s="83" t="n">
        <v>523</v>
      </c>
      <c r="H13" s="83" t="n">
        <v>20</v>
      </c>
      <c r="I13" s="51" t="n">
        <f aca="false">G13/F13</f>
        <v>0.96316758747698</v>
      </c>
      <c r="J13" s="51" t="n">
        <f aca="false">H13/F13</f>
        <v>0.0368324125230203</v>
      </c>
    </row>
    <row r="14" customFormat="false" ht="15" hidden="false" customHeight="false" outlineLevel="0" collapsed="false">
      <c r="A14" s="48" t="s">
        <v>305</v>
      </c>
      <c r="B14" s="48" t="s">
        <v>306</v>
      </c>
      <c r="C14" s="48" t="s">
        <v>317</v>
      </c>
      <c r="D14" s="47" t="n">
        <f aca="false">1-F14/E14</f>
        <v>0.689899586532782</v>
      </c>
      <c r="E14" s="79" t="n">
        <v>1693</v>
      </c>
      <c r="F14" s="79" t="n">
        <v>525</v>
      </c>
      <c r="G14" s="79" t="n">
        <v>497</v>
      </c>
      <c r="H14" s="79" t="n">
        <v>28</v>
      </c>
      <c r="I14" s="47" t="n">
        <f aca="false">G14/F14</f>
        <v>0.946666666666667</v>
      </c>
      <c r="J14" s="47" t="n">
        <f aca="false">H14/F14</f>
        <v>0.0533333333333333</v>
      </c>
    </row>
    <row r="15" customFormat="false" ht="15" hidden="false" customHeight="false" outlineLevel="0" collapsed="false">
      <c r="A15" s="53" t="s">
        <v>305</v>
      </c>
      <c r="B15" s="53" t="s">
        <v>306</v>
      </c>
      <c r="C15" s="53" t="s">
        <v>318</v>
      </c>
      <c r="D15" s="51" t="n">
        <f aca="false">1-F15/E15</f>
        <v>0.716430358632194</v>
      </c>
      <c r="E15" s="83" t="n">
        <v>1199</v>
      </c>
      <c r="F15" s="83" t="n">
        <v>340</v>
      </c>
      <c r="G15" s="83" t="n">
        <v>327</v>
      </c>
      <c r="H15" s="83" t="n">
        <v>13</v>
      </c>
      <c r="I15" s="51" t="n">
        <f aca="false">G15/F15</f>
        <v>0.961764705882353</v>
      </c>
      <c r="J15" s="51" t="n">
        <f aca="false">H15/F15</f>
        <v>0.0382352941176471</v>
      </c>
    </row>
    <row r="16" customFormat="false" ht="15" hidden="false" customHeight="false" outlineLevel="0" collapsed="false">
      <c r="A16" s="48" t="s">
        <v>305</v>
      </c>
      <c r="B16" s="48" t="s">
        <v>306</v>
      </c>
      <c r="C16" s="48" t="s">
        <v>319</v>
      </c>
      <c r="D16" s="47" t="n">
        <f aca="false">1-F16/E16</f>
        <v>0.691268191268191</v>
      </c>
      <c r="E16" s="79" t="n">
        <v>962</v>
      </c>
      <c r="F16" s="79" t="n">
        <v>297</v>
      </c>
      <c r="G16" s="79" t="n">
        <v>278</v>
      </c>
      <c r="H16" s="79" t="n">
        <v>19</v>
      </c>
      <c r="I16" s="47" t="n">
        <f aca="false">G16/F16</f>
        <v>0.936026936026936</v>
      </c>
      <c r="J16" s="47" t="n">
        <f aca="false">H16/F16</f>
        <v>0.063973063973064</v>
      </c>
    </row>
    <row r="17" customFormat="false" ht="15" hidden="false" customHeight="false" outlineLevel="0" collapsed="false">
      <c r="A17" s="53" t="s">
        <v>305</v>
      </c>
      <c r="B17" s="53" t="s">
        <v>306</v>
      </c>
      <c r="C17" s="53" t="s">
        <v>320</v>
      </c>
      <c r="D17" s="51" t="n">
        <f aca="false">1-F17/E17</f>
        <v>0.698590179873602</v>
      </c>
      <c r="E17" s="83" t="n">
        <v>2057</v>
      </c>
      <c r="F17" s="83" t="n">
        <v>620</v>
      </c>
      <c r="G17" s="83" t="n">
        <v>587</v>
      </c>
      <c r="H17" s="83" t="n">
        <v>33</v>
      </c>
      <c r="I17" s="51" t="n">
        <f aca="false">G17/F17</f>
        <v>0.946774193548387</v>
      </c>
      <c r="J17" s="51" t="n">
        <f aca="false">H17/F17</f>
        <v>0.0532258064516129</v>
      </c>
    </row>
    <row r="18" customFormat="false" ht="15" hidden="false" customHeight="false" outlineLevel="0" collapsed="false">
      <c r="A18" s="48" t="s">
        <v>305</v>
      </c>
      <c r="B18" s="48" t="s">
        <v>306</v>
      </c>
      <c r="C18" s="48" t="s">
        <v>321</v>
      </c>
      <c r="D18" s="47" t="n">
        <f aca="false">1-F18/E18</f>
        <v>0.707552870090634</v>
      </c>
      <c r="E18" s="79" t="n">
        <v>1655</v>
      </c>
      <c r="F18" s="79" t="n">
        <v>484</v>
      </c>
      <c r="G18" s="79" t="n">
        <v>459</v>
      </c>
      <c r="H18" s="79" t="n">
        <v>25</v>
      </c>
      <c r="I18" s="47" t="n">
        <f aca="false">G18/F18</f>
        <v>0.948347107438017</v>
      </c>
      <c r="J18" s="47" t="n">
        <f aca="false">H18/F18</f>
        <v>0.0516528925619835</v>
      </c>
    </row>
    <row r="20" customFormat="false" ht="15" hidden="false" customHeight="false" outlineLevel="0" collapsed="false">
      <c r="A20" s="62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672A"/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10" min="9" style="0" width="16"/>
  </cols>
  <sheetData>
    <row r="1" customFormat="false" ht="33.75" hidden="false" customHeight="true" outlineLevel="0" collapsed="false">
      <c r="A1" s="116" t="s">
        <v>183</v>
      </c>
      <c r="B1" s="116" t="s">
        <v>296</v>
      </c>
      <c r="C1" s="116" t="s">
        <v>297</v>
      </c>
      <c r="D1" s="116" t="s">
        <v>260</v>
      </c>
      <c r="E1" s="116" t="s">
        <v>298</v>
      </c>
      <c r="F1" s="116" t="s">
        <v>299</v>
      </c>
      <c r="G1" s="116" t="s">
        <v>300</v>
      </c>
      <c r="H1" s="116" t="s">
        <v>301</v>
      </c>
      <c r="I1" s="116" t="s">
        <v>302</v>
      </c>
      <c r="J1" s="116" t="s">
        <v>303</v>
      </c>
    </row>
    <row r="2" customFormat="false" ht="15" hidden="false" customHeight="false" outlineLevel="0" collapsed="false">
      <c r="A2" s="30" t="s">
        <v>304</v>
      </c>
      <c r="B2" s="30" t="s">
        <v>213</v>
      </c>
      <c r="C2" s="30" t="s">
        <v>213</v>
      </c>
      <c r="D2" s="31" t="n">
        <f aca="false">1-F2/E2</f>
        <v>0.597864921871637</v>
      </c>
      <c r="E2" s="104" t="n">
        <v>23231</v>
      </c>
      <c r="F2" s="104" t="n">
        <v>9342</v>
      </c>
      <c r="G2" s="104" t="n">
        <v>8800</v>
      </c>
      <c r="H2" s="104" t="n">
        <v>542</v>
      </c>
      <c r="I2" s="31" t="n">
        <f aca="false">G2/F2</f>
        <v>0.941982444872618</v>
      </c>
      <c r="J2" s="31" t="n">
        <f aca="false">H2/F2</f>
        <v>0.0580175551273817</v>
      </c>
    </row>
    <row r="3" customFormat="false" ht="15" hidden="false" customHeight="false" outlineLevel="0" collapsed="false">
      <c r="A3" s="49" t="s">
        <v>305</v>
      </c>
      <c r="B3" s="49" t="s">
        <v>306</v>
      </c>
      <c r="C3" s="49" t="s">
        <v>213</v>
      </c>
      <c r="D3" s="50" t="n">
        <f aca="false">1-F3/E3</f>
        <v>0.597864921871637</v>
      </c>
      <c r="E3" s="106" t="n">
        <v>23231</v>
      </c>
      <c r="F3" s="106" t="n">
        <v>9342</v>
      </c>
      <c r="G3" s="106" t="n">
        <v>8800</v>
      </c>
      <c r="H3" s="106" t="n">
        <v>542</v>
      </c>
      <c r="I3" s="50" t="n">
        <f aca="false">G3/F3</f>
        <v>0.941982444872618</v>
      </c>
      <c r="J3" s="50" t="n">
        <f aca="false">H3/F3</f>
        <v>0.0580175551273817</v>
      </c>
    </row>
    <row r="4" customFormat="false" ht="15" hidden="false" customHeight="false" outlineLevel="0" collapsed="false">
      <c r="A4" s="48" t="s">
        <v>305</v>
      </c>
      <c r="B4" s="48" t="s">
        <v>306</v>
      </c>
      <c r="C4" s="48" t="s">
        <v>307</v>
      </c>
      <c r="D4" s="47" t="n">
        <f aca="false">1-F4/E4</f>
        <v>0.630119722747322</v>
      </c>
      <c r="E4" s="79" t="n">
        <v>1587</v>
      </c>
      <c r="F4" s="79" t="n">
        <v>587</v>
      </c>
      <c r="G4" s="79" t="n">
        <v>554</v>
      </c>
      <c r="H4" s="79" t="n">
        <v>33</v>
      </c>
      <c r="I4" s="47" t="n">
        <f aca="false">G4/F4</f>
        <v>0.943781942078365</v>
      </c>
      <c r="J4" s="47" t="n">
        <f aca="false">H4/F4</f>
        <v>0.0562180579216354</v>
      </c>
    </row>
    <row r="5" customFormat="false" ht="15" hidden="false" customHeight="false" outlineLevel="0" collapsed="false">
      <c r="A5" s="53" t="s">
        <v>305</v>
      </c>
      <c r="B5" s="53" t="s">
        <v>306</v>
      </c>
      <c r="C5" s="53" t="s">
        <v>308</v>
      </c>
      <c r="D5" s="51" t="n">
        <f aca="false">1-F5/E5</f>
        <v>0.582117945466075</v>
      </c>
      <c r="E5" s="83" t="n">
        <v>1577</v>
      </c>
      <c r="F5" s="83" t="n">
        <v>659</v>
      </c>
      <c r="G5" s="83" t="n">
        <v>624</v>
      </c>
      <c r="H5" s="83" t="n">
        <v>35</v>
      </c>
      <c r="I5" s="51" t="n">
        <f aca="false">G5/F5</f>
        <v>0.946889226100152</v>
      </c>
      <c r="J5" s="51" t="n">
        <f aca="false">H5/F5</f>
        <v>0.0531107738998483</v>
      </c>
    </row>
    <row r="6" customFormat="false" ht="15" hidden="false" customHeight="false" outlineLevel="0" collapsed="false">
      <c r="A6" s="48" t="s">
        <v>305</v>
      </c>
      <c r="B6" s="48" t="s">
        <v>306</v>
      </c>
      <c r="C6" s="48" t="s">
        <v>309</v>
      </c>
      <c r="D6" s="47" t="n">
        <f aca="false">1-F6/E6</f>
        <v>0.614577581446715</v>
      </c>
      <c r="E6" s="79" t="n">
        <v>1811</v>
      </c>
      <c r="F6" s="79" t="n">
        <v>698</v>
      </c>
      <c r="G6" s="79" t="n">
        <v>661</v>
      </c>
      <c r="H6" s="79" t="n">
        <v>37</v>
      </c>
      <c r="I6" s="47" t="n">
        <f aca="false">G6/F6</f>
        <v>0.946991404011461</v>
      </c>
      <c r="J6" s="47" t="n">
        <f aca="false">H6/F6</f>
        <v>0.0530085959885387</v>
      </c>
    </row>
    <row r="7" customFormat="false" ht="15" hidden="false" customHeight="false" outlineLevel="0" collapsed="false">
      <c r="A7" s="53" t="s">
        <v>305</v>
      </c>
      <c r="B7" s="53" t="s">
        <v>306</v>
      </c>
      <c r="C7" s="53" t="s">
        <v>310</v>
      </c>
      <c r="D7" s="51" t="n">
        <f aca="false">1-F7/E7</f>
        <v>0.5875</v>
      </c>
      <c r="E7" s="83" t="n">
        <v>1840</v>
      </c>
      <c r="F7" s="83" t="n">
        <v>759</v>
      </c>
      <c r="G7" s="83" t="n">
        <v>731</v>
      </c>
      <c r="H7" s="83" t="n">
        <v>28</v>
      </c>
      <c r="I7" s="51" t="n">
        <f aca="false">G7/F7</f>
        <v>0.963109354413702</v>
      </c>
      <c r="J7" s="51" t="n">
        <f aca="false">H7/F7</f>
        <v>0.0368906455862978</v>
      </c>
    </row>
    <row r="8" customFormat="false" ht="15" hidden="false" customHeight="false" outlineLevel="0" collapsed="false">
      <c r="A8" s="48" t="s">
        <v>305</v>
      </c>
      <c r="B8" s="48" t="s">
        <v>306</v>
      </c>
      <c r="C8" s="48" t="s">
        <v>311</v>
      </c>
      <c r="D8" s="47" t="n">
        <f aca="false">1-F8/E8</f>
        <v>0.615689381933439</v>
      </c>
      <c r="E8" s="79" t="n">
        <v>1262</v>
      </c>
      <c r="F8" s="79" t="n">
        <v>485</v>
      </c>
      <c r="G8" s="79" t="n">
        <v>454</v>
      </c>
      <c r="H8" s="79" t="n">
        <v>31</v>
      </c>
      <c r="I8" s="47" t="n">
        <f aca="false">G8/F8</f>
        <v>0.936082474226804</v>
      </c>
      <c r="J8" s="47" t="n">
        <f aca="false">H8/F8</f>
        <v>0.0639175257731959</v>
      </c>
    </row>
    <row r="9" customFormat="false" ht="15" hidden="false" customHeight="false" outlineLevel="0" collapsed="false">
      <c r="A9" s="53" t="s">
        <v>305</v>
      </c>
      <c r="B9" s="53" t="s">
        <v>306</v>
      </c>
      <c r="C9" s="53" t="s">
        <v>312</v>
      </c>
      <c r="D9" s="51" t="n">
        <f aca="false">1-F9/E9</f>
        <v>0.596949891067538</v>
      </c>
      <c r="E9" s="83" t="n">
        <v>918</v>
      </c>
      <c r="F9" s="83" t="n">
        <v>370</v>
      </c>
      <c r="G9" s="83" t="n">
        <v>348</v>
      </c>
      <c r="H9" s="83" t="n">
        <v>22</v>
      </c>
      <c r="I9" s="51" t="n">
        <f aca="false">G9/F9</f>
        <v>0.940540540540541</v>
      </c>
      <c r="J9" s="51" t="n">
        <f aca="false">H9/F9</f>
        <v>0.0594594594594595</v>
      </c>
    </row>
    <row r="10" customFormat="false" ht="15" hidden="false" customHeight="false" outlineLevel="0" collapsed="false">
      <c r="A10" s="48" t="s">
        <v>305</v>
      </c>
      <c r="B10" s="48" t="s">
        <v>306</v>
      </c>
      <c r="C10" s="48" t="s">
        <v>313</v>
      </c>
      <c r="D10" s="47" t="n">
        <f aca="false">1-F10/E10</f>
        <v>0.615853658536585</v>
      </c>
      <c r="E10" s="79" t="n">
        <v>1804</v>
      </c>
      <c r="F10" s="79" t="n">
        <v>693</v>
      </c>
      <c r="G10" s="79" t="n">
        <v>654</v>
      </c>
      <c r="H10" s="79" t="n">
        <v>39</v>
      </c>
      <c r="I10" s="47" t="n">
        <f aca="false">G10/F10</f>
        <v>0.943722943722944</v>
      </c>
      <c r="J10" s="47" t="n">
        <f aca="false">H10/F10</f>
        <v>0.0562770562770563</v>
      </c>
    </row>
    <row r="11" customFormat="false" ht="15" hidden="false" customHeight="false" outlineLevel="0" collapsed="false">
      <c r="A11" s="53" t="s">
        <v>305</v>
      </c>
      <c r="B11" s="53" t="s">
        <v>306</v>
      </c>
      <c r="C11" s="53" t="s">
        <v>314</v>
      </c>
      <c r="D11" s="51" t="n">
        <f aca="false">1-F11/E11</f>
        <v>0.605473965287049</v>
      </c>
      <c r="E11" s="83" t="n">
        <v>1498</v>
      </c>
      <c r="F11" s="83" t="n">
        <v>591</v>
      </c>
      <c r="G11" s="83" t="n">
        <v>559</v>
      </c>
      <c r="H11" s="83" t="n">
        <v>32</v>
      </c>
      <c r="I11" s="51" t="n">
        <f aca="false">G11/F11</f>
        <v>0.94585448392555</v>
      </c>
      <c r="J11" s="51" t="n">
        <f aca="false">H11/F11</f>
        <v>0.0541455160744501</v>
      </c>
    </row>
    <row r="12" customFormat="false" ht="15" hidden="false" customHeight="false" outlineLevel="0" collapsed="false">
      <c r="A12" s="48" t="s">
        <v>305</v>
      </c>
      <c r="B12" s="48" t="s">
        <v>306</v>
      </c>
      <c r="C12" s="48" t="s">
        <v>315</v>
      </c>
      <c r="D12" s="47" t="n">
        <f aca="false">1-F12/E12</f>
        <v>0.603183962264151</v>
      </c>
      <c r="E12" s="79" t="n">
        <v>1696</v>
      </c>
      <c r="F12" s="79" t="n">
        <v>673</v>
      </c>
      <c r="G12" s="79" t="n">
        <v>629</v>
      </c>
      <c r="H12" s="79" t="n">
        <v>44</v>
      </c>
      <c r="I12" s="47" t="n">
        <f aca="false">G12/F12</f>
        <v>0.934621099554235</v>
      </c>
      <c r="J12" s="47" t="n">
        <f aca="false">H12/F12</f>
        <v>0.0653789004457652</v>
      </c>
    </row>
    <row r="13" customFormat="false" ht="15" hidden="false" customHeight="false" outlineLevel="0" collapsed="false">
      <c r="A13" s="53" t="s">
        <v>305</v>
      </c>
      <c r="B13" s="53" t="s">
        <v>306</v>
      </c>
      <c r="C13" s="53" t="s">
        <v>316</v>
      </c>
      <c r="D13" s="51" t="n">
        <f aca="false">1-F13/E13</f>
        <v>0.571172248803828</v>
      </c>
      <c r="E13" s="83" t="n">
        <v>1672</v>
      </c>
      <c r="F13" s="83" t="n">
        <v>717</v>
      </c>
      <c r="G13" s="83" t="n">
        <v>680</v>
      </c>
      <c r="H13" s="83" t="n">
        <v>37</v>
      </c>
      <c r="I13" s="51" t="n">
        <f aca="false">G13/F13</f>
        <v>0.94839609483961</v>
      </c>
      <c r="J13" s="51" t="n">
        <f aca="false">H13/F13</f>
        <v>0.0516039051603905</v>
      </c>
    </row>
    <row r="14" customFormat="false" ht="15" hidden="false" customHeight="false" outlineLevel="0" collapsed="false">
      <c r="A14" s="48" t="s">
        <v>305</v>
      </c>
      <c r="B14" s="48" t="s">
        <v>306</v>
      </c>
      <c r="C14" s="48" t="s">
        <v>317</v>
      </c>
      <c r="D14" s="47" t="n">
        <f aca="false">1-F14/E14</f>
        <v>0.569403425871235</v>
      </c>
      <c r="E14" s="79" t="n">
        <v>1693</v>
      </c>
      <c r="F14" s="79" t="n">
        <v>729</v>
      </c>
      <c r="G14" s="79" t="n">
        <v>674</v>
      </c>
      <c r="H14" s="79" t="n">
        <v>55</v>
      </c>
      <c r="I14" s="47" t="n">
        <f aca="false">G14/F14</f>
        <v>0.924554183813443</v>
      </c>
      <c r="J14" s="47" t="n">
        <f aca="false">H14/F14</f>
        <v>0.0754458161865569</v>
      </c>
    </row>
    <row r="15" customFormat="false" ht="15" hidden="false" customHeight="false" outlineLevel="0" collapsed="false">
      <c r="A15" s="53" t="s">
        <v>305</v>
      </c>
      <c r="B15" s="53" t="s">
        <v>306</v>
      </c>
      <c r="C15" s="53" t="s">
        <v>318</v>
      </c>
      <c r="D15" s="51" t="n">
        <f aca="false">1-F15/E15</f>
        <v>0.590492076730609</v>
      </c>
      <c r="E15" s="83" t="n">
        <v>1199</v>
      </c>
      <c r="F15" s="83" t="n">
        <v>491</v>
      </c>
      <c r="G15" s="83" t="n">
        <v>461</v>
      </c>
      <c r="H15" s="83" t="n">
        <v>30</v>
      </c>
      <c r="I15" s="51" t="n">
        <f aca="false">G15/F15</f>
        <v>0.938900203665988</v>
      </c>
      <c r="J15" s="51" t="n">
        <f aca="false">H15/F15</f>
        <v>0.0610997963340122</v>
      </c>
    </row>
    <row r="16" customFormat="false" ht="15" hidden="false" customHeight="false" outlineLevel="0" collapsed="false">
      <c r="A16" s="48" t="s">
        <v>305</v>
      </c>
      <c r="B16" s="48" t="s">
        <v>306</v>
      </c>
      <c r="C16" s="48" t="s">
        <v>319</v>
      </c>
      <c r="D16" s="47" t="n">
        <f aca="false">1-F16/E16</f>
        <v>0.590436590436591</v>
      </c>
      <c r="E16" s="79" t="n">
        <v>962</v>
      </c>
      <c r="F16" s="79" t="n">
        <v>394</v>
      </c>
      <c r="G16" s="79" t="n">
        <v>369</v>
      </c>
      <c r="H16" s="79" t="n">
        <v>25</v>
      </c>
      <c r="I16" s="47" t="n">
        <f aca="false">G16/F16</f>
        <v>0.936548223350254</v>
      </c>
      <c r="J16" s="47" t="n">
        <f aca="false">H16/F16</f>
        <v>0.0634517766497462</v>
      </c>
    </row>
    <row r="17" customFormat="false" ht="15" hidden="false" customHeight="false" outlineLevel="0" collapsed="false">
      <c r="A17" s="53" t="s">
        <v>305</v>
      </c>
      <c r="B17" s="53" t="s">
        <v>306</v>
      </c>
      <c r="C17" s="53" t="s">
        <v>320</v>
      </c>
      <c r="D17" s="51" t="n">
        <f aca="false">1-F17/E17</f>
        <v>0.594069032571706</v>
      </c>
      <c r="E17" s="83" t="n">
        <v>2057</v>
      </c>
      <c r="F17" s="83" t="n">
        <v>835</v>
      </c>
      <c r="G17" s="83" t="n">
        <v>780</v>
      </c>
      <c r="H17" s="83" t="n">
        <v>55</v>
      </c>
      <c r="I17" s="51" t="n">
        <f aca="false">G17/F17</f>
        <v>0.934131736526946</v>
      </c>
      <c r="J17" s="51" t="n">
        <f aca="false">H17/F17</f>
        <v>0.0658682634730539</v>
      </c>
    </row>
    <row r="18" customFormat="false" ht="15" hidden="false" customHeight="false" outlineLevel="0" collapsed="false">
      <c r="A18" s="48" t="s">
        <v>305</v>
      </c>
      <c r="B18" s="48" t="s">
        <v>306</v>
      </c>
      <c r="C18" s="48" t="s">
        <v>321</v>
      </c>
      <c r="D18" s="47" t="n">
        <f aca="false">1-F18/E18</f>
        <v>0.600604229607251</v>
      </c>
      <c r="E18" s="79" t="n">
        <v>1655</v>
      </c>
      <c r="F18" s="79" t="n">
        <v>661</v>
      </c>
      <c r="G18" s="79" t="n">
        <v>622</v>
      </c>
      <c r="H18" s="79" t="n">
        <v>39</v>
      </c>
      <c r="I18" s="47" t="n">
        <f aca="false">G18/F18</f>
        <v>0.940998487140696</v>
      </c>
      <c r="J18" s="47" t="n">
        <f aca="false">H18/F18</f>
        <v>0.0590015128593041</v>
      </c>
    </row>
    <row r="20" customFormat="false" ht="15" hidden="false" customHeight="false" outlineLevel="0" collapsed="false">
      <c r="A20" s="62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2026-10-16T03:01:07Z</dcterms:created>
  <dc:creator>openpyxl</dc:creator>
  <dc:description/>
  <dc:language>en-US</dc:language>
  <cp:lastModifiedBy/>
  <dcterms:modified xsi:type="dcterms:W3CDTF">2026-10-16T03:01:09Z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